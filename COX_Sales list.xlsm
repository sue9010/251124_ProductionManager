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cox_biz\business\2024-2025\"/>
    </mc:Choice>
  </mc:AlternateContent>
  <xr:revisionPtr revIDLastSave="0" documentId="13_ncr:1_{431DCB4F-51DA-419A-A6BA-968B29847C71}" xr6:coauthVersionLast="47" xr6:coauthVersionMax="47" xr10:uidLastSave="{00000000-0000-0000-0000-000000000000}"/>
  <bookViews>
    <workbookView xWindow="-120" yWindow="-120" windowWidth="38640" windowHeight="15720" activeTab="8" xr2:uid="{00000000-000D-0000-FFFF-FFFF00000000}"/>
  </bookViews>
  <sheets>
    <sheet name="견적" sheetId="47" r:id="rId1"/>
    <sheet name="견적서(국문)" sheetId="33" r:id="rId2"/>
    <sheet name="견적서(영문)" sheetId="32" r:id="rId3"/>
    <sheet name="발주대기" sheetId="49" r:id="rId4"/>
    <sheet name="국내" sheetId="22" r:id="rId5"/>
    <sheet name="해외" sheetId="14" r:id="rId6"/>
    <sheet name="대여" sheetId="46" r:id="rId7"/>
    <sheet name="PI" sheetId="34" r:id="rId8"/>
    <sheet name="출고요청서" sheetId="37" r:id="rId9"/>
    <sheet name="회수내역서" sheetId="48" r:id="rId10"/>
    <sheet name="거래명세서(납품확인서)" sheetId="41" r:id="rId11"/>
    <sheet name="2025매출차트" sheetId="23" r:id="rId12"/>
    <sheet name="제품 정보" sheetId="28" r:id="rId13"/>
    <sheet name="업체 정보" sheetId="27" r:id="rId14"/>
    <sheet name="드롭다운" sheetId="24" r:id="rId15"/>
    <sheet name="Standard Unit price" sheetId="45" r:id="rId16"/>
    <sheet name="판매 분포도 차트" sheetId="25" state="hidden" r:id="rId17"/>
  </sheets>
  <definedNames>
    <definedName name="_xlnm._FilterDatabase" localSheetId="0" hidden="1">견적!$A$1:$K$1</definedName>
    <definedName name="_xlnm._FilterDatabase" localSheetId="4" hidden="1">국내!$A$1:$P$1</definedName>
    <definedName name="_xlnm._FilterDatabase" localSheetId="6" hidden="1">대여!$A$1:$J$1</definedName>
    <definedName name="_xlnm._FilterDatabase" localSheetId="13" hidden="1">'업체 정보'!$A$1:$J$1</definedName>
    <definedName name="_xlnm._FilterDatabase" localSheetId="5" hidden="1">해외!$A$1:$R$1</definedName>
    <definedName name="_xlnm.Print_Area" localSheetId="7">PI!$A$1:$G$48</definedName>
    <definedName name="_xlnm.Print_Area" localSheetId="1">'견적서(국문)'!$B$3:$G$43</definedName>
    <definedName name="_xlnm.Print_Area" localSheetId="2">'견적서(영문)'!$B$3:$G$45</definedName>
    <definedName name="_xlnm.Print_Area" localSheetId="8">출고요청서!$A$1:$F$27</definedName>
    <definedName name="Z_20487F3F_BF98_4B3B_91D2_54C7A2E6F025_.wvu.Cols" localSheetId="1" hidden="1">'견적서(국문)'!$A:$A,'견적서(국문)'!$H:$J</definedName>
    <definedName name="Z_20487F3F_BF98_4B3B_91D2_54C7A2E6F025_.wvu.Cols" localSheetId="2" hidden="1">'견적서(영문)'!$A:$A,'견적서(영문)'!$H:$J</definedName>
    <definedName name="Z_20487F3F_BF98_4B3B_91D2_54C7A2E6F025_.wvu.PrintArea" localSheetId="1" hidden="1">'견적서(국문)'!$B$3:$G$43</definedName>
    <definedName name="Z_20487F3F_BF98_4B3B_91D2_54C7A2E6F025_.wvu.PrintArea" localSheetId="2" hidden="1">'견적서(영문)'!$B$3:$G$45</definedName>
    <definedName name="Z_20487F3F_BF98_4B3B_91D2_54C7A2E6F025_.wvu.Rows" localSheetId="1" hidden="1">'견적서(국문)'!$1:$2,'견적서(국문)'!$21:$26</definedName>
    <definedName name="Z_20487F3F_BF98_4B3B_91D2_54C7A2E6F025_.wvu.Rows" localSheetId="2" hidden="1">'견적서(영문)'!$1:$2,'견적서(영문)'!$21:$29</definedName>
    <definedName name="제품구분" localSheetId="0">product[#All]</definedName>
    <definedName name="제품구분" localSheetId="1">product[#All]</definedName>
    <definedName name="제품구분" localSheetId="2">product[#All]</definedName>
    <definedName name="제품구분" localSheetId="6">product[#All]</definedName>
    <definedName name="제품구분" localSheetId="8">product[#All]</definedName>
    <definedName name="제품구분" localSheetId="9">product[#All]</definedName>
    <definedName name="제품구분">product[#All]</definedName>
  </definedNames>
  <calcPr calcId="191029"/>
  <pivotCaches>
    <pivotCache cacheId="0" r:id="rId18"/>
    <pivotCache cacheId="1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6" i="14" l="1"/>
  <c r="S167" i="14"/>
  <c r="X167" i="14" s="1"/>
  <c r="V167" i="14"/>
  <c r="W167" i="14"/>
  <c r="C241" i="22"/>
  <c r="J241" i="22"/>
  <c r="K241" i="22" s="1"/>
  <c r="R241" i="22"/>
  <c r="S241" i="22"/>
  <c r="T241" i="22"/>
  <c r="W241" i="22" s="1"/>
  <c r="C240" i="22"/>
  <c r="J240" i="22"/>
  <c r="K240" i="22" s="1"/>
  <c r="R240" i="22"/>
  <c r="S240" i="22"/>
  <c r="T240" i="22"/>
  <c r="Y240" i="22" s="1"/>
  <c r="C166" i="14"/>
  <c r="S166" i="14"/>
  <c r="X166" i="14" s="1"/>
  <c r="V166" i="14"/>
  <c r="W166" i="14"/>
  <c r="C210" i="47"/>
  <c r="J210" i="47"/>
  <c r="K210" i="47" s="1"/>
  <c r="C209" i="47"/>
  <c r="J209" i="47"/>
  <c r="K209" i="47" s="1"/>
  <c r="S165" i="14"/>
  <c r="X165" i="14" s="1"/>
  <c r="V165" i="14"/>
  <c r="W165" i="14"/>
  <c r="C208" i="47"/>
  <c r="J208" i="47"/>
  <c r="K208" i="47" s="1"/>
  <c r="T235" i="22"/>
  <c r="Z235" i="22" s="1"/>
  <c r="S235" i="22"/>
  <c r="R235" i="22"/>
  <c r="J235" i="22"/>
  <c r="K235" i="22" s="1"/>
  <c r="C235" i="22"/>
  <c r="K238" i="22"/>
  <c r="J237" i="22"/>
  <c r="K237" i="22" s="1"/>
  <c r="J234" i="22"/>
  <c r="K234" i="22" s="1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S153" i="14"/>
  <c r="J7" i="49"/>
  <c r="K7" i="49" s="1"/>
  <c r="J6" i="49"/>
  <c r="K6" i="49" s="1"/>
  <c r="J5" i="49"/>
  <c r="K5" i="49" s="1"/>
  <c r="C5" i="49"/>
  <c r="J4" i="49"/>
  <c r="K4" i="49" s="1"/>
  <c r="C4" i="49"/>
  <c r="J3" i="49"/>
  <c r="K3" i="49" s="1"/>
  <c r="C3" i="49"/>
  <c r="C238" i="22"/>
  <c r="C239" i="22"/>
  <c r="C230" i="22"/>
  <c r="C204" i="47"/>
  <c r="J204" i="47"/>
  <c r="K204" i="47" s="1"/>
  <c r="C205" i="47"/>
  <c r="J205" i="47"/>
  <c r="K205" i="47" s="1"/>
  <c r="C206" i="47"/>
  <c r="J206" i="47"/>
  <c r="K206" i="47" s="1"/>
  <c r="C207" i="47"/>
  <c r="J207" i="47"/>
  <c r="K207" i="47" s="1"/>
  <c r="C203" i="47"/>
  <c r="J203" i="47"/>
  <c r="K203" i="47" s="1"/>
  <c r="J151" i="14"/>
  <c r="J152" i="14"/>
  <c r="C152" i="14"/>
  <c r="S152" i="14"/>
  <c r="X152" i="14" s="1"/>
  <c r="V152" i="14"/>
  <c r="W152" i="14"/>
  <c r="C151" i="14"/>
  <c r="S151" i="14"/>
  <c r="X151" i="14" s="1"/>
  <c r="V151" i="14"/>
  <c r="W151" i="14"/>
  <c r="J150" i="14"/>
  <c r="C150" i="14"/>
  <c r="S150" i="14"/>
  <c r="Y150" i="14" s="1"/>
  <c r="V150" i="14"/>
  <c r="W150" i="14"/>
  <c r="C234" i="22"/>
  <c r="R234" i="22"/>
  <c r="S234" i="22"/>
  <c r="T234" i="22"/>
  <c r="W234" i="22" s="1"/>
  <c r="C237" i="22"/>
  <c r="R237" i="22"/>
  <c r="S237" i="22"/>
  <c r="T237" i="22"/>
  <c r="W237" i="22" s="1"/>
  <c r="C202" i="47"/>
  <c r="J202" i="47"/>
  <c r="K202" i="47" s="1"/>
  <c r="B28" i="46"/>
  <c r="C28" i="46" s="1"/>
  <c r="J164" i="14"/>
  <c r="L164" i="14" s="1"/>
  <c r="S164" i="14"/>
  <c r="X164" i="14" s="1"/>
  <c r="V164" i="14"/>
  <c r="W164" i="14"/>
  <c r="J163" i="14"/>
  <c r="L163" i="14" s="1"/>
  <c r="S163" i="14"/>
  <c r="X163" i="14" s="1"/>
  <c r="V163" i="14"/>
  <c r="W163" i="14"/>
  <c r="J162" i="14"/>
  <c r="L162" i="14" s="1"/>
  <c r="S162" i="14"/>
  <c r="X162" i="14" s="1"/>
  <c r="V162" i="14"/>
  <c r="W162" i="14"/>
  <c r="J161" i="14"/>
  <c r="L161" i="14" s="1"/>
  <c r="S161" i="14"/>
  <c r="X161" i="14" s="1"/>
  <c r="V161" i="14"/>
  <c r="W161" i="14"/>
  <c r="W160" i="14"/>
  <c r="V160" i="14"/>
  <c r="S160" i="14"/>
  <c r="AA160" i="14" s="1"/>
  <c r="J160" i="14"/>
  <c r="L160" i="14" s="1"/>
  <c r="C201" i="47"/>
  <c r="AA167" i="14" l="1"/>
  <c r="Z167" i="14"/>
  <c r="Y167" i="14"/>
  <c r="Y241" i="22"/>
  <c r="Z241" i="22"/>
  <c r="X241" i="22"/>
  <c r="W240" i="22"/>
  <c r="Z240" i="22"/>
  <c r="X240" i="22"/>
  <c r="Y166" i="14"/>
  <c r="AA166" i="14"/>
  <c r="Z166" i="14"/>
  <c r="AA165" i="14"/>
  <c r="Z165" i="14"/>
  <c r="Y165" i="14"/>
  <c r="X235" i="22"/>
  <c r="Y235" i="22"/>
  <c r="W235" i="22"/>
  <c r="AA152" i="14"/>
  <c r="Z152" i="14"/>
  <c r="Y152" i="14"/>
  <c r="Y151" i="14"/>
  <c r="AA151" i="14"/>
  <c r="Z151" i="14"/>
  <c r="Z150" i="14"/>
  <c r="X150" i="14"/>
  <c r="AA150" i="14"/>
  <c r="X234" i="22"/>
  <c r="Z234" i="22"/>
  <c r="Y234" i="22"/>
  <c r="Z237" i="22"/>
  <c r="Y237" i="22"/>
  <c r="X237" i="22"/>
  <c r="Y164" i="14"/>
  <c r="AA164" i="14"/>
  <c r="Z164" i="14"/>
  <c r="Y163" i="14"/>
  <c r="AA163" i="14"/>
  <c r="Z163" i="14"/>
  <c r="Z162" i="14"/>
  <c r="AA162" i="14"/>
  <c r="Y162" i="14"/>
  <c r="Y161" i="14"/>
  <c r="AA161" i="14"/>
  <c r="Z161" i="14"/>
  <c r="Z160" i="14"/>
  <c r="X160" i="14"/>
  <c r="Y160" i="14"/>
  <c r="J201" i="47"/>
  <c r="K201" i="47" s="1"/>
  <c r="J232" i="22" l="1"/>
  <c r="K232" i="22" s="1"/>
  <c r="J233" i="22"/>
  <c r="K233" i="22" s="1"/>
  <c r="C143" i="14" l="1"/>
  <c r="C144" i="14"/>
  <c r="C145" i="14"/>
  <c r="C146" i="14"/>
  <c r="C147" i="14"/>
  <c r="C148" i="14"/>
  <c r="C149" i="14"/>
  <c r="C200" i="47"/>
  <c r="J200" i="47"/>
  <c r="K200" i="47" s="1"/>
  <c r="C229" i="22"/>
  <c r="J229" i="22"/>
  <c r="K229" i="22" s="1"/>
  <c r="R229" i="22"/>
  <c r="S229" i="22"/>
  <c r="T229" i="22"/>
  <c r="Z229" i="22" s="1"/>
  <c r="J159" i="14"/>
  <c r="L159" i="14" s="1"/>
  <c r="Y229" i="22" l="1"/>
  <c r="W229" i="22"/>
  <c r="X229" i="22"/>
  <c r="S159" i="14"/>
  <c r="AA159" i="14" s="1"/>
  <c r="V159" i="14"/>
  <c r="W159" i="14"/>
  <c r="C233" i="22"/>
  <c r="C232" i="22"/>
  <c r="R232" i="22"/>
  <c r="R233" i="22"/>
  <c r="S232" i="22"/>
  <c r="S233" i="22"/>
  <c r="T232" i="22"/>
  <c r="X232" i="22" s="1"/>
  <c r="T233" i="22"/>
  <c r="W233" i="22" s="1"/>
  <c r="J158" i="14"/>
  <c r="L158" i="14" s="1"/>
  <c r="S158" i="14"/>
  <c r="Y158" i="14" s="1"/>
  <c r="V158" i="14"/>
  <c r="W158" i="14"/>
  <c r="C199" i="47"/>
  <c r="J199" i="47"/>
  <c r="K199" i="47" s="1"/>
  <c r="C231" i="22"/>
  <c r="J231" i="22"/>
  <c r="K231" i="22" s="1"/>
  <c r="R231" i="22"/>
  <c r="S231" i="22"/>
  <c r="T231" i="22"/>
  <c r="W231" i="22" s="1"/>
  <c r="C198" i="47"/>
  <c r="J198" i="47"/>
  <c r="J197" i="47"/>
  <c r="K197" i="47" s="1"/>
  <c r="C197" i="47"/>
  <c r="C236" i="22"/>
  <c r="W232" i="22" l="1"/>
  <c r="Z233" i="22"/>
  <c r="Z232" i="22"/>
  <c r="Y233" i="22"/>
  <c r="Y232" i="22"/>
  <c r="X233" i="22"/>
  <c r="Z159" i="14"/>
  <c r="Y159" i="14"/>
  <c r="X159" i="14"/>
  <c r="AA158" i="14"/>
  <c r="Z158" i="14"/>
  <c r="X158" i="14"/>
  <c r="Y231" i="22"/>
  <c r="X231" i="22"/>
  <c r="Z231" i="22"/>
  <c r="C227" i="22"/>
  <c r="J148" i="14"/>
  <c r="L148" i="14" s="1"/>
  <c r="J149" i="14"/>
  <c r="L149" i="14" s="1"/>
  <c r="S149" i="14"/>
  <c r="X149" i="14" s="1"/>
  <c r="V149" i="14"/>
  <c r="W149" i="14"/>
  <c r="S148" i="14"/>
  <c r="X148" i="14" s="1"/>
  <c r="V148" i="14"/>
  <c r="W148" i="14"/>
  <c r="AA149" i="14" l="1"/>
  <c r="Y149" i="14"/>
  <c r="Z149" i="14"/>
  <c r="AA148" i="14"/>
  <c r="Z148" i="14"/>
  <c r="Y148" i="14"/>
  <c r="C226" i="22" l="1"/>
  <c r="C228" i="22"/>
  <c r="J236" i="22"/>
  <c r="K236" i="22" s="1"/>
  <c r="R236" i="22"/>
  <c r="S236" i="22"/>
  <c r="T236" i="22"/>
  <c r="W236" i="22" s="1"/>
  <c r="J228" i="22"/>
  <c r="K228" i="22" s="1"/>
  <c r="R228" i="22"/>
  <c r="S228" i="22"/>
  <c r="T228" i="22"/>
  <c r="Y228" i="22" s="1"/>
  <c r="Z236" i="22" l="1"/>
  <c r="Y236" i="22"/>
  <c r="X236" i="22"/>
  <c r="W228" i="22"/>
  <c r="Z228" i="22"/>
  <c r="X228" i="22"/>
  <c r="J230" i="22"/>
  <c r="K230" i="22" s="1"/>
  <c r="J239" i="22"/>
  <c r="K239" i="22" s="1"/>
  <c r="J153" i="14"/>
  <c r="L139" i="14"/>
  <c r="J155" i="14"/>
  <c r="L155" i="14" s="1"/>
  <c r="J156" i="14"/>
  <c r="L156" i="14" s="1"/>
  <c r="J157" i="14"/>
  <c r="L157" i="14" s="1"/>
  <c r="J143" i="14"/>
  <c r="L143" i="14" s="1"/>
  <c r="J144" i="14"/>
  <c r="L144" i="14" s="1"/>
  <c r="J145" i="14"/>
  <c r="L145" i="14" s="1"/>
  <c r="J146" i="14"/>
  <c r="L146" i="14" s="1"/>
  <c r="J147" i="14"/>
  <c r="L147" i="14" s="1"/>
  <c r="J154" i="14"/>
  <c r="L154" i="14" s="1"/>
  <c r="J131" i="14"/>
  <c r="L131" i="14" s="1"/>
  <c r="C131" i="14"/>
  <c r="S131" i="14"/>
  <c r="X131" i="14" s="1"/>
  <c r="V131" i="14"/>
  <c r="W131" i="14"/>
  <c r="C224" i="22"/>
  <c r="C225" i="22"/>
  <c r="C223" i="22"/>
  <c r="J223" i="22"/>
  <c r="K223" i="22" s="1"/>
  <c r="R223" i="22"/>
  <c r="S223" i="22"/>
  <c r="T223" i="22"/>
  <c r="W223" i="22" s="1"/>
  <c r="J224" i="22"/>
  <c r="K224" i="22" s="1"/>
  <c r="R224" i="22"/>
  <c r="S224" i="22"/>
  <c r="T224" i="22"/>
  <c r="W224" i="22" s="1"/>
  <c r="J225" i="22"/>
  <c r="K225" i="22" s="1"/>
  <c r="R225" i="22"/>
  <c r="S225" i="22"/>
  <c r="T225" i="22"/>
  <c r="W225" i="22" s="1"/>
  <c r="C215" i="22"/>
  <c r="J215" i="22"/>
  <c r="K215" i="22" s="1"/>
  <c r="R215" i="22"/>
  <c r="S215" i="22"/>
  <c r="T215" i="22"/>
  <c r="W215" i="22" s="1"/>
  <c r="C220" i="22"/>
  <c r="J220" i="22"/>
  <c r="K220" i="22" s="1"/>
  <c r="R220" i="22"/>
  <c r="S220" i="22"/>
  <c r="T220" i="22"/>
  <c r="W220" i="22" s="1"/>
  <c r="C219" i="22"/>
  <c r="J219" i="22"/>
  <c r="K219" i="22" s="1"/>
  <c r="R219" i="22"/>
  <c r="S219" i="22"/>
  <c r="T219" i="22"/>
  <c r="W219" i="22" s="1"/>
  <c r="C214" i="22"/>
  <c r="J214" i="22"/>
  <c r="K214" i="22" s="1"/>
  <c r="R214" i="22"/>
  <c r="S214" i="22"/>
  <c r="T214" i="22"/>
  <c r="W214" i="22" s="1"/>
  <c r="C213" i="22"/>
  <c r="J213" i="22"/>
  <c r="K213" i="22" s="1"/>
  <c r="R213" i="22"/>
  <c r="S213" i="22"/>
  <c r="T213" i="22"/>
  <c r="W213" i="22" s="1"/>
  <c r="T230" i="22"/>
  <c r="Z230" i="22" s="1"/>
  <c r="S230" i="22"/>
  <c r="R230" i="22"/>
  <c r="R239" i="22"/>
  <c r="S239" i="22"/>
  <c r="T239" i="22"/>
  <c r="X239" i="22" s="1"/>
  <c r="R238" i="22"/>
  <c r="S238" i="22"/>
  <c r="T238" i="22"/>
  <c r="X238" i="22" s="1"/>
  <c r="C196" i="47"/>
  <c r="J196" i="47"/>
  <c r="K196" i="47" s="1"/>
  <c r="C195" i="47"/>
  <c r="J195" i="47"/>
  <c r="K195" i="47" s="1"/>
  <c r="C194" i="47"/>
  <c r="J194" i="47"/>
  <c r="K194" i="47" s="1"/>
  <c r="Z131" i="14" l="1"/>
  <c r="AA131" i="14"/>
  <c r="Y131" i="14"/>
  <c r="Z223" i="22"/>
  <c r="Y223" i="22"/>
  <c r="X223" i="22"/>
  <c r="Z224" i="22"/>
  <c r="Y224" i="22"/>
  <c r="X224" i="22"/>
  <c r="Z225" i="22"/>
  <c r="Y225" i="22"/>
  <c r="X225" i="22"/>
  <c r="Z215" i="22"/>
  <c r="Y215" i="22"/>
  <c r="X215" i="22"/>
  <c r="Y220" i="22"/>
  <c r="Z220" i="22"/>
  <c r="X220" i="22"/>
  <c r="Z219" i="22"/>
  <c r="Y219" i="22"/>
  <c r="X219" i="22"/>
  <c r="Z214" i="22"/>
  <c r="Y214" i="22"/>
  <c r="X214" i="22"/>
  <c r="Z213" i="22"/>
  <c r="Y213" i="22"/>
  <c r="X213" i="22"/>
  <c r="W230" i="22"/>
  <c r="X230" i="22"/>
  <c r="Y230" i="22"/>
  <c r="Z239" i="22"/>
  <c r="W239" i="22"/>
  <c r="Y239" i="22"/>
  <c r="W238" i="22"/>
  <c r="Z238" i="22"/>
  <c r="Y238" i="22"/>
  <c r="B26" i="46"/>
  <c r="C26" i="46" l="1"/>
  <c r="B27" i="46"/>
  <c r="C27" i="46" s="1"/>
  <c r="C193" i="47"/>
  <c r="J193" i="47"/>
  <c r="K193" i="47" s="1"/>
  <c r="C192" i="47"/>
  <c r="J192" i="47"/>
  <c r="K192" i="47" s="1"/>
  <c r="C141" i="14"/>
  <c r="J141" i="14"/>
  <c r="L141" i="14" s="1"/>
  <c r="S141" i="14"/>
  <c r="Y141" i="14" s="1"/>
  <c r="V141" i="14"/>
  <c r="W141" i="14"/>
  <c r="J227" i="22"/>
  <c r="K227" i="22" s="1"/>
  <c r="R227" i="22"/>
  <c r="S227" i="22"/>
  <c r="T227" i="22"/>
  <c r="Y227" i="22" s="1"/>
  <c r="AA141" i="14" l="1"/>
  <c r="Z141" i="14"/>
  <c r="X141" i="14"/>
  <c r="X227" i="22"/>
  <c r="Z227" i="22"/>
  <c r="W227" i="22"/>
  <c r="S147" i="14" l="1"/>
  <c r="X147" i="14" s="1"/>
  <c r="V147" i="14"/>
  <c r="W147" i="14"/>
  <c r="S146" i="14"/>
  <c r="X146" i="14" s="1"/>
  <c r="V146" i="14"/>
  <c r="W146" i="14"/>
  <c r="AA147" i="14" l="1"/>
  <c r="Z147" i="14"/>
  <c r="Y147" i="14"/>
  <c r="AA146" i="14"/>
  <c r="Z146" i="14"/>
  <c r="Y146" i="14"/>
  <c r="J142" i="14" l="1"/>
  <c r="L142" i="14" s="1"/>
  <c r="C142" i="14"/>
  <c r="S142" i="14"/>
  <c r="AA142" i="14" s="1"/>
  <c r="V142" i="14"/>
  <c r="W142" i="14"/>
  <c r="Z142" i="14" l="1"/>
  <c r="Y142" i="14"/>
  <c r="X142" i="14"/>
  <c r="C191" i="47"/>
  <c r="J191" i="47"/>
  <c r="K191" i="47" s="1"/>
  <c r="C222" i="22"/>
  <c r="J222" i="22"/>
  <c r="K222" i="22" s="1"/>
  <c r="R222" i="22"/>
  <c r="S222" i="22"/>
  <c r="T222" i="22"/>
  <c r="X222" i="22" s="1"/>
  <c r="J140" i="14"/>
  <c r="L140" i="14" s="1"/>
  <c r="C140" i="14"/>
  <c r="S140" i="14"/>
  <c r="Z140" i="14" s="1"/>
  <c r="V140" i="14"/>
  <c r="W140" i="14"/>
  <c r="Z222" i="22" l="1"/>
  <c r="Y222" i="22"/>
  <c r="W222" i="22"/>
  <c r="Y140" i="14"/>
  <c r="AA140" i="14"/>
  <c r="X140" i="14"/>
  <c r="S145" i="14" l="1"/>
  <c r="AA145" i="14" s="1"/>
  <c r="V145" i="14"/>
  <c r="W145" i="14"/>
  <c r="C190" i="47"/>
  <c r="J190" i="47"/>
  <c r="K190" i="47" s="1"/>
  <c r="J185" i="47"/>
  <c r="K185" i="47" s="1"/>
  <c r="J186" i="47"/>
  <c r="K186" i="47" s="1"/>
  <c r="J187" i="47"/>
  <c r="K187" i="47" s="1"/>
  <c r="C221" i="22"/>
  <c r="J221" i="22"/>
  <c r="K221" i="22" s="1"/>
  <c r="R221" i="22"/>
  <c r="S221" i="22"/>
  <c r="T221" i="22"/>
  <c r="Z221" i="22" s="1"/>
  <c r="J226" i="22"/>
  <c r="K226" i="22" s="1"/>
  <c r="R226" i="22"/>
  <c r="S226" i="22"/>
  <c r="T226" i="22"/>
  <c r="W226" i="22" s="1"/>
  <c r="C189" i="47"/>
  <c r="J189" i="47"/>
  <c r="K189" i="47" s="1"/>
  <c r="C188" i="47"/>
  <c r="J188" i="47"/>
  <c r="K188" i="47" s="1"/>
  <c r="C139" i="14"/>
  <c r="X139" i="14"/>
  <c r="V139" i="14"/>
  <c r="W139" i="14"/>
  <c r="Z145" i="14" l="1"/>
  <c r="Y145" i="14"/>
  <c r="X145" i="14"/>
  <c r="Y221" i="22"/>
  <c r="X221" i="22"/>
  <c r="W221" i="22"/>
  <c r="Z226" i="22"/>
  <c r="Y226" i="22"/>
  <c r="X226" i="22"/>
  <c r="AA139" i="14"/>
  <c r="Z139" i="14"/>
  <c r="Y139" i="14"/>
  <c r="S144" i="14" l="1"/>
  <c r="X144" i="14" s="1"/>
  <c r="V144" i="14"/>
  <c r="W144" i="14"/>
  <c r="S143" i="14"/>
  <c r="AA143" i="14" s="1"/>
  <c r="V143" i="14"/>
  <c r="W143" i="14"/>
  <c r="C184" i="47"/>
  <c r="J184" i="47"/>
  <c r="K184" i="47" s="1"/>
  <c r="J126" i="14"/>
  <c r="L126" i="14" s="1"/>
  <c r="V126" i="14"/>
  <c r="W126" i="14"/>
  <c r="X126" i="14"/>
  <c r="Y126" i="14"/>
  <c r="Z126" i="14"/>
  <c r="AA126" i="14"/>
  <c r="J132" i="14"/>
  <c r="L132" i="14" s="1"/>
  <c r="V132" i="14"/>
  <c r="W132" i="14"/>
  <c r="X132" i="14"/>
  <c r="Y132" i="14"/>
  <c r="Z132" i="14"/>
  <c r="AA132" i="14"/>
  <c r="C212" i="22"/>
  <c r="J212" i="22"/>
  <c r="K212" i="22" s="1"/>
  <c r="R212" i="22"/>
  <c r="S212" i="22"/>
  <c r="T212" i="22"/>
  <c r="Y212" i="22" s="1"/>
  <c r="AA144" i="14" l="1"/>
  <c r="Z144" i="14"/>
  <c r="Y144" i="14"/>
  <c r="Z143" i="14"/>
  <c r="Y143" i="14"/>
  <c r="X143" i="14"/>
  <c r="W212" i="22"/>
  <c r="X212" i="22"/>
  <c r="Z212" i="22"/>
  <c r="J217" i="22" l="1"/>
  <c r="K217" i="22" s="1"/>
  <c r="J218" i="22"/>
  <c r="K218" i="22" s="1"/>
  <c r="R217" i="22"/>
  <c r="R218" i="22"/>
  <c r="S217" i="22"/>
  <c r="S218" i="22"/>
  <c r="T217" i="22"/>
  <c r="X217" i="22" s="1"/>
  <c r="T218" i="22"/>
  <c r="W218" i="22" s="1"/>
  <c r="J216" i="22"/>
  <c r="K216" i="22" s="1"/>
  <c r="R216" i="22"/>
  <c r="S216" i="22"/>
  <c r="T216" i="22"/>
  <c r="W216" i="22" s="1"/>
  <c r="J183" i="47"/>
  <c r="K183" i="47" s="1"/>
  <c r="C183" i="47"/>
  <c r="C201" i="22"/>
  <c r="J201" i="22"/>
  <c r="K201" i="22" s="1"/>
  <c r="R201" i="22"/>
  <c r="S201" i="22"/>
  <c r="T201" i="22"/>
  <c r="X201" i="22" s="1"/>
  <c r="C206" i="22"/>
  <c r="J206" i="22"/>
  <c r="K206" i="22" s="1"/>
  <c r="R206" i="22"/>
  <c r="S206" i="22"/>
  <c r="T206" i="22"/>
  <c r="Z206" i="22" s="1"/>
  <c r="C203" i="22"/>
  <c r="J203" i="22"/>
  <c r="K203" i="22" s="1"/>
  <c r="R203" i="22"/>
  <c r="S203" i="22"/>
  <c r="T203" i="22"/>
  <c r="Z203" i="22" s="1"/>
  <c r="J121" i="14"/>
  <c r="L121" i="14" s="1"/>
  <c r="C121" i="14"/>
  <c r="S121" i="14"/>
  <c r="X121" i="14" s="1"/>
  <c r="V121" i="14"/>
  <c r="W121" i="14"/>
  <c r="W217" i="22" l="1"/>
  <c r="Y218" i="22"/>
  <c r="Z218" i="22"/>
  <c r="Y217" i="22"/>
  <c r="Z217" i="22"/>
  <c r="X218" i="22"/>
  <c r="Z216" i="22"/>
  <c r="Y216" i="22"/>
  <c r="X216" i="22"/>
  <c r="Z201" i="22"/>
  <c r="W201" i="22"/>
  <c r="Y201" i="22"/>
  <c r="Y206" i="22"/>
  <c r="X206" i="22"/>
  <c r="W206" i="22"/>
  <c r="X203" i="22"/>
  <c r="W203" i="22"/>
  <c r="Y203" i="22"/>
  <c r="Z121" i="14"/>
  <c r="Y121" i="14"/>
  <c r="AA121" i="14"/>
  <c r="V136" i="14"/>
  <c r="V124" i="14"/>
  <c r="V138" i="14"/>
  <c r="V129" i="14"/>
  <c r="V123" i="14"/>
  <c r="V154" i="14"/>
  <c r="V125" i="14"/>
  <c r="V137" i="14"/>
  <c r="V130" i="14"/>
  <c r="V133" i="14"/>
  <c r="V134" i="14"/>
  <c r="C211" i="22"/>
  <c r="C210" i="22"/>
  <c r="C209" i="22"/>
  <c r="J209" i="22"/>
  <c r="K209" i="22" s="1"/>
  <c r="J210" i="22"/>
  <c r="K210" i="22" s="1"/>
  <c r="J211" i="22"/>
  <c r="K211" i="22" s="1"/>
  <c r="R209" i="22"/>
  <c r="R210" i="22"/>
  <c r="R211" i="22"/>
  <c r="S209" i="22"/>
  <c r="S210" i="22"/>
  <c r="S211" i="22"/>
  <c r="T209" i="22"/>
  <c r="W209" i="22" s="1"/>
  <c r="T210" i="22"/>
  <c r="W210" i="22" s="1"/>
  <c r="T211" i="22"/>
  <c r="X211" i="22" s="1"/>
  <c r="C182" i="47"/>
  <c r="J182" i="47"/>
  <c r="K182" i="47" s="1"/>
  <c r="C181" i="47"/>
  <c r="J181" i="47"/>
  <c r="K181" i="47" s="1"/>
  <c r="C180" i="47"/>
  <c r="J180" i="47"/>
  <c r="K180" i="47" s="1"/>
  <c r="C179" i="47"/>
  <c r="J179" i="47"/>
  <c r="K179" i="47" s="1"/>
  <c r="J178" i="47"/>
  <c r="K178" i="47" s="1"/>
  <c r="B178" i="47"/>
  <c r="C178" i="47" s="1"/>
  <c r="Z210" i="22" l="1"/>
  <c r="Y209" i="22"/>
  <c r="Z211" i="22"/>
  <c r="Y211" i="22"/>
  <c r="Y210" i="22"/>
  <c r="X210" i="22"/>
  <c r="X209" i="22"/>
  <c r="W211" i="22"/>
  <c r="Z209" i="22"/>
  <c r="C134" i="14"/>
  <c r="J134" i="14"/>
  <c r="L134" i="14" s="1"/>
  <c r="S134" i="14"/>
  <c r="Y134" i="14" s="1"/>
  <c r="W134" i="14"/>
  <c r="J133" i="14"/>
  <c r="L133" i="14" s="1"/>
  <c r="C133" i="14"/>
  <c r="S133" i="14"/>
  <c r="X133" i="14" s="1"/>
  <c r="W133" i="14"/>
  <c r="C205" i="22"/>
  <c r="J205" i="22"/>
  <c r="K205" i="22" s="1"/>
  <c r="R205" i="22"/>
  <c r="S205" i="22"/>
  <c r="T205" i="22"/>
  <c r="W205" i="22" s="1"/>
  <c r="C204" i="22"/>
  <c r="J204" i="22"/>
  <c r="K204" i="22" s="1"/>
  <c r="R204" i="22"/>
  <c r="S204" i="22"/>
  <c r="T204" i="22"/>
  <c r="Z204" i="22" s="1"/>
  <c r="J130" i="14"/>
  <c r="L130" i="14" s="1"/>
  <c r="C130" i="14"/>
  <c r="S130" i="14"/>
  <c r="AA130" i="14" s="1"/>
  <c r="W130" i="14"/>
  <c r="B22" i="46"/>
  <c r="C208" i="22"/>
  <c r="J208" i="22"/>
  <c r="R208" i="22"/>
  <c r="S208" i="22"/>
  <c r="T208" i="22"/>
  <c r="W208" i="22" s="1"/>
  <c r="C177" i="47"/>
  <c r="J177" i="47"/>
  <c r="K177" i="47" s="1"/>
  <c r="C176" i="47"/>
  <c r="J176" i="47"/>
  <c r="K176" i="47" s="1"/>
  <c r="C175" i="47"/>
  <c r="J175" i="47"/>
  <c r="K175" i="47" s="1"/>
  <c r="J137" i="14"/>
  <c r="L137" i="14" s="1"/>
  <c r="C137" i="14"/>
  <c r="S137" i="14"/>
  <c r="X137" i="14" s="1"/>
  <c r="W137" i="14"/>
  <c r="C22" i="46" l="1"/>
  <c r="B23" i="46"/>
  <c r="X134" i="14"/>
  <c r="AA134" i="14"/>
  <c r="Z134" i="14"/>
  <c r="Z133" i="14"/>
  <c r="AA133" i="14"/>
  <c r="Y133" i="14"/>
  <c r="Z205" i="22"/>
  <c r="Y205" i="22"/>
  <c r="X205" i="22"/>
  <c r="Y204" i="22"/>
  <c r="X204" i="22"/>
  <c r="W204" i="22"/>
  <c r="Z130" i="14"/>
  <c r="Y130" i="14"/>
  <c r="X130" i="14"/>
  <c r="X208" i="22"/>
  <c r="Z208" i="22"/>
  <c r="Y208" i="22"/>
  <c r="AA137" i="14"/>
  <c r="Z137" i="14"/>
  <c r="Y137" i="14"/>
  <c r="B24" i="46" l="1"/>
  <c r="C23" i="46"/>
  <c r="J125" i="14"/>
  <c r="L125" i="14" s="1"/>
  <c r="C125" i="14"/>
  <c r="S125" i="14"/>
  <c r="X125" i="14" s="1"/>
  <c r="W125" i="14"/>
  <c r="C174" i="47"/>
  <c r="J174" i="47"/>
  <c r="K174" i="47" s="1"/>
  <c r="B20" i="46"/>
  <c r="C20" i="46" s="1"/>
  <c r="J173" i="47"/>
  <c r="K173" i="47" s="1"/>
  <c r="C173" i="47"/>
  <c r="C202" i="22"/>
  <c r="J202" i="22"/>
  <c r="K202" i="22" s="1"/>
  <c r="R202" i="22"/>
  <c r="S202" i="22"/>
  <c r="T202" i="22"/>
  <c r="X202" i="22" s="1"/>
  <c r="J167" i="47"/>
  <c r="K167" i="47" s="1"/>
  <c r="C167" i="47"/>
  <c r="C169" i="47"/>
  <c r="C170" i="47"/>
  <c r="C171" i="47"/>
  <c r="C172" i="47"/>
  <c r="J169" i="47"/>
  <c r="K169" i="47" s="1"/>
  <c r="J170" i="47"/>
  <c r="K170" i="47" s="1"/>
  <c r="J171" i="47"/>
  <c r="K171" i="47" s="1"/>
  <c r="J172" i="47"/>
  <c r="K172" i="47" s="1"/>
  <c r="C168" i="47"/>
  <c r="J168" i="47"/>
  <c r="K168" i="47" s="1"/>
  <c r="C165" i="47"/>
  <c r="J165" i="47"/>
  <c r="K165" i="47" s="1"/>
  <c r="C166" i="47"/>
  <c r="J166" i="47"/>
  <c r="K166" i="47" s="1"/>
  <c r="C24" i="46" l="1"/>
  <c r="B25" i="46"/>
  <c r="C25" i="46" s="1"/>
  <c r="AA125" i="14"/>
  <c r="Y125" i="14"/>
  <c r="Z125" i="14"/>
  <c r="B21" i="46"/>
  <c r="C21" i="46" s="1"/>
  <c r="W202" i="22"/>
  <c r="Y202" i="22"/>
  <c r="Z202" i="22"/>
  <c r="C164" i="47"/>
  <c r="J164" i="47"/>
  <c r="K164" i="47" s="1"/>
  <c r="C207" i="22"/>
  <c r="J207" i="22"/>
  <c r="K207" i="22" s="1"/>
  <c r="R207" i="22"/>
  <c r="S207" i="22"/>
  <c r="T207" i="22"/>
  <c r="Y207" i="22" s="1"/>
  <c r="C162" i="47"/>
  <c r="C163" i="47"/>
  <c r="J163" i="47"/>
  <c r="K163" i="47" s="1"/>
  <c r="J162" i="47"/>
  <c r="K162" i="47" s="1"/>
  <c r="C158" i="47"/>
  <c r="J158" i="47"/>
  <c r="K158" i="47" s="1"/>
  <c r="C159" i="47"/>
  <c r="J159" i="47"/>
  <c r="K159" i="47" s="1"/>
  <c r="C160" i="47"/>
  <c r="J160" i="47"/>
  <c r="K160" i="47" s="1"/>
  <c r="C161" i="47"/>
  <c r="J161" i="47"/>
  <c r="K161" i="47" s="1"/>
  <c r="C154" i="47"/>
  <c r="J154" i="47"/>
  <c r="K154" i="47" s="1"/>
  <c r="C155" i="47"/>
  <c r="J155" i="47"/>
  <c r="K155" i="47" s="1"/>
  <c r="C156" i="47"/>
  <c r="J156" i="47"/>
  <c r="K156" i="47" s="1"/>
  <c r="C157" i="47"/>
  <c r="J157" i="47"/>
  <c r="K157" i="47" s="1"/>
  <c r="C153" i="47"/>
  <c r="J153" i="47"/>
  <c r="K153" i="47" s="1"/>
  <c r="C152" i="47"/>
  <c r="J152" i="47"/>
  <c r="K152" i="47" s="1"/>
  <c r="C151" i="47"/>
  <c r="J151" i="47"/>
  <c r="K151" i="47" s="1"/>
  <c r="S154" i="14"/>
  <c r="AA154" i="14" s="1"/>
  <c r="W154" i="14"/>
  <c r="C150" i="47"/>
  <c r="J150" i="47"/>
  <c r="K150" i="47" s="1"/>
  <c r="C149" i="47"/>
  <c r="J149" i="47"/>
  <c r="K149" i="47" s="1"/>
  <c r="W207" i="22" l="1"/>
  <c r="Z207" i="22"/>
  <c r="X207" i="22"/>
  <c r="Z154" i="14"/>
  <c r="Y154" i="14"/>
  <c r="X154" i="14"/>
  <c r="J200" i="22"/>
  <c r="K200" i="22" s="1"/>
  <c r="C200" i="22"/>
  <c r="R200" i="22"/>
  <c r="S200" i="22"/>
  <c r="T200" i="22"/>
  <c r="W200" i="22" s="1"/>
  <c r="J123" i="14"/>
  <c r="L123" i="14" s="1"/>
  <c r="C123" i="14"/>
  <c r="S123" i="14"/>
  <c r="X123" i="14" s="1"/>
  <c r="W123" i="14"/>
  <c r="C148" i="47"/>
  <c r="J148" i="47"/>
  <c r="K148" i="47" s="1"/>
  <c r="J129" i="14"/>
  <c r="L129" i="14" s="1"/>
  <c r="C129" i="14"/>
  <c r="S129" i="14"/>
  <c r="X129" i="14" s="1"/>
  <c r="W129" i="14"/>
  <c r="C77" i="14"/>
  <c r="J77" i="14"/>
  <c r="L77" i="14" s="1"/>
  <c r="S77" i="14"/>
  <c r="Y77" i="14" s="1"/>
  <c r="V77" i="14"/>
  <c r="W77" i="14"/>
  <c r="J72" i="14"/>
  <c r="L72" i="14" s="1"/>
  <c r="J73" i="14"/>
  <c r="L73" i="14" s="1"/>
  <c r="J74" i="14"/>
  <c r="L74" i="14" s="1"/>
  <c r="J75" i="14"/>
  <c r="L75" i="14" s="1"/>
  <c r="J76" i="14"/>
  <c r="L76" i="14" s="1"/>
  <c r="J78" i="14"/>
  <c r="L78" i="14" s="1"/>
  <c r="J79" i="14"/>
  <c r="L79" i="14" s="1"/>
  <c r="J80" i="14"/>
  <c r="L80" i="14" s="1"/>
  <c r="J100" i="14"/>
  <c r="L100" i="14" s="1"/>
  <c r="J91" i="14"/>
  <c r="L91" i="14" s="1"/>
  <c r="J92" i="14"/>
  <c r="L92" i="14" s="1"/>
  <c r="J93" i="14"/>
  <c r="L93" i="14" s="1"/>
  <c r="J82" i="14"/>
  <c r="L82" i="14" s="1"/>
  <c r="J85" i="14"/>
  <c r="L85" i="14" s="1"/>
  <c r="J86" i="14"/>
  <c r="L86" i="14" s="1"/>
  <c r="J87" i="14"/>
  <c r="L87" i="14" s="1"/>
  <c r="J83" i="14"/>
  <c r="L83" i="14" s="1"/>
  <c r="J81" i="14"/>
  <c r="L81" i="14" s="1"/>
  <c r="J84" i="14"/>
  <c r="L84" i="14" s="1"/>
  <c r="J103" i="14"/>
  <c r="L103" i="14" s="1"/>
  <c r="J104" i="14"/>
  <c r="L104" i="14" s="1"/>
  <c r="J105" i="14"/>
  <c r="L105" i="14" s="1"/>
  <c r="J106" i="14"/>
  <c r="L106" i="14" s="1"/>
  <c r="J99" i="14"/>
  <c r="L99" i="14" s="1"/>
  <c r="J94" i="14"/>
  <c r="L94" i="14" s="1"/>
  <c r="J88" i="14"/>
  <c r="L88" i="14" s="1"/>
  <c r="J89" i="14"/>
  <c r="L89" i="14" s="1"/>
  <c r="J90" i="14"/>
  <c r="L90" i="14" s="1"/>
  <c r="J109" i="14"/>
  <c r="L109" i="14" s="1"/>
  <c r="J110" i="14"/>
  <c r="L110" i="14" s="1"/>
  <c r="J111" i="14"/>
  <c r="L111" i="14" s="1"/>
  <c r="J101" i="14"/>
  <c r="L101" i="14" s="1"/>
  <c r="J102" i="14"/>
  <c r="L102" i="14" s="1"/>
  <c r="J108" i="14"/>
  <c r="L108" i="14" s="1"/>
  <c r="J98" i="14"/>
  <c r="L98" i="14" s="1"/>
  <c r="J95" i="14"/>
  <c r="L95" i="14" s="1"/>
  <c r="J96" i="14"/>
  <c r="L96" i="14" s="1"/>
  <c r="J97" i="14"/>
  <c r="L97" i="14" s="1"/>
  <c r="J120" i="14"/>
  <c r="L120" i="14" s="1"/>
  <c r="J122" i="14"/>
  <c r="L122" i="14" s="1"/>
  <c r="J119" i="14"/>
  <c r="L119" i="14" s="1"/>
  <c r="J116" i="14"/>
  <c r="L116" i="14" s="1"/>
  <c r="J107" i="14"/>
  <c r="L107" i="14" s="1"/>
  <c r="J114" i="14"/>
  <c r="L114" i="14" s="1"/>
  <c r="J115" i="14"/>
  <c r="L115" i="14" s="1"/>
  <c r="L153" i="14"/>
  <c r="J118" i="14"/>
  <c r="L118" i="14" s="1"/>
  <c r="J112" i="14"/>
  <c r="L112" i="14" s="1"/>
  <c r="J113" i="14"/>
  <c r="L113" i="14" s="1"/>
  <c r="J117" i="14"/>
  <c r="L117" i="14" s="1"/>
  <c r="J127" i="14"/>
  <c r="L127" i="14" s="1"/>
  <c r="J135" i="14"/>
  <c r="L135" i="14" s="1"/>
  <c r="J128" i="14"/>
  <c r="L128" i="14" s="1"/>
  <c r="J136" i="14"/>
  <c r="L136" i="14" s="1"/>
  <c r="J124" i="14"/>
  <c r="L124" i="14" s="1"/>
  <c r="J138" i="14"/>
  <c r="L138" i="14" s="1"/>
  <c r="C136" i="14"/>
  <c r="C124" i="14"/>
  <c r="C138" i="14"/>
  <c r="S136" i="14"/>
  <c r="Z136" i="14" s="1"/>
  <c r="S124" i="14"/>
  <c r="AA124" i="14" s="1"/>
  <c r="S138" i="14"/>
  <c r="Z138" i="14" s="1"/>
  <c r="W136" i="14"/>
  <c r="W124" i="14"/>
  <c r="W138" i="14"/>
  <c r="C72" i="14"/>
  <c r="C73" i="14"/>
  <c r="C74" i="14"/>
  <c r="C75" i="14"/>
  <c r="C76" i="14"/>
  <c r="C78" i="14"/>
  <c r="C79" i="14"/>
  <c r="C80" i="14"/>
  <c r="C100" i="14"/>
  <c r="C91" i="14"/>
  <c r="C92" i="14"/>
  <c r="C93" i="14"/>
  <c r="C82" i="14"/>
  <c r="C85" i="14"/>
  <c r="C86" i="14"/>
  <c r="C87" i="14"/>
  <c r="C83" i="14"/>
  <c r="C81" i="14"/>
  <c r="C84" i="14"/>
  <c r="C103" i="14"/>
  <c r="C104" i="14"/>
  <c r="C105" i="14"/>
  <c r="C106" i="14"/>
  <c r="C99" i="14"/>
  <c r="C94" i="14"/>
  <c r="C88" i="14"/>
  <c r="C89" i="14"/>
  <c r="C90" i="14"/>
  <c r="C109" i="14"/>
  <c r="C110" i="14"/>
  <c r="C111" i="14"/>
  <c r="C101" i="14"/>
  <c r="C102" i="14"/>
  <c r="C108" i="14"/>
  <c r="C98" i="14"/>
  <c r="C95" i="14"/>
  <c r="C96" i="14"/>
  <c r="C97" i="14"/>
  <c r="C120" i="14"/>
  <c r="C107" i="14"/>
  <c r="C114" i="14"/>
  <c r="C115" i="14"/>
  <c r="C118" i="14"/>
  <c r="C112" i="14"/>
  <c r="C113" i="14"/>
  <c r="C117" i="14"/>
  <c r="C135" i="14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22" i="14"/>
  <c r="V19" i="14"/>
  <c r="V20" i="14"/>
  <c r="V21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59" i="14"/>
  <c r="V60" i="14"/>
  <c r="V37" i="14"/>
  <c r="V38" i="14"/>
  <c r="V39" i="14"/>
  <c r="V40" i="14"/>
  <c r="V41" i="14"/>
  <c r="V42" i="14"/>
  <c r="V43" i="14"/>
  <c r="V44" i="14"/>
  <c r="V45" i="14"/>
  <c r="V46" i="14"/>
  <c r="V47" i="14"/>
  <c r="V53" i="14"/>
  <c r="V54" i="14"/>
  <c r="V55" i="14"/>
  <c r="V56" i="14"/>
  <c r="V51" i="14"/>
  <c r="V52" i="14"/>
  <c r="V49" i="14"/>
  <c r="V50" i="14"/>
  <c r="V64" i="14"/>
  <c r="V65" i="14"/>
  <c r="V48" i="14"/>
  <c r="V58" i="14"/>
  <c r="V57" i="14"/>
  <c r="V61" i="14"/>
  <c r="V62" i="14"/>
  <c r="V63" i="14"/>
  <c r="V71" i="14"/>
  <c r="V66" i="14"/>
  <c r="V67" i="14"/>
  <c r="V68" i="14"/>
  <c r="V69" i="14"/>
  <c r="V70" i="14"/>
  <c r="V72" i="14"/>
  <c r="V73" i="14"/>
  <c r="V74" i="14"/>
  <c r="V75" i="14"/>
  <c r="V76" i="14"/>
  <c r="V78" i="14"/>
  <c r="V79" i="14"/>
  <c r="V80" i="14"/>
  <c r="V100" i="14"/>
  <c r="V155" i="14"/>
  <c r="V156" i="14"/>
  <c r="V157" i="14"/>
  <c r="V91" i="14"/>
  <c r="V92" i="14"/>
  <c r="V93" i="14"/>
  <c r="V82" i="14"/>
  <c r="V85" i="14"/>
  <c r="V86" i="14"/>
  <c r="V87" i="14"/>
  <c r="V83" i="14"/>
  <c r="V81" i="14"/>
  <c r="V84" i="14"/>
  <c r="V103" i="14"/>
  <c r="V104" i="14"/>
  <c r="V105" i="14"/>
  <c r="V106" i="14"/>
  <c r="V99" i="14"/>
  <c r="V94" i="14"/>
  <c r="V88" i="14"/>
  <c r="V89" i="14"/>
  <c r="V90" i="14"/>
  <c r="V109" i="14"/>
  <c r="V110" i="14"/>
  <c r="V111" i="14"/>
  <c r="V101" i="14"/>
  <c r="V102" i="14"/>
  <c r="V108" i="14"/>
  <c r="V98" i="14"/>
  <c r="V95" i="14"/>
  <c r="V96" i="14"/>
  <c r="V97" i="14"/>
  <c r="V120" i="14"/>
  <c r="V122" i="14"/>
  <c r="V119" i="14"/>
  <c r="V116" i="14"/>
  <c r="V107" i="14"/>
  <c r="V114" i="14"/>
  <c r="V115" i="14"/>
  <c r="V153" i="14"/>
  <c r="V118" i="14"/>
  <c r="V112" i="14"/>
  <c r="V113" i="14"/>
  <c r="V117" i="14"/>
  <c r="V127" i="14"/>
  <c r="V135" i="14"/>
  <c r="V128" i="14"/>
  <c r="V2" i="14"/>
  <c r="R2" i="22"/>
  <c r="R3" i="22"/>
  <c r="R4" i="22"/>
  <c r="R5" i="22"/>
  <c r="R6" i="22"/>
  <c r="R7" i="22"/>
  <c r="R8" i="22"/>
  <c r="R9" i="22"/>
  <c r="R10" i="22"/>
  <c r="R11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R24" i="22"/>
  <c r="R25" i="22"/>
  <c r="R26" i="22"/>
  <c r="R27" i="22"/>
  <c r="R28" i="22"/>
  <c r="R29" i="22"/>
  <c r="R30" i="22"/>
  <c r="R31" i="22"/>
  <c r="R32" i="22"/>
  <c r="R33" i="22"/>
  <c r="R34" i="22"/>
  <c r="R35" i="22"/>
  <c r="R36" i="22"/>
  <c r="R37" i="22"/>
  <c r="R38" i="22"/>
  <c r="R39" i="22"/>
  <c r="R40" i="22"/>
  <c r="R41" i="22"/>
  <c r="R42" i="22"/>
  <c r="R43" i="22"/>
  <c r="R44" i="22"/>
  <c r="R45" i="22"/>
  <c r="R46" i="22"/>
  <c r="R47" i="22"/>
  <c r="R48" i="22"/>
  <c r="R49" i="22"/>
  <c r="R50" i="22"/>
  <c r="R51" i="22"/>
  <c r="R52" i="22"/>
  <c r="R53" i="22"/>
  <c r="R54" i="22"/>
  <c r="R55" i="22"/>
  <c r="R56" i="22"/>
  <c r="R57" i="22"/>
  <c r="R58" i="22"/>
  <c r="R59" i="22"/>
  <c r="R60" i="22"/>
  <c r="R61" i="22"/>
  <c r="R62" i="22"/>
  <c r="R63" i="22"/>
  <c r="R64" i="22"/>
  <c r="R65" i="22"/>
  <c r="R66" i="22"/>
  <c r="R67" i="22"/>
  <c r="R68" i="22"/>
  <c r="R69" i="22"/>
  <c r="R70" i="22"/>
  <c r="R71" i="22"/>
  <c r="R72" i="22"/>
  <c r="R73" i="22"/>
  <c r="R74" i="22"/>
  <c r="R75" i="22"/>
  <c r="R76" i="22"/>
  <c r="R77" i="22"/>
  <c r="R78" i="22"/>
  <c r="R79" i="22"/>
  <c r="R80" i="22"/>
  <c r="R81" i="22"/>
  <c r="R82" i="22"/>
  <c r="R83" i="22"/>
  <c r="R84" i="22"/>
  <c r="R85" i="22"/>
  <c r="R86" i="22"/>
  <c r="R87" i="22"/>
  <c r="R88" i="22"/>
  <c r="R89" i="22"/>
  <c r="R90" i="22"/>
  <c r="R91" i="22"/>
  <c r="R92" i="22"/>
  <c r="R93" i="22"/>
  <c r="R94" i="22"/>
  <c r="R95" i="22"/>
  <c r="R96" i="22"/>
  <c r="R97" i="22"/>
  <c r="R98" i="22"/>
  <c r="R99" i="22"/>
  <c r="R100" i="22"/>
  <c r="R101" i="22"/>
  <c r="R102" i="22"/>
  <c r="R103" i="22"/>
  <c r="R104" i="22"/>
  <c r="R117" i="22"/>
  <c r="R118" i="22"/>
  <c r="R119" i="22"/>
  <c r="R105" i="22"/>
  <c r="R112" i="22"/>
  <c r="R106" i="22"/>
  <c r="R107" i="22"/>
  <c r="R108" i="22"/>
  <c r="R109" i="22"/>
  <c r="R110" i="22"/>
  <c r="R113" i="22"/>
  <c r="R121" i="22"/>
  <c r="R114" i="22"/>
  <c r="R115" i="22"/>
  <c r="R116" i="22"/>
  <c r="R120" i="22"/>
  <c r="R111" i="22"/>
  <c r="R122" i="22"/>
  <c r="R123" i="22"/>
  <c r="R124" i="22"/>
  <c r="R125" i="22"/>
  <c r="R126" i="22"/>
  <c r="R127" i="22"/>
  <c r="R128" i="22"/>
  <c r="R129" i="22"/>
  <c r="R130" i="22"/>
  <c r="R131" i="22"/>
  <c r="R132" i="22"/>
  <c r="R133" i="22"/>
  <c r="R134" i="22"/>
  <c r="R135" i="22"/>
  <c r="R136" i="22"/>
  <c r="R137" i="22"/>
  <c r="R138" i="22"/>
  <c r="R139" i="22"/>
  <c r="R140" i="22"/>
  <c r="R141" i="22"/>
  <c r="R142" i="22"/>
  <c r="R143" i="22"/>
  <c r="R144" i="22"/>
  <c r="R145" i="22"/>
  <c r="R146" i="22"/>
  <c r="R147" i="22"/>
  <c r="R148" i="22"/>
  <c r="R149" i="22"/>
  <c r="R150" i="22"/>
  <c r="R151" i="22"/>
  <c r="R152" i="22"/>
  <c r="R153" i="22"/>
  <c r="R154" i="22"/>
  <c r="R155" i="22"/>
  <c r="R156" i="22"/>
  <c r="R157" i="22"/>
  <c r="R158" i="22"/>
  <c r="R159" i="22"/>
  <c r="R160" i="22"/>
  <c r="R161" i="22"/>
  <c r="R162" i="22"/>
  <c r="R163" i="22"/>
  <c r="R164" i="22"/>
  <c r="R165" i="22"/>
  <c r="R166" i="22"/>
  <c r="R167" i="22"/>
  <c r="R168" i="22"/>
  <c r="R169" i="22"/>
  <c r="R170" i="22"/>
  <c r="R171" i="22"/>
  <c r="R172" i="22"/>
  <c r="R173" i="22"/>
  <c r="R174" i="22"/>
  <c r="R175" i="22"/>
  <c r="R176" i="22"/>
  <c r="R177" i="22"/>
  <c r="R178" i="22"/>
  <c r="R179" i="22"/>
  <c r="R180" i="22"/>
  <c r="R181" i="22"/>
  <c r="R182" i="22"/>
  <c r="R183" i="22"/>
  <c r="R184" i="22"/>
  <c r="R185" i="22"/>
  <c r="R186" i="22"/>
  <c r="R187" i="22"/>
  <c r="R188" i="22"/>
  <c r="R189" i="22"/>
  <c r="R190" i="22"/>
  <c r="R191" i="22"/>
  <c r="R192" i="22"/>
  <c r="R193" i="22"/>
  <c r="R194" i="22"/>
  <c r="R195" i="22"/>
  <c r="R196" i="22"/>
  <c r="R197" i="22"/>
  <c r="R198" i="22"/>
  <c r="R199" i="22"/>
  <c r="S140" i="22"/>
  <c r="T140" i="22"/>
  <c r="W140" i="22" s="1"/>
  <c r="S141" i="22"/>
  <c r="T141" i="22"/>
  <c r="W141" i="22" s="1"/>
  <c r="S142" i="22"/>
  <c r="T142" i="22"/>
  <c r="W142" i="22" s="1"/>
  <c r="S143" i="22"/>
  <c r="T143" i="22"/>
  <c r="W143" i="22" s="1"/>
  <c r="S144" i="22"/>
  <c r="T144" i="22"/>
  <c r="W144" i="22" s="1"/>
  <c r="S145" i="22"/>
  <c r="T145" i="22"/>
  <c r="W145" i="22" s="1"/>
  <c r="S146" i="22"/>
  <c r="T146" i="22"/>
  <c r="W146" i="22" s="1"/>
  <c r="S147" i="22"/>
  <c r="T147" i="22"/>
  <c r="W147" i="22" s="1"/>
  <c r="S148" i="22"/>
  <c r="T148" i="22"/>
  <c r="W148" i="22" s="1"/>
  <c r="S149" i="22"/>
  <c r="T149" i="22"/>
  <c r="W149" i="22" s="1"/>
  <c r="S150" i="22"/>
  <c r="T150" i="22"/>
  <c r="W150" i="22" s="1"/>
  <c r="S151" i="22"/>
  <c r="T151" i="22"/>
  <c r="W151" i="22" s="1"/>
  <c r="S152" i="22"/>
  <c r="T152" i="22"/>
  <c r="W152" i="22" s="1"/>
  <c r="S153" i="22"/>
  <c r="T153" i="22"/>
  <c r="W153" i="22" s="1"/>
  <c r="S154" i="22"/>
  <c r="T154" i="22"/>
  <c r="W154" i="22" s="1"/>
  <c r="S155" i="22"/>
  <c r="T155" i="22"/>
  <c r="W155" i="22" s="1"/>
  <c r="S156" i="22"/>
  <c r="T156" i="22"/>
  <c r="W156" i="22" s="1"/>
  <c r="S157" i="22"/>
  <c r="T157" i="22"/>
  <c r="W157" i="22" s="1"/>
  <c r="S158" i="22"/>
  <c r="T158" i="22"/>
  <c r="W158" i="22" s="1"/>
  <c r="S159" i="22"/>
  <c r="T159" i="22"/>
  <c r="W159" i="22" s="1"/>
  <c r="S160" i="22"/>
  <c r="T160" i="22"/>
  <c r="W160" i="22" s="1"/>
  <c r="S161" i="22"/>
  <c r="T161" i="22"/>
  <c r="W161" i="22" s="1"/>
  <c r="S162" i="22"/>
  <c r="T162" i="22"/>
  <c r="W162" i="22" s="1"/>
  <c r="S163" i="22"/>
  <c r="T163" i="22"/>
  <c r="W163" i="22" s="1"/>
  <c r="S164" i="22"/>
  <c r="T164" i="22"/>
  <c r="W164" i="22" s="1"/>
  <c r="S165" i="22"/>
  <c r="T165" i="22"/>
  <c r="W165" i="22" s="1"/>
  <c r="S166" i="22"/>
  <c r="T166" i="22"/>
  <c r="W166" i="22" s="1"/>
  <c r="S167" i="22"/>
  <c r="T167" i="22"/>
  <c r="W167" i="22" s="1"/>
  <c r="S168" i="22"/>
  <c r="T168" i="22"/>
  <c r="W168" i="22" s="1"/>
  <c r="S169" i="22"/>
  <c r="T169" i="22"/>
  <c r="W169" i="22" s="1"/>
  <c r="S170" i="22"/>
  <c r="T170" i="22"/>
  <c r="W170" i="22" s="1"/>
  <c r="S171" i="22"/>
  <c r="T171" i="22"/>
  <c r="W171" i="22" s="1"/>
  <c r="S172" i="22"/>
  <c r="T172" i="22"/>
  <c r="W172" i="22" s="1"/>
  <c r="S173" i="22"/>
  <c r="T173" i="22"/>
  <c r="W173" i="22" s="1"/>
  <c r="S174" i="22"/>
  <c r="T174" i="22"/>
  <c r="W174" i="22" s="1"/>
  <c r="S175" i="22"/>
  <c r="T175" i="22"/>
  <c r="W175" i="22" s="1"/>
  <c r="S176" i="22"/>
  <c r="T176" i="22"/>
  <c r="W176" i="22" s="1"/>
  <c r="S177" i="22"/>
  <c r="T177" i="22"/>
  <c r="W177" i="22" s="1"/>
  <c r="S178" i="22"/>
  <c r="T178" i="22"/>
  <c r="W178" i="22" s="1"/>
  <c r="S179" i="22"/>
  <c r="T179" i="22"/>
  <c r="W179" i="22" s="1"/>
  <c r="S180" i="22"/>
  <c r="T180" i="22"/>
  <c r="W180" i="22" s="1"/>
  <c r="S181" i="22"/>
  <c r="T181" i="22"/>
  <c r="W181" i="22" s="1"/>
  <c r="S182" i="22"/>
  <c r="T182" i="22"/>
  <c r="W182" i="22" s="1"/>
  <c r="S183" i="22"/>
  <c r="T183" i="22"/>
  <c r="W183" i="22" s="1"/>
  <c r="S184" i="22"/>
  <c r="T184" i="22"/>
  <c r="W184" i="22" s="1"/>
  <c r="S185" i="22"/>
  <c r="T185" i="22"/>
  <c r="W185" i="22" s="1"/>
  <c r="S186" i="22"/>
  <c r="T186" i="22"/>
  <c r="W186" i="22" s="1"/>
  <c r="S187" i="22"/>
  <c r="T187" i="22"/>
  <c r="W187" i="22" s="1"/>
  <c r="S188" i="22"/>
  <c r="T188" i="22"/>
  <c r="W188" i="22" s="1"/>
  <c r="S189" i="22"/>
  <c r="T189" i="22"/>
  <c r="W189" i="22" s="1"/>
  <c r="S190" i="22"/>
  <c r="T190" i="22"/>
  <c r="W190" i="22" s="1"/>
  <c r="S191" i="22"/>
  <c r="T191" i="22"/>
  <c r="W191" i="22" s="1"/>
  <c r="S192" i="22"/>
  <c r="T192" i="22"/>
  <c r="W192" i="22" s="1"/>
  <c r="S193" i="22"/>
  <c r="T193" i="22"/>
  <c r="W193" i="22" s="1"/>
  <c r="S194" i="22"/>
  <c r="T194" i="22"/>
  <c r="W194" i="22" s="1"/>
  <c r="S195" i="22"/>
  <c r="T195" i="22"/>
  <c r="W195" i="22" s="1"/>
  <c r="S196" i="22"/>
  <c r="T196" i="22"/>
  <c r="W196" i="22" s="1"/>
  <c r="S197" i="22"/>
  <c r="T197" i="22"/>
  <c r="W197" i="22" s="1"/>
  <c r="S198" i="22"/>
  <c r="T198" i="22"/>
  <c r="W198" i="22" s="1"/>
  <c r="S199" i="22"/>
  <c r="T199" i="22"/>
  <c r="W199" i="22" s="1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J180" i="22"/>
  <c r="K180" i="22" s="1"/>
  <c r="J179" i="22"/>
  <c r="J159" i="22"/>
  <c r="K159" i="22" s="1"/>
  <c r="J160" i="22"/>
  <c r="K160" i="22" s="1"/>
  <c r="A13" i="41" l="1" a="1"/>
  <c r="A13" i="41" s="1"/>
  <c r="C10" i="37" a="1"/>
  <c r="C10" i="37" s="1"/>
  <c r="Y200" i="22"/>
  <c r="Z200" i="22"/>
  <c r="X200" i="22"/>
  <c r="Z123" i="14"/>
  <c r="AA123" i="14"/>
  <c r="Y123" i="14"/>
  <c r="G7" i="34"/>
  <c r="AA129" i="14"/>
  <c r="Z129" i="14"/>
  <c r="Y129" i="14"/>
  <c r="Z77" i="14"/>
  <c r="X77" i="14"/>
  <c r="AA77" i="14"/>
  <c r="C38" i="23"/>
  <c r="C36" i="23"/>
  <c r="C34" i="23"/>
  <c r="Y138" i="14"/>
  <c r="Y124" i="14"/>
  <c r="X124" i="14"/>
  <c r="X138" i="14"/>
  <c r="Y136" i="14"/>
  <c r="X136" i="14"/>
  <c r="AA138" i="14"/>
  <c r="AA136" i="14"/>
  <c r="Z124" i="14"/>
  <c r="C13" i="23"/>
  <c r="C12" i="23"/>
  <c r="Z198" i="22"/>
  <c r="Z196" i="22"/>
  <c r="Z194" i="22"/>
  <c r="Z192" i="22"/>
  <c r="Z190" i="22"/>
  <c r="Z188" i="22"/>
  <c r="Z186" i="22"/>
  <c r="Z184" i="22"/>
  <c r="Z182" i="22"/>
  <c r="Z180" i="22"/>
  <c r="Z178" i="22"/>
  <c r="Z176" i="22"/>
  <c r="Z174" i="22"/>
  <c r="Z172" i="22"/>
  <c r="Z170" i="22"/>
  <c r="Z168" i="22"/>
  <c r="Z166" i="22"/>
  <c r="Z164" i="22"/>
  <c r="Z162" i="22"/>
  <c r="Z160" i="22"/>
  <c r="Z158" i="22"/>
  <c r="Z156" i="22"/>
  <c r="Z155" i="22"/>
  <c r="Z153" i="22"/>
  <c r="Z151" i="22"/>
  <c r="Z149" i="22"/>
  <c r="Z147" i="22"/>
  <c r="Z145" i="22"/>
  <c r="Z143" i="22"/>
  <c r="Z141" i="22"/>
  <c r="Y196" i="22"/>
  <c r="Y194" i="22"/>
  <c r="Y190" i="22"/>
  <c r="Y186" i="22"/>
  <c r="Y182" i="22"/>
  <c r="Y178" i="22"/>
  <c r="Y174" i="22"/>
  <c r="Y172" i="22"/>
  <c r="Y168" i="22"/>
  <c r="Y164" i="22"/>
  <c r="Y160" i="22"/>
  <c r="Y156" i="22"/>
  <c r="Y153" i="22"/>
  <c r="Y149" i="22"/>
  <c r="Y145" i="22"/>
  <c r="Y143" i="22"/>
  <c r="X198" i="22"/>
  <c r="X194" i="22"/>
  <c r="X190" i="22"/>
  <c r="X186" i="22"/>
  <c r="X182" i="22"/>
  <c r="X180" i="22"/>
  <c r="X178" i="22"/>
  <c r="X176" i="22"/>
  <c r="X174" i="22"/>
  <c r="X172" i="22"/>
  <c r="X170" i="22"/>
  <c r="X168" i="22"/>
  <c r="X166" i="22"/>
  <c r="X164" i="22"/>
  <c r="X162" i="22"/>
  <c r="X160" i="22"/>
  <c r="X158" i="22"/>
  <c r="X156" i="22"/>
  <c r="X155" i="22"/>
  <c r="X153" i="22"/>
  <c r="X151" i="22"/>
  <c r="X149" i="22"/>
  <c r="X147" i="22"/>
  <c r="X145" i="22"/>
  <c r="X143" i="22"/>
  <c r="X141" i="22"/>
  <c r="Y198" i="22"/>
  <c r="Y192" i="22"/>
  <c r="Y188" i="22"/>
  <c r="Y184" i="22"/>
  <c r="Y180" i="22"/>
  <c r="Y176" i="22"/>
  <c r="Y170" i="22"/>
  <c r="Y166" i="22"/>
  <c r="Y162" i="22"/>
  <c r="Y158" i="22"/>
  <c r="Y155" i="22"/>
  <c r="Y151" i="22"/>
  <c r="Y147" i="22"/>
  <c r="Y141" i="22"/>
  <c r="X196" i="22"/>
  <c r="X192" i="22"/>
  <c r="X188" i="22"/>
  <c r="X184" i="22"/>
  <c r="Z199" i="22"/>
  <c r="Z197" i="22"/>
  <c r="Z195" i="22"/>
  <c r="Z193" i="22"/>
  <c r="Z191" i="22"/>
  <c r="Z189" i="22"/>
  <c r="Z187" i="22"/>
  <c r="Z185" i="22"/>
  <c r="Z183" i="22"/>
  <c r="Z181" i="22"/>
  <c r="Z179" i="22"/>
  <c r="Z177" i="22"/>
  <c r="Z175" i="22"/>
  <c r="Z173" i="22"/>
  <c r="Z171" i="22"/>
  <c r="Z169" i="22"/>
  <c r="Z167" i="22"/>
  <c r="Z165" i="22"/>
  <c r="Z163" i="22"/>
  <c r="Z161" i="22"/>
  <c r="Z159" i="22"/>
  <c r="Z157" i="22"/>
  <c r="Z154" i="22"/>
  <c r="Z152" i="22"/>
  <c r="Z150" i="22"/>
  <c r="Z148" i="22"/>
  <c r="Z146" i="22"/>
  <c r="Z144" i="22"/>
  <c r="Z142" i="22"/>
  <c r="Z140" i="22"/>
  <c r="Y199" i="22"/>
  <c r="Y197" i="22"/>
  <c r="Y195" i="22"/>
  <c r="Y193" i="22"/>
  <c r="Y191" i="22"/>
  <c r="Y189" i="22"/>
  <c r="Y187" i="22"/>
  <c r="Y185" i="22"/>
  <c r="Y183" i="22"/>
  <c r="Y181" i="22"/>
  <c r="Y179" i="22"/>
  <c r="Y177" i="22"/>
  <c r="Y175" i="22"/>
  <c r="Y173" i="22"/>
  <c r="Y171" i="22"/>
  <c r="Y169" i="22"/>
  <c r="Y167" i="22"/>
  <c r="Y165" i="22"/>
  <c r="Y163" i="22"/>
  <c r="Y161" i="22"/>
  <c r="Y159" i="22"/>
  <c r="Y157" i="22"/>
  <c r="Y154" i="22"/>
  <c r="Y152" i="22"/>
  <c r="Y150" i="22"/>
  <c r="Y148" i="22"/>
  <c r="Y146" i="22"/>
  <c r="Y144" i="22"/>
  <c r="Y142" i="22"/>
  <c r="Y140" i="22"/>
  <c r="X199" i="22"/>
  <c r="X197" i="22"/>
  <c r="X195" i="22"/>
  <c r="X193" i="22"/>
  <c r="X191" i="22"/>
  <c r="X189" i="22"/>
  <c r="X187" i="22"/>
  <c r="X185" i="22"/>
  <c r="X183" i="22"/>
  <c r="X181" i="22"/>
  <c r="X179" i="22"/>
  <c r="X177" i="22"/>
  <c r="X175" i="22"/>
  <c r="X173" i="22"/>
  <c r="X171" i="22"/>
  <c r="X169" i="22"/>
  <c r="X167" i="22"/>
  <c r="X165" i="22"/>
  <c r="X163" i="22"/>
  <c r="X161" i="22"/>
  <c r="X159" i="22"/>
  <c r="X157" i="22"/>
  <c r="X154" i="22"/>
  <c r="X152" i="22"/>
  <c r="X150" i="22"/>
  <c r="X148" i="22"/>
  <c r="X146" i="22"/>
  <c r="X144" i="22"/>
  <c r="X142" i="22"/>
  <c r="X140" i="22"/>
  <c r="J140" i="22"/>
  <c r="K140" i="22" s="1"/>
  <c r="J141" i="22"/>
  <c r="K141" i="22" s="1"/>
  <c r="J142" i="22"/>
  <c r="K142" i="22" s="1"/>
  <c r="J143" i="22"/>
  <c r="J144" i="22"/>
  <c r="K144" i="22" s="1"/>
  <c r="J145" i="22"/>
  <c r="K145" i="22" s="1"/>
  <c r="J146" i="22"/>
  <c r="K146" i="22" s="1"/>
  <c r="J147" i="22"/>
  <c r="K147" i="22" s="1"/>
  <c r="J148" i="22"/>
  <c r="K148" i="22" s="1"/>
  <c r="J149" i="22"/>
  <c r="K149" i="22" s="1"/>
  <c r="J150" i="22"/>
  <c r="K150" i="22" s="1"/>
  <c r="J151" i="22"/>
  <c r="K151" i="22" s="1"/>
  <c r="J152" i="22"/>
  <c r="J153" i="22"/>
  <c r="K153" i="22" s="1"/>
  <c r="J154" i="22"/>
  <c r="K154" i="22" s="1"/>
  <c r="J155" i="22"/>
  <c r="K155" i="22" s="1"/>
  <c r="J156" i="22"/>
  <c r="K156" i="22" s="1"/>
  <c r="J157" i="22"/>
  <c r="K157" i="22" s="1"/>
  <c r="J158" i="22"/>
  <c r="K158" i="22" s="1"/>
  <c r="J161" i="22"/>
  <c r="K161" i="22" s="1"/>
  <c r="J162" i="22"/>
  <c r="K162" i="22" s="1"/>
  <c r="J163" i="22"/>
  <c r="K163" i="22" s="1"/>
  <c r="J164" i="22"/>
  <c r="K164" i="22" s="1"/>
  <c r="J165" i="22"/>
  <c r="K165" i="22" s="1"/>
  <c r="J166" i="22"/>
  <c r="J167" i="22"/>
  <c r="K167" i="22" s="1"/>
  <c r="J168" i="22"/>
  <c r="K168" i="22" s="1"/>
  <c r="J169" i="22"/>
  <c r="K169" i="22" s="1"/>
  <c r="J170" i="22"/>
  <c r="K170" i="22" s="1"/>
  <c r="J171" i="22"/>
  <c r="K171" i="22" s="1"/>
  <c r="J172" i="22"/>
  <c r="K172" i="22" s="1"/>
  <c r="J173" i="22"/>
  <c r="J174" i="22"/>
  <c r="K174" i="22" s="1"/>
  <c r="J175" i="22"/>
  <c r="K175" i="22" s="1"/>
  <c r="J176" i="22"/>
  <c r="K176" i="22" s="1"/>
  <c r="J177" i="22"/>
  <c r="K177" i="22" s="1"/>
  <c r="J178" i="22"/>
  <c r="K178" i="22" s="1"/>
  <c r="K179" i="22"/>
  <c r="J181" i="22"/>
  <c r="K181" i="22" s="1"/>
  <c r="J182" i="22"/>
  <c r="J183" i="22"/>
  <c r="K183" i="22" s="1"/>
  <c r="J184" i="22"/>
  <c r="K184" i="22" s="1"/>
  <c r="J185" i="22"/>
  <c r="K185" i="22" s="1"/>
  <c r="J186" i="22"/>
  <c r="K186" i="22" s="1"/>
  <c r="J187" i="22"/>
  <c r="K187" i="22" s="1"/>
  <c r="J188" i="22"/>
  <c r="K188" i="22" s="1"/>
  <c r="J189" i="22"/>
  <c r="K189" i="22" s="1"/>
  <c r="J190" i="22"/>
  <c r="K190" i="22" s="1"/>
  <c r="J191" i="22"/>
  <c r="K191" i="22" s="1"/>
  <c r="J192" i="22"/>
  <c r="K192" i="22" s="1"/>
  <c r="J193" i="22"/>
  <c r="K193" i="22" s="1"/>
  <c r="J194" i="22"/>
  <c r="K194" i="22" s="1"/>
  <c r="J195" i="22"/>
  <c r="K195" i="22" s="1"/>
  <c r="J196" i="22"/>
  <c r="K196" i="22" s="1"/>
  <c r="J197" i="22"/>
  <c r="K197" i="22" s="1"/>
  <c r="J198" i="22"/>
  <c r="K198" i="22" s="1"/>
  <c r="J199" i="22"/>
  <c r="K199" i="22" s="1"/>
  <c r="C147" i="47"/>
  <c r="J147" i="47"/>
  <c r="K147" i="47" s="1"/>
  <c r="C146" i="47"/>
  <c r="J146" i="47"/>
  <c r="K146" i="47" s="1"/>
  <c r="S128" i="14"/>
  <c r="Z128" i="14" s="1"/>
  <c r="W128" i="14"/>
  <c r="J145" i="47"/>
  <c r="K145" i="47" s="1"/>
  <c r="C145" i="47"/>
  <c r="C144" i="47"/>
  <c r="J144" i="47"/>
  <c r="K144" i="47" s="1"/>
  <c r="C143" i="47"/>
  <c r="J143" i="47"/>
  <c r="K143" i="47" s="1"/>
  <c r="C142" i="47"/>
  <c r="J142" i="47"/>
  <c r="K142" i="47" s="1"/>
  <c r="C141" i="47"/>
  <c r="J141" i="47"/>
  <c r="K141" i="47" s="1"/>
  <c r="C9" i="23" l="1"/>
  <c r="C11" i="23"/>
  <c r="C10" i="23"/>
  <c r="C8" i="23"/>
  <c r="K36" i="23"/>
  <c r="K34" i="23"/>
  <c r="R36" i="23"/>
  <c r="R34" i="23"/>
  <c r="K40" i="23"/>
  <c r="K38" i="23"/>
  <c r="K173" i="22"/>
  <c r="C6" i="23"/>
  <c r="K182" i="22"/>
  <c r="C7" i="23"/>
  <c r="K143" i="22"/>
  <c r="C3" i="23"/>
  <c r="K166" i="22"/>
  <c r="C5" i="23"/>
  <c r="K152" i="22"/>
  <c r="C4" i="23"/>
  <c r="C2" i="23"/>
  <c r="AA128" i="14"/>
  <c r="Y128" i="14"/>
  <c r="X128" i="14"/>
  <c r="C140" i="47" l="1"/>
  <c r="J140" i="47"/>
  <c r="K140" i="47" s="1"/>
  <c r="B17" i="46"/>
  <c r="C17" i="46" s="1"/>
  <c r="C139" i="47"/>
  <c r="J139" i="47"/>
  <c r="K139" i="47" s="1"/>
  <c r="I138" i="47"/>
  <c r="J138" i="47" s="1"/>
  <c r="K138" i="47" s="1"/>
  <c r="C138" i="47"/>
  <c r="C137" i="47"/>
  <c r="J137" i="47"/>
  <c r="K137" i="47" s="1"/>
  <c r="C136" i="47"/>
  <c r="J136" i="47"/>
  <c r="K136" i="47" s="1"/>
  <c r="S135" i="14"/>
  <c r="X135" i="14" s="1"/>
  <c r="W135" i="14"/>
  <c r="C134" i="47"/>
  <c r="J134" i="47"/>
  <c r="K134" i="47" s="1"/>
  <c r="C135" i="47"/>
  <c r="J135" i="47"/>
  <c r="K135" i="47" s="1"/>
  <c r="B18" i="46" l="1"/>
  <c r="AA135" i="14"/>
  <c r="Z135" i="14"/>
  <c r="Y135" i="14"/>
  <c r="C133" i="47"/>
  <c r="J133" i="47"/>
  <c r="K133" i="47" s="1"/>
  <c r="B15" i="46"/>
  <c r="W127" i="14"/>
  <c r="S127" i="14"/>
  <c r="AA127" i="14" s="1"/>
  <c r="S117" i="14"/>
  <c r="Y117" i="14" s="1"/>
  <c r="W117" i="14"/>
  <c r="S113" i="14"/>
  <c r="X113" i="14" s="1"/>
  <c r="W113" i="14"/>
  <c r="S112" i="14"/>
  <c r="Z112" i="14" s="1"/>
  <c r="W112" i="14"/>
  <c r="S118" i="14"/>
  <c r="X118" i="14" s="1"/>
  <c r="W118" i="14"/>
  <c r="C18" i="46" l="1"/>
  <c r="B19" i="46"/>
  <c r="C19" i="46" s="1"/>
  <c r="C15" i="46"/>
  <c r="B16" i="46"/>
  <c r="C16" i="46" s="1"/>
  <c r="X127" i="14"/>
  <c r="Y127" i="14"/>
  <c r="Z127" i="14"/>
  <c r="AA117" i="14"/>
  <c r="Z117" i="14"/>
  <c r="X117" i="14"/>
  <c r="AA113" i="14"/>
  <c r="Z113" i="14"/>
  <c r="Y113" i="14"/>
  <c r="AA112" i="14"/>
  <c r="Y112" i="14"/>
  <c r="X112" i="14"/>
  <c r="AA118" i="14"/>
  <c r="Z118" i="14"/>
  <c r="Y118" i="14"/>
  <c r="I132" i="47"/>
  <c r="J132" i="47" s="1"/>
  <c r="K132" i="47" s="1"/>
  <c r="I131" i="47"/>
  <c r="J131" i="47" s="1"/>
  <c r="K131" i="47" s="1"/>
  <c r="C132" i="47"/>
  <c r="C131" i="47"/>
  <c r="C130" i="47"/>
  <c r="J130" i="47"/>
  <c r="K130" i="47" s="1"/>
  <c r="C129" i="47" l="1"/>
  <c r="J129" i="47"/>
  <c r="K129" i="47" s="1"/>
  <c r="S107" i="14"/>
  <c r="X107" i="14" s="1"/>
  <c r="W107" i="14"/>
  <c r="S114" i="14"/>
  <c r="X114" i="14" s="1"/>
  <c r="W114" i="14"/>
  <c r="S116" i="14"/>
  <c r="X116" i="14" s="1"/>
  <c r="W116" i="14"/>
  <c r="S122" i="14"/>
  <c r="X122" i="14" s="1"/>
  <c r="W122" i="14"/>
  <c r="S119" i="14"/>
  <c r="X119" i="14" s="1"/>
  <c r="W119" i="14"/>
  <c r="C128" i="47"/>
  <c r="J128" i="47"/>
  <c r="K128" i="47" s="1"/>
  <c r="I126" i="47"/>
  <c r="J126" i="47" s="1"/>
  <c r="K126" i="47" s="1"/>
  <c r="C127" i="47"/>
  <c r="J127" i="47"/>
  <c r="K127" i="47" s="1"/>
  <c r="C126" i="47"/>
  <c r="S97" i="14"/>
  <c r="X97" i="14" s="1"/>
  <c r="W97" i="14"/>
  <c r="S120" i="14"/>
  <c r="X120" i="14" s="1"/>
  <c r="W120" i="14"/>
  <c r="C125" i="47"/>
  <c r="J125" i="47"/>
  <c r="K125" i="47" s="1"/>
  <c r="S95" i="14"/>
  <c r="X95" i="14" s="1"/>
  <c r="W95" i="14"/>
  <c r="C123" i="47"/>
  <c r="J123" i="47"/>
  <c r="K123" i="47" s="1"/>
  <c r="C124" i="47"/>
  <c r="J124" i="47"/>
  <c r="K124" i="47" s="1"/>
  <c r="C122" i="47"/>
  <c r="J122" i="47"/>
  <c r="K122" i="47" s="1"/>
  <c r="C121" i="47"/>
  <c r="J121" i="47"/>
  <c r="K121" i="47" s="1"/>
  <c r="S102" i="14"/>
  <c r="Y102" i="14" s="1"/>
  <c r="W102" i="14"/>
  <c r="S108" i="14"/>
  <c r="Y108" i="14" s="1"/>
  <c r="W108" i="14"/>
  <c r="AA107" i="14" l="1"/>
  <c r="Z107" i="14"/>
  <c r="Y107" i="14"/>
  <c r="AA114" i="14"/>
  <c r="Z114" i="14"/>
  <c r="Y114" i="14"/>
  <c r="Z116" i="14"/>
  <c r="AA116" i="14"/>
  <c r="Y116" i="14"/>
  <c r="Z119" i="14"/>
  <c r="AA122" i="14"/>
  <c r="Z122" i="14"/>
  <c r="Y122" i="14"/>
  <c r="AA119" i="14"/>
  <c r="Y119" i="14"/>
  <c r="Y120" i="14"/>
  <c r="AA97" i="14"/>
  <c r="Z97" i="14"/>
  <c r="Y97" i="14"/>
  <c r="AA120" i="14"/>
  <c r="Z120" i="14"/>
  <c r="AA95" i="14"/>
  <c r="Z95" i="14"/>
  <c r="Y95" i="14"/>
  <c r="AA102" i="14"/>
  <c r="X108" i="14"/>
  <c r="Z102" i="14"/>
  <c r="X102" i="14"/>
  <c r="AA108" i="14"/>
  <c r="Z108" i="14"/>
  <c r="C120" i="47" l="1"/>
  <c r="J120" i="47"/>
  <c r="K120" i="47" s="1"/>
  <c r="S111" i="14"/>
  <c r="X111" i="14" s="1"/>
  <c r="W111" i="14"/>
  <c r="S101" i="14"/>
  <c r="X101" i="14" s="1"/>
  <c r="W101" i="14"/>
  <c r="S98" i="14"/>
  <c r="X98" i="14" s="1"/>
  <c r="W98" i="14"/>
  <c r="S96" i="14"/>
  <c r="X96" i="14" s="1"/>
  <c r="W96" i="14"/>
  <c r="S115" i="14"/>
  <c r="X115" i="14" s="1"/>
  <c r="W115" i="14"/>
  <c r="X153" i="14"/>
  <c r="W153" i="14"/>
  <c r="C119" i="47"/>
  <c r="J119" i="47"/>
  <c r="K119" i="47" s="1"/>
  <c r="C118" i="47"/>
  <c r="J118" i="47"/>
  <c r="K118" i="47" s="1"/>
  <c r="S89" i="14"/>
  <c r="X89" i="14" s="1"/>
  <c r="W89" i="14"/>
  <c r="S88" i="14"/>
  <c r="Y88" i="14" s="1"/>
  <c r="W88" i="14"/>
  <c r="S94" i="14"/>
  <c r="X94" i="14" s="1"/>
  <c r="W94" i="14"/>
  <c r="S90" i="14"/>
  <c r="X90" i="14" s="1"/>
  <c r="W90" i="14"/>
  <c r="S109" i="14"/>
  <c r="X109" i="14" s="1"/>
  <c r="W109" i="14"/>
  <c r="B13" i="46"/>
  <c r="C13" i="46" s="1"/>
  <c r="J117" i="47"/>
  <c r="K117" i="47" s="1"/>
  <c r="C117" i="47"/>
  <c r="J116" i="47"/>
  <c r="K116" i="47" s="1"/>
  <c r="C116" i="47"/>
  <c r="B12" i="46"/>
  <c r="C12" i="46" s="1"/>
  <c r="J114" i="47"/>
  <c r="K114" i="47" s="1"/>
  <c r="J115" i="47"/>
  <c r="K115" i="47" s="1"/>
  <c r="J113" i="47"/>
  <c r="K113" i="47" s="1"/>
  <c r="C113" i="47"/>
  <c r="B114" i="47"/>
  <c r="B14" i="46" l="1"/>
  <c r="C14" i="46" s="1"/>
  <c r="AA111" i="14"/>
  <c r="Z111" i="14"/>
  <c r="Y111" i="14"/>
  <c r="AA101" i="14"/>
  <c r="Z101" i="14"/>
  <c r="Y101" i="14"/>
  <c r="AA98" i="14"/>
  <c r="Z98" i="14"/>
  <c r="Y98" i="14"/>
  <c r="AA115" i="14"/>
  <c r="Y115" i="14"/>
  <c r="Z115" i="14"/>
  <c r="AA96" i="14"/>
  <c r="Z96" i="14"/>
  <c r="Y96" i="14"/>
  <c r="AA153" i="14"/>
  <c r="Z153" i="14"/>
  <c r="Y153" i="14"/>
  <c r="AA89" i="14"/>
  <c r="Z89" i="14"/>
  <c r="Y89" i="14"/>
  <c r="Z88" i="14"/>
  <c r="AA88" i="14"/>
  <c r="X88" i="14"/>
  <c r="AA94" i="14"/>
  <c r="Z94" i="14"/>
  <c r="Y94" i="14"/>
  <c r="Z90" i="14"/>
  <c r="Y90" i="14"/>
  <c r="AA90" i="14"/>
  <c r="AA109" i="14"/>
  <c r="Z109" i="14"/>
  <c r="Y109" i="14"/>
  <c r="C114" i="47"/>
  <c r="B115" i="47"/>
  <c r="C115" i="47" s="1"/>
  <c r="J2" i="22" l="1"/>
  <c r="K2" i="22" s="1"/>
  <c r="J3" i="22"/>
  <c r="K3" i="22" s="1"/>
  <c r="J4" i="22"/>
  <c r="K4" i="22" s="1"/>
  <c r="J5" i="22"/>
  <c r="K5" i="22" s="1"/>
  <c r="J6" i="22"/>
  <c r="K6" i="22" s="1"/>
  <c r="J7" i="22"/>
  <c r="K7" i="22" s="1"/>
  <c r="J8" i="22"/>
  <c r="K8" i="22" s="1"/>
  <c r="J9" i="22"/>
  <c r="K9" i="22" s="1"/>
  <c r="J10" i="22"/>
  <c r="K10" i="22" s="1"/>
  <c r="J11" i="22"/>
  <c r="K11" i="22" s="1"/>
  <c r="J12" i="22"/>
  <c r="K12" i="22" s="1"/>
  <c r="J13" i="22"/>
  <c r="K13" i="22" s="1"/>
  <c r="J14" i="22"/>
  <c r="K14" i="22" s="1"/>
  <c r="J15" i="22"/>
  <c r="K15" i="22" s="1"/>
  <c r="J16" i="22"/>
  <c r="K16" i="22" s="1"/>
  <c r="J17" i="22"/>
  <c r="K17" i="22" s="1"/>
  <c r="J18" i="22"/>
  <c r="K18" i="22" s="1"/>
  <c r="J19" i="22"/>
  <c r="K19" i="22" s="1"/>
  <c r="J20" i="22"/>
  <c r="K20" i="22" s="1"/>
  <c r="J21" i="22"/>
  <c r="K21" i="22" s="1"/>
  <c r="J22" i="22"/>
  <c r="K22" i="22" s="1"/>
  <c r="J23" i="22"/>
  <c r="K23" i="22" s="1"/>
  <c r="J24" i="22"/>
  <c r="K24" i="22" s="1"/>
  <c r="J26" i="22"/>
  <c r="K26" i="22" s="1"/>
  <c r="J27" i="22"/>
  <c r="K27" i="22" s="1"/>
  <c r="J28" i="22"/>
  <c r="K28" i="22" s="1"/>
  <c r="J29" i="22"/>
  <c r="K29" i="22" s="1"/>
  <c r="J30" i="22"/>
  <c r="K30" i="22" s="1"/>
  <c r="J31" i="22"/>
  <c r="K31" i="22" s="1"/>
  <c r="J32" i="22"/>
  <c r="K32" i="22" s="1"/>
  <c r="J33" i="22"/>
  <c r="K33" i="22" s="1"/>
  <c r="J34" i="22"/>
  <c r="K34" i="22" s="1"/>
  <c r="J35" i="22"/>
  <c r="K35" i="22" s="1"/>
  <c r="J36" i="22"/>
  <c r="K36" i="22" s="1"/>
  <c r="J37" i="22"/>
  <c r="K37" i="22" s="1"/>
  <c r="J38" i="22"/>
  <c r="K38" i="22" s="1"/>
  <c r="J39" i="22"/>
  <c r="K39" i="22" s="1"/>
  <c r="J40" i="22"/>
  <c r="K40" i="22" s="1"/>
  <c r="J41" i="22"/>
  <c r="K41" i="22" s="1"/>
  <c r="J42" i="22"/>
  <c r="K42" i="22" s="1"/>
  <c r="J43" i="22"/>
  <c r="K43" i="22" s="1"/>
  <c r="J44" i="22"/>
  <c r="K44" i="22" s="1"/>
  <c r="J45" i="22"/>
  <c r="K45" i="22" s="1"/>
  <c r="J46" i="22"/>
  <c r="K46" i="22" s="1"/>
  <c r="J47" i="22"/>
  <c r="K47" i="22" s="1"/>
  <c r="J48" i="22"/>
  <c r="K48" i="22" s="1"/>
  <c r="J49" i="22"/>
  <c r="K49" i="22" s="1"/>
  <c r="J50" i="22"/>
  <c r="K50" i="22" s="1"/>
  <c r="J51" i="22"/>
  <c r="K51" i="22" s="1"/>
  <c r="J52" i="22"/>
  <c r="K52" i="22" s="1"/>
  <c r="J53" i="22"/>
  <c r="K53" i="22" s="1"/>
  <c r="J54" i="22"/>
  <c r="K54" i="22" s="1"/>
  <c r="J55" i="22"/>
  <c r="K55" i="22" s="1"/>
  <c r="J56" i="22"/>
  <c r="K56" i="22" s="1"/>
  <c r="J58" i="22"/>
  <c r="K58" i="22" s="1"/>
  <c r="J59" i="22"/>
  <c r="K59" i="22" s="1"/>
  <c r="J60" i="22"/>
  <c r="K60" i="22" s="1"/>
  <c r="J61" i="22"/>
  <c r="K61" i="22" s="1"/>
  <c r="J62" i="22"/>
  <c r="K62" i="22" s="1"/>
  <c r="J63" i="22"/>
  <c r="K63" i="22" s="1"/>
  <c r="J64" i="22"/>
  <c r="K64" i="22" s="1"/>
  <c r="J65" i="22"/>
  <c r="K65" i="22" s="1"/>
  <c r="J66" i="22"/>
  <c r="K66" i="22" s="1"/>
  <c r="J67" i="22"/>
  <c r="K67" i="22" s="1"/>
  <c r="J68" i="22"/>
  <c r="K68" i="22" s="1"/>
  <c r="J69" i="22"/>
  <c r="K69" i="22" s="1"/>
  <c r="J70" i="22"/>
  <c r="K70" i="22" s="1"/>
  <c r="J71" i="22"/>
  <c r="K71" i="22" s="1"/>
  <c r="J72" i="22"/>
  <c r="K72" i="22" s="1"/>
  <c r="J73" i="22"/>
  <c r="K73" i="22" s="1"/>
  <c r="J74" i="22"/>
  <c r="K74" i="22" s="1"/>
  <c r="J75" i="22"/>
  <c r="K75" i="22" s="1"/>
  <c r="J76" i="22"/>
  <c r="K76" i="22" s="1"/>
  <c r="J77" i="22"/>
  <c r="K77" i="22" s="1"/>
  <c r="J78" i="22"/>
  <c r="K78" i="22" s="1"/>
  <c r="J79" i="22"/>
  <c r="K79" i="22" s="1"/>
  <c r="J80" i="22"/>
  <c r="K80" i="22" s="1"/>
  <c r="J81" i="22"/>
  <c r="K81" i="22" s="1"/>
  <c r="J82" i="22"/>
  <c r="K82" i="22" s="1"/>
  <c r="J83" i="22"/>
  <c r="K83" i="22" s="1"/>
  <c r="J84" i="22"/>
  <c r="K84" i="22" s="1"/>
  <c r="J85" i="22"/>
  <c r="K85" i="22" s="1"/>
  <c r="J86" i="22"/>
  <c r="K86" i="22" s="1"/>
  <c r="J87" i="22"/>
  <c r="K87" i="22" s="1"/>
  <c r="J88" i="22"/>
  <c r="K88" i="22" s="1"/>
  <c r="J89" i="22"/>
  <c r="K89" i="22" s="1"/>
  <c r="J90" i="22"/>
  <c r="K90" i="22" s="1"/>
  <c r="J91" i="22"/>
  <c r="K91" i="22" s="1"/>
  <c r="J92" i="22"/>
  <c r="K92" i="22" s="1"/>
  <c r="J93" i="22"/>
  <c r="K93" i="22" s="1"/>
  <c r="J94" i="22"/>
  <c r="K94" i="22" s="1"/>
  <c r="J95" i="22"/>
  <c r="K95" i="22" s="1"/>
  <c r="J96" i="22"/>
  <c r="K96" i="22" s="1"/>
  <c r="J97" i="22"/>
  <c r="K97" i="22" s="1"/>
  <c r="J98" i="22"/>
  <c r="K98" i="22" s="1"/>
  <c r="J99" i="22"/>
  <c r="K99" i="22" s="1"/>
  <c r="J100" i="22"/>
  <c r="K100" i="22" s="1"/>
  <c r="J101" i="22"/>
  <c r="K101" i="22" s="1"/>
  <c r="J102" i="22"/>
  <c r="K102" i="22" s="1"/>
  <c r="J103" i="22"/>
  <c r="K103" i="22" s="1"/>
  <c r="J104" i="22"/>
  <c r="K104" i="22" s="1"/>
  <c r="J117" i="22"/>
  <c r="K117" i="22" s="1"/>
  <c r="J118" i="22"/>
  <c r="K118" i="22" s="1"/>
  <c r="J119" i="22"/>
  <c r="K119" i="22" s="1"/>
  <c r="J105" i="22"/>
  <c r="K105" i="22" s="1"/>
  <c r="J112" i="22"/>
  <c r="K112" i="22" s="1"/>
  <c r="J106" i="22"/>
  <c r="K106" i="22" s="1"/>
  <c r="J107" i="22"/>
  <c r="K107" i="22" s="1"/>
  <c r="J108" i="22"/>
  <c r="K108" i="22" s="1"/>
  <c r="J109" i="22"/>
  <c r="K109" i="22" s="1"/>
  <c r="J110" i="22"/>
  <c r="K110" i="22" s="1"/>
  <c r="J113" i="22"/>
  <c r="K113" i="22" s="1"/>
  <c r="J121" i="22"/>
  <c r="K121" i="22" s="1"/>
  <c r="J114" i="22"/>
  <c r="K114" i="22" s="1"/>
  <c r="J115" i="22"/>
  <c r="K115" i="22" s="1"/>
  <c r="J116" i="22"/>
  <c r="K116" i="22" s="1"/>
  <c r="J120" i="22"/>
  <c r="K120" i="22" s="1"/>
  <c r="J111" i="22"/>
  <c r="K111" i="22" s="1"/>
  <c r="J122" i="22"/>
  <c r="K122" i="22" s="1"/>
  <c r="J123" i="22"/>
  <c r="K123" i="22" s="1"/>
  <c r="J124" i="22"/>
  <c r="K124" i="22" s="1"/>
  <c r="J125" i="22"/>
  <c r="K125" i="22" s="1"/>
  <c r="J126" i="22"/>
  <c r="K126" i="22" s="1"/>
  <c r="J127" i="22"/>
  <c r="K127" i="22" s="1"/>
  <c r="J128" i="22"/>
  <c r="K128" i="22" s="1"/>
  <c r="J130" i="22"/>
  <c r="K130" i="22" s="1"/>
  <c r="J131" i="22"/>
  <c r="K131" i="22" s="1"/>
  <c r="J132" i="22"/>
  <c r="K132" i="22" s="1"/>
  <c r="J133" i="22"/>
  <c r="K133" i="22" s="1"/>
  <c r="J134" i="22"/>
  <c r="K134" i="22" s="1"/>
  <c r="J135" i="22"/>
  <c r="K135" i="22" s="1"/>
  <c r="J136" i="22"/>
  <c r="K136" i="22" s="1"/>
  <c r="J137" i="22"/>
  <c r="K137" i="22" s="1"/>
  <c r="J138" i="22"/>
  <c r="K138" i="22" s="1"/>
  <c r="J139" i="22"/>
  <c r="K139" i="22" s="1"/>
  <c r="C112" i="47"/>
  <c r="J112" i="47"/>
  <c r="K112" i="47" s="1"/>
  <c r="C111" i="47"/>
  <c r="J111" i="47"/>
  <c r="K111" i="47" s="1"/>
  <c r="C110" i="47"/>
  <c r="J110" i="47"/>
  <c r="K110" i="47" s="1"/>
  <c r="C109" i="47"/>
  <c r="J109" i="47"/>
  <c r="K109" i="47" s="1"/>
  <c r="C108" i="47"/>
  <c r="J108" i="47"/>
  <c r="K108" i="47" s="1"/>
  <c r="C107" i="47"/>
  <c r="J107" i="47"/>
  <c r="K107" i="47" s="1"/>
  <c r="S99" i="14"/>
  <c r="Y99" i="14" s="1"/>
  <c r="W99" i="14"/>
  <c r="S106" i="14"/>
  <c r="X106" i="14" s="1"/>
  <c r="W106" i="14"/>
  <c r="S105" i="14"/>
  <c r="X105" i="14" s="1"/>
  <c r="W105" i="14"/>
  <c r="AA99" i="14" l="1"/>
  <c r="Z99" i="14"/>
  <c r="X99" i="14"/>
  <c r="AA106" i="14"/>
  <c r="Z106" i="14"/>
  <c r="Y106" i="14"/>
  <c r="AA105" i="14"/>
  <c r="Z105" i="14"/>
  <c r="Y105" i="14"/>
  <c r="C106" i="47"/>
  <c r="J106" i="47"/>
  <c r="K106" i="47" s="1"/>
  <c r="N70" i="22"/>
  <c r="J104" i="47" l="1"/>
  <c r="K104" i="47" s="1"/>
  <c r="C105" i="47"/>
  <c r="C104" i="47"/>
  <c r="J105" i="47"/>
  <c r="K105" i="47" s="1"/>
  <c r="S84" i="14"/>
  <c r="X84" i="14" s="1"/>
  <c r="W84" i="14"/>
  <c r="W81" i="14"/>
  <c r="S81" i="14"/>
  <c r="AA81" i="14" s="1"/>
  <c r="W83" i="14"/>
  <c r="S83" i="14"/>
  <c r="AA83" i="14" s="1"/>
  <c r="S87" i="14"/>
  <c r="Y87" i="14" s="1"/>
  <c r="W87" i="14"/>
  <c r="S103" i="14"/>
  <c r="X103" i="14" s="1"/>
  <c r="W103" i="14"/>
  <c r="S104" i="14"/>
  <c r="X104" i="14" s="1"/>
  <c r="W104" i="14"/>
  <c r="S110" i="14"/>
  <c r="Z110" i="14" s="1"/>
  <c r="W110" i="14"/>
  <c r="C103" i="47"/>
  <c r="J103" i="47"/>
  <c r="K103" i="47" s="1"/>
  <c r="AA84" i="14" l="1"/>
  <c r="Z84" i="14"/>
  <c r="Y84" i="14"/>
  <c r="X83" i="14"/>
  <c r="Z83" i="14"/>
  <c r="Y83" i="14"/>
  <c r="X81" i="14"/>
  <c r="Y81" i="14"/>
  <c r="Z81" i="14"/>
  <c r="X87" i="14"/>
  <c r="AA87" i="14"/>
  <c r="Z87" i="14"/>
  <c r="AA103" i="14"/>
  <c r="Z103" i="14"/>
  <c r="Y103" i="14"/>
  <c r="Y104" i="14"/>
  <c r="AA104" i="14"/>
  <c r="Z104" i="14"/>
  <c r="X110" i="14"/>
  <c r="AA110" i="14"/>
  <c r="Y110" i="14"/>
  <c r="C102" i="47"/>
  <c r="J102" i="47"/>
  <c r="K102" i="47" s="1"/>
  <c r="C101" i="47"/>
  <c r="J101" i="47"/>
  <c r="K101" i="47" s="1"/>
  <c r="C100" i="47"/>
  <c r="J100" i="47"/>
  <c r="K100" i="47" s="1"/>
  <c r="C99" i="47"/>
  <c r="J99" i="47"/>
  <c r="K99" i="47" s="1"/>
  <c r="J98" i="47"/>
  <c r="K98" i="47" s="1"/>
  <c r="C98" i="47"/>
  <c r="J97" i="47"/>
  <c r="K97" i="47" s="1"/>
  <c r="C97" i="47"/>
  <c r="W86" i="14"/>
  <c r="S86" i="14"/>
  <c r="AA86" i="14" s="1"/>
  <c r="J96" i="47"/>
  <c r="K96" i="47" s="1"/>
  <c r="C96" i="47"/>
  <c r="C95" i="47"/>
  <c r="J95" i="47"/>
  <c r="K95" i="47" s="1"/>
  <c r="C94" i="47"/>
  <c r="J94" i="47"/>
  <c r="K94" i="47" s="1"/>
  <c r="C93" i="47"/>
  <c r="J93" i="47"/>
  <c r="K93" i="47" s="1"/>
  <c r="C92" i="47"/>
  <c r="J92" i="47"/>
  <c r="K92" i="47" s="1"/>
  <c r="C90" i="47"/>
  <c r="C91" i="47"/>
  <c r="J91" i="47"/>
  <c r="K91" i="47" s="1"/>
  <c r="J90" i="47"/>
  <c r="K90" i="47" s="1"/>
  <c r="S85" i="14"/>
  <c r="W85" i="14"/>
  <c r="S82" i="14"/>
  <c r="W82" i="14"/>
  <c r="S92" i="14"/>
  <c r="W92" i="14"/>
  <c r="S93" i="14"/>
  <c r="W93" i="14"/>
  <c r="C89" i="47"/>
  <c r="J89" i="47"/>
  <c r="K89" i="47" s="1"/>
  <c r="C88" i="47"/>
  <c r="J88" i="47"/>
  <c r="K88" i="47" s="1"/>
  <c r="C87" i="47"/>
  <c r="J87" i="47"/>
  <c r="K87" i="47" s="1"/>
  <c r="C86" i="47"/>
  <c r="J86" i="47"/>
  <c r="K86" i="47" s="1"/>
  <c r="S155" i="14"/>
  <c r="W155" i="14"/>
  <c r="S156" i="14"/>
  <c r="W156" i="14"/>
  <c r="S100" i="14"/>
  <c r="W100" i="14"/>
  <c r="S157" i="14"/>
  <c r="W157" i="14"/>
  <c r="S80" i="14"/>
  <c r="W80" i="14"/>
  <c r="S78" i="14"/>
  <c r="W78" i="14"/>
  <c r="S79" i="14"/>
  <c r="W79" i="14"/>
  <c r="C85" i="47"/>
  <c r="J85" i="47"/>
  <c r="K85" i="47" s="1"/>
  <c r="C84" i="47"/>
  <c r="J84" i="47"/>
  <c r="K84" i="47" s="1"/>
  <c r="C83" i="47"/>
  <c r="J83" i="47"/>
  <c r="K83" i="47" s="1"/>
  <c r="C82" i="47"/>
  <c r="J82" i="47"/>
  <c r="K82" i="47" s="1"/>
  <c r="C81" i="47"/>
  <c r="J81" i="47"/>
  <c r="K81" i="47" s="1"/>
  <c r="J80" i="47"/>
  <c r="K80" i="47" s="1"/>
  <c r="C80" i="47"/>
  <c r="J79" i="47"/>
  <c r="K79" i="47" s="1"/>
  <c r="C79" i="47"/>
  <c r="J78" i="47"/>
  <c r="K78" i="47" s="1"/>
  <c r="C78" i="47"/>
  <c r="J77" i="47"/>
  <c r="K77" i="47" s="1"/>
  <c r="C77" i="47"/>
  <c r="J76" i="47"/>
  <c r="K76" i="47" s="1"/>
  <c r="C76" i="47"/>
  <c r="J75" i="47"/>
  <c r="K75" i="47" s="1"/>
  <c r="C75" i="47"/>
  <c r="J74" i="47"/>
  <c r="K74" i="47" s="1"/>
  <c r="C74" i="47"/>
  <c r="J73" i="47"/>
  <c r="K73" i="47" s="1"/>
  <c r="C73" i="47"/>
  <c r="J69" i="47"/>
  <c r="K69" i="47" s="1"/>
  <c r="J70" i="47"/>
  <c r="K70" i="47" s="1"/>
  <c r="J71" i="47"/>
  <c r="K71" i="47" s="1"/>
  <c r="J72" i="47"/>
  <c r="K72" i="47" s="1"/>
  <c r="C72" i="47"/>
  <c r="C71" i="47"/>
  <c r="C70" i="47"/>
  <c r="C69" i="47"/>
  <c r="C64" i="47"/>
  <c r="J64" i="47"/>
  <c r="K64" i="47" s="1"/>
  <c r="C68" i="47"/>
  <c r="J68" i="47"/>
  <c r="K68" i="47" s="1"/>
  <c r="C60" i="47"/>
  <c r="J60" i="47"/>
  <c r="K60" i="47" s="1"/>
  <c r="C63" i="47"/>
  <c r="J63" i="47"/>
  <c r="K63" i="47" s="1"/>
  <c r="C67" i="47"/>
  <c r="J67" i="47"/>
  <c r="K67" i="47" s="1"/>
  <c r="C59" i="47"/>
  <c r="J59" i="47"/>
  <c r="K59" i="47" s="1"/>
  <c r="C62" i="47"/>
  <c r="J62" i="47"/>
  <c r="K62" i="47" s="1"/>
  <c r="C66" i="47"/>
  <c r="J66" i="47"/>
  <c r="K66" i="47" s="1"/>
  <c r="C58" i="47"/>
  <c r="J58" i="47"/>
  <c r="K58" i="47" s="1"/>
  <c r="C61" i="47"/>
  <c r="J61" i="47"/>
  <c r="K61" i="47" s="1"/>
  <c r="C65" i="47"/>
  <c r="J65" i="47"/>
  <c r="K65" i="47" s="1"/>
  <c r="C57" i="47"/>
  <c r="J57" i="47"/>
  <c r="K57" i="47" s="1"/>
  <c r="S76" i="14"/>
  <c r="W76" i="14"/>
  <c r="S75" i="14"/>
  <c r="W75" i="14"/>
  <c r="S3" i="14"/>
  <c r="S4" i="14"/>
  <c r="X4" i="14" s="1"/>
  <c r="S5" i="14"/>
  <c r="X5" i="14" s="1"/>
  <c r="S6" i="14"/>
  <c r="X6" i="14" s="1"/>
  <c r="S7" i="14"/>
  <c r="S8" i="14"/>
  <c r="S9" i="14"/>
  <c r="S10" i="14"/>
  <c r="S11" i="14"/>
  <c r="S12" i="14"/>
  <c r="S13" i="14"/>
  <c r="S14" i="14"/>
  <c r="S15" i="14"/>
  <c r="S16" i="14"/>
  <c r="S17" i="14"/>
  <c r="S18" i="14"/>
  <c r="S22" i="14"/>
  <c r="S19" i="14"/>
  <c r="S20" i="14"/>
  <c r="S21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53" i="14"/>
  <c r="S54" i="14"/>
  <c r="S55" i="14"/>
  <c r="S48" i="14"/>
  <c r="S50" i="14"/>
  <c r="S49" i="14"/>
  <c r="S56" i="14"/>
  <c r="S57" i="14"/>
  <c r="S58" i="14"/>
  <c r="S59" i="14"/>
  <c r="S60" i="14"/>
  <c r="S51" i="14"/>
  <c r="S52" i="14"/>
  <c r="S61" i="14"/>
  <c r="S62" i="14"/>
  <c r="S63" i="14"/>
  <c r="S66" i="14"/>
  <c r="S67" i="14"/>
  <c r="S68" i="14"/>
  <c r="S64" i="14"/>
  <c r="S65" i="14"/>
  <c r="S71" i="14"/>
  <c r="S69" i="14"/>
  <c r="S70" i="14"/>
  <c r="S91" i="14"/>
  <c r="S73" i="14"/>
  <c r="S72" i="14"/>
  <c r="S74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22" i="14"/>
  <c r="W19" i="14"/>
  <c r="W20" i="14"/>
  <c r="W21" i="14"/>
  <c r="W23" i="14"/>
  <c r="W24" i="14"/>
  <c r="W25" i="14"/>
  <c r="W26" i="14"/>
  <c r="W27" i="14"/>
  <c r="W28" i="14"/>
  <c r="W29" i="14"/>
  <c r="W30" i="14"/>
  <c r="W31" i="14"/>
  <c r="W32" i="14"/>
  <c r="W33" i="14"/>
  <c r="W34" i="14"/>
  <c r="W35" i="14"/>
  <c r="W36" i="14"/>
  <c r="W37" i="14"/>
  <c r="W38" i="14"/>
  <c r="W39" i="14"/>
  <c r="W40" i="14"/>
  <c r="W41" i="14"/>
  <c r="W42" i="14"/>
  <c r="W43" i="14"/>
  <c r="W44" i="14"/>
  <c r="W45" i="14"/>
  <c r="W46" i="14"/>
  <c r="W47" i="14"/>
  <c r="W53" i="14"/>
  <c r="W54" i="14"/>
  <c r="W55" i="14"/>
  <c r="W48" i="14"/>
  <c r="W50" i="14"/>
  <c r="W49" i="14"/>
  <c r="W56" i="14"/>
  <c r="W57" i="14"/>
  <c r="W58" i="14"/>
  <c r="W59" i="14"/>
  <c r="W60" i="14"/>
  <c r="W51" i="14"/>
  <c r="W52" i="14"/>
  <c r="W61" i="14"/>
  <c r="W62" i="14"/>
  <c r="W63" i="14"/>
  <c r="W66" i="14"/>
  <c r="W67" i="14"/>
  <c r="W68" i="14"/>
  <c r="W64" i="14"/>
  <c r="W65" i="14"/>
  <c r="W71" i="14"/>
  <c r="W69" i="14"/>
  <c r="W70" i="14"/>
  <c r="W91" i="14"/>
  <c r="W73" i="14"/>
  <c r="W72" i="14"/>
  <c r="W74" i="14"/>
  <c r="S3" i="22"/>
  <c r="T3" i="22"/>
  <c r="S4" i="22"/>
  <c r="T4" i="22"/>
  <c r="S5" i="22"/>
  <c r="T5" i="22"/>
  <c r="S6" i="22"/>
  <c r="T6" i="22"/>
  <c r="S7" i="22"/>
  <c r="T7" i="22"/>
  <c r="S8" i="22"/>
  <c r="T8" i="22"/>
  <c r="S9" i="22"/>
  <c r="T9" i="22"/>
  <c r="S10" i="22"/>
  <c r="T10" i="22"/>
  <c r="S11" i="22"/>
  <c r="T11" i="22"/>
  <c r="S12" i="22"/>
  <c r="T12" i="22"/>
  <c r="S13" i="22"/>
  <c r="T13" i="22"/>
  <c r="S14" i="22"/>
  <c r="T14" i="22"/>
  <c r="S15" i="22"/>
  <c r="T15" i="22"/>
  <c r="S16" i="22"/>
  <c r="T16" i="22"/>
  <c r="S17" i="22"/>
  <c r="T17" i="22"/>
  <c r="S18" i="22"/>
  <c r="T18" i="22"/>
  <c r="S19" i="22"/>
  <c r="T19" i="22"/>
  <c r="S20" i="22"/>
  <c r="T20" i="22"/>
  <c r="S21" i="22"/>
  <c r="T21" i="22"/>
  <c r="S22" i="22"/>
  <c r="T22" i="22"/>
  <c r="S23" i="22"/>
  <c r="T23" i="22"/>
  <c r="S24" i="22"/>
  <c r="T24" i="22"/>
  <c r="S25" i="22"/>
  <c r="T25" i="22"/>
  <c r="S26" i="22"/>
  <c r="T26" i="22"/>
  <c r="S27" i="22"/>
  <c r="T27" i="22"/>
  <c r="S28" i="22"/>
  <c r="T28" i="22"/>
  <c r="S29" i="22"/>
  <c r="T29" i="22"/>
  <c r="S30" i="22"/>
  <c r="T30" i="22"/>
  <c r="S31" i="22"/>
  <c r="T31" i="22"/>
  <c r="S32" i="22"/>
  <c r="T32" i="22"/>
  <c r="S33" i="22"/>
  <c r="T33" i="22"/>
  <c r="S34" i="22"/>
  <c r="T34" i="22"/>
  <c r="S35" i="22"/>
  <c r="T35" i="22"/>
  <c r="S36" i="22"/>
  <c r="T36" i="22"/>
  <c r="S37" i="22"/>
  <c r="T37" i="22"/>
  <c r="S38" i="22"/>
  <c r="T38" i="22"/>
  <c r="S39" i="22"/>
  <c r="T39" i="22"/>
  <c r="S40" i="22"/>
  <c r="T40" i="22"/>
  <c r="S41" i="22"/>
  <c r="T41" i="22"/>
  <c r="S42" i="22"/>
  <c r="T42" i="22"/>
  <c r="S43" i="22"/>
  <c r="T43" i="22"/>
  <c r="S44" i="22"/>
  <c r="T44" i="22"/>
  <c r="S45" i="22"/>
  <c r="T45" i="22"/>
  <c r="S46" i="22"/>
  <c r="T46" i="22"/>
  <c r="S47" i="22"/>
  <c r="T47" i="22"/>
  <c r="S48" i="22"/>
  <c r="T48" i="22"/>
  <c r="S49" i="22"/>
  <c r="T49" i="22"/>
  <c r="S50" i="22"/>
  <c r="T50" i="22"/>
  <c r="S51" i="22"/>
  <c r="T51" i="22"/>
  <c r="S52" i="22"/>
  <c r="T52" i="22"/>
  <c r="S53" i="22"/>
  <c r="T53" i="22"/>
  <c r="S54" i="22"/>
  <c r="T54" i="22"/>
  <c r="S55" i="22"/>
  <c r="T55" i="22"/>
  <c r="S56" i="22"/>
  <c r="T56" i="22"/>
  <c r="S57" i="22"/>
  <c r="T57" i="22"/>
  <c r="S58" i="22"/>
  <c r="T58" i="22"/>
  <c r="S59" i="22"/>
  <c r="T59" i="22"/>
  <c r="S60" i="22"/>
  <c r="T60" i="22"/>
  <c r="S61" i="22"/>
  <c r="T61" i="22"/>
  <c r="S62" i="22"/>
  <c r="T62" i="22"/>
  <c r="S63" i="22"/>
  <c r="T63" i="22"/>
  <c r="S64" i="22"/>
  <c r="T64" i="22"/>
  <c r="S65" i="22"/>
  <c r="T65" i="22"/>
  <c r="S66" i="22"/>
  <c r="T66" i="22"/>
  <c r="S67" i="22"/>
  <c r="T67" i="22"/>
  <c r="S68" i="22"/>
  <c r="T68" i="22"/>
  <c r="S69" i="22"/>
  <c r="T69" i="22"/>
  <c r="S70" i="22"/>
  <c r="T70" i="22"/>
  <c r="S71" i="22"/>
  <c r="T71" i="22"/>
  <c r="S72" i="22"/>
  <c r="T72" i="22"/>
  <c r="S73" i="22"/>
  <c r="T73" i="22"/>
  <c r="S74" i="22"/>
  <c r="T74" i="22"/>
  <c r="S75" i="22"/>
  <c r="T75" i="22"/>
  <c r="S76" i="22"/>
  <c r="T76" i="22"/>
  <c r="S77" i="22"/>
  <c r="T77" i="22"/>
  <c r="S78" i="22"/>
  <c r="T78" i="22"/>
  <c r="S79" i="22"/>
  <c r="T79" i="22"/>
  <c r="S80" i="22"/>
  <c r="T80" i="22"/>
  <c r="S81" i="22"/>
  <c r="T81" i="22"/>
  <c r="S82" i="22"/>
  <c r="T82" i="22"/>
  <c r="S83" i="22"/>
  <c r="T83" i="22"/>
  <c r="S84" i="22"/>
  <c r="T84" i="22"/>
  <c r="S85" i="22"/>
  <c r="T85" i="22"/>
  <c r="S86" i="22"/>
  <c r="T86" i="22"/>
  <c r="S87" i="22"/>
  <c r="T87" i="22"/>
  <c r="S88" i="22"/>
  <c r="T88" i="22"/>
  <c r="S89" i="22"/>
  <c r="T89" i="22"/>
  <c r="S90" i="22"/>
  <c r="T90" i="22"/>
  <c r="S91" i="22"/>
  <c r="T91" i="22"/>
  <c r="S92" i="22"/>
  <c r="T92" i="22"/>
  <c r="S93" i="22"/>
  <c r="T93" i="22"/>
  <c r="S94" i="22"/>
  <c r="T94" i="22"/>
  <c r="S95" i="22"/>
  <c r="T95" i="22"/>
  <c r="S96" i="22"/>
  <c r="T96" i="22"/>
  <c r="S97" i="22"/>
  <c r="T97" i="22"/>
  <c r="S98" i="22"/>
  <c r="T98" i="22"/>
  <c r="S99" i="22"/>
  <c r="T99" i="22"/>
  <c r="S100" i="22"/>
  <c r="T100" i="22"/>
  <c r="S101" i="22"/>
  <c r="T101" i="22"/>
  <c r="S102" i="22"/>
  <c r="T102" i="22"/>
  <c r="S103" i="22"/>
  <c r="T103" i="22"/>
  <c r="S104" i="22"/>
  <c r="T104" i="22"/>
  <c r="S117" i="22"/>
  <c r="T117" i="22"/>
  <c r="S118" i="22"/>
  <c r="T118" i="22"/>
  <c r="S119" i="22"/>
  <c r="T119" i="22"/>
  <c r="S105" i="22"/>
  <c r="T105" i="22"/>
  <c r="S112" i="22"/>
  <c r="T112" i="22"/>
  <c r="S106" i="22"/>
  <c r="T106" i="22"/>
  <c r="S107" i="22"/>
  <c r="T107" i="22"/>
  <c r="S108" i="22"/>
  <c r="T108" i="22"/>
  <c r="S109" i="22"/>
  <c r="T109" i="22"/>
  <c r="S110" i="22"/>
  <c r="T110" i="22"/>
  <c r="S113" i="22"/>
  <c r="T113" i="22"/>
  <c r="S121" i="22"/>
  <c r="T121" i="22"/>
  <c r="S114" i="22"/>
  <c r="T114" i="22"/>
  <c r="S115" i="22"/>
  <c r="T115" i="22"/>
  <c r="S116" i="22"/>
  <c r="T116" i="22"/>
  <c r="S120" i="22"/>
  <c r="T120" i="22"/>
  <c r="S111" i="22"/>
  <c r="T111" i="22"/>
  <c r="S122" i="22"/>
  <c r="T122" i="22"/>
  <c r="S123" i="22"/>
  <c r="T123" i="22"/>
  <c r="S124" i="22"/>
  <c r="T124" i="22"/>
  <c r="S125" i="22"/>
  <c r="T125" i="22"/>
  <c r="S126" i="22"/>
  <c r="T126" i="22"/>
  <c r="S127" i="22"/>
  <c r="T127" i="22"/>
  <c r="S128" i="22"/>
  <c r="T128" i="22"/>
  <c r="S129" i="22"/>
  <c r="T129" i="22"/>
  <c r="S130" i="22"/>
  <c r="T130" i="22"/>
  <c r="S131" i="22"/>
  <c r="T131" i="22"/>
  <c r="S132" i="22"/>
  <c r="T132" i="22"/>
  <c r="S133" i="22"/>
  <c r="T133" i="22"/>
  <c r="S134" i="22"/>
  <c r="T134" i="22"/>
  <c r="S135" i="22"/>
  <c r="T135" i="22"/>
  <c r="S136" i="22"/>
  <c r="T136" i="22"/>
  <c r="S137" i="22"/>
  <c r="T137" i="22"/>
  <c r="S138" i="22"/>
  <c r="T138" i="22"/>
  <c r="S139" i="22"/>
  <c r="T139" i="22"/>
  <c r="I57" i="22"/>
  <c r="I25" i="22"/>
  <c r="J56" i="47"/>
  <c r="K56" i="47" s="1"/>
  <c r="J55" i="47"/>
  <c r="K55" i="47" s="1"/>
  <c r="J54" i="47"/>
  <c r="K54" i="47" s="1"/>
  <c r="J53" i="47"/>
  <c r="K53" i="47" s="1"/>
  <c r="J52" i="47"/>
  <c r="K52" i="47" s="1"/>
  <c r="J51" i="47"/>
  <c r="K51" i="47" s="1"/>
  <c r="J50" i="47"/>
  <c r="K50" i="47" s="1"/>
  <c r="J49" i="47"/>
  <c r="K49" i="47" s="1"/>
  <c r="B48" i="47"/>
  <c r="J48" i="47"/>
  <c r="K48" i="47" s="1"/>
  <c r="J69" i="14"/>
  <c r="L69" i="14" s="1"/>
  <c r="J70" i="14"/>
  <c r="L70" i="14" s="1"/>
  <c r="I129" i="22"/>
  <c r="J47" i="47"/>
  <c r="K47" i="47" s="1"/>
  <c r="J46" i="14"/>
  <c r="L46" i="14" s="1"/>
  <c r="M46" i="14"/>
  <c r="N46" i="14"/>
  <c r="J36" i="14"/>
  <c r="L36" i="14" s="1"/>
  <c r="N121" i="22"/>
  <c r="I46" i="47"/>
  <c r="J46" i="47" s="1"/>
  <c r="K46" i="47" s="1"/>
  <c r="J45" i="47"/>
  <c r="K45" i="47" s="1"/>
  <c r="J44" i="47"/>
  <c r="K44" i="47" s="1"/>
  <c r="J41" i="47"/>
  <c r="K41" i="47" s="1"/>
  <c r="J40" i="47"/>
  <c r="K40" i="47" s="1"/>
  <c r="J39" i="47"/>
  <c r="K39" i="47" s="1"/>
  <c r="J43" i="47"/>
  <c r="K43" i="47" s="1"/>
  <c r="J42" i="47"/>
  <c r="K42" i="47" s="1"/>
  <c r="J38" i="47"/>
  <c r="K38" i="47" s="1"/>
  <c r="J66" i="14"/>
  <c r="L66" i="14" s="1"/>
  <c r="J67" i="14"/>
  <c r="L67" i="14" s="1"/>
  <c r="J68" i="14"/>
  <c r="L68" i="14" s="1"/>
  <c r="J37" i="47"/>
  <c r="K37" i="47" s="1"/>
  <c r="J59" i="14"/>
  <c r="L59" i="14" s="1"/>
  <c r="J60" i="14"/>
  <c r="L60" i="14" s="1"/>
  <c r="J36" i="47"/>
  <c r="K36" i="47" s="1"/>
  <c r="J35" i="47"/>
  <c r="K35" i="47" s="1"/>
  <c r="J34" i="47"/>
  <c r="K34" i="47" s="1"/>
  <c r="B3" i="47"/>
  <c r="B4" i="47" s="1"/>
  <c r="B5" i="47" s="1"/>
  <c r="B6" i="47" s="1"/>
  <c r="B7" i="47" s="1"/>
  <c r="B8" i="47" s="1"/>
  <c r="B9" i="47" s="1"/>
  <c r="B10" i="47" s="1"/>
  <c r="B11" i="47" s="1"/>
  <c r="B12" i="47" s="1"/>
  <c r="B13" i="47" s="1"/>
  <c r="B14" i="47" s="1"/>
  <c r="B15" i="47" s="1"/>
  <c r="B16" i="47"/>
  <c r="B17" i="47" s="1"/>
  <c r="B18" i="47" s="1"/>
  <c r="B19" i="47"/>
  <c r="B20" i="47" s="1"/>
  <c r="B21" i="47" s="1"/>
  <c r="B22" i="47" s="1"/>
  <c r="B23" i="47" s="1"/>
  <c r="B24" i="47" s="1"/>
  <c r="B25" i="47" s="1"/>
  <c r="B26" i="47" s="1"/>
  <c r="B27" i="47" s="1"/>
  <c r="B28" i="47" s="1"/>
  <c r="B29" i="47" s="1"/>
  <c r="B30" i="47" s="1"/>
  <c r="B31" i="47" s="1"/>
  <c r="B32" i="47" s="1"/>
  <c r="J32" i="47"/>
  <c r="K32" i="47" s="1"/>
  <c r="J33" i="47"/>
  <c r="K33" i="47" s="1"/>
  <c r="J31" i="47"/>
  <c r="K31" i="47" s="1"/>
  <c r="J30" i="47"/>
  <c r="K30" i="47" s="1"/>
  <c r="J29" i="47"/>
  <c r="K29" i="47" s="1"/>
  <c r="C2" i="47"/>
  <c r="J2" i="47"/>
  <c r="K2" i="47" s="1"/>
  <c r="J4" i="47"/>
  <c r="K4" i="47" s="1"/>
  <c r="J5" i="47"/>
  <c r="K5" i="47" s="1"/>
  <c r="J7" i="47"/>
  <c r="K7" i="47" s="1"/>
  <c r="J8" i="47"/>
  <c r="K8" i="47" s="1"/>
  <c r="J9" i="47"/>
  <c r="K9" i="47" s="1"/>
  <c r="J10" i="47"/>
  <c r="K10" i="47" s="1"/>
  <c r="J11" i="47"/>
  <c r="K11" i="47" s="1"/>
  <c r="J12" i="47"/>
  <c r="K12" i="47" s="1"/>
  <c r="J16" i="47"/>
  <c r="K16" i="47" s="1"/>
  <c r="J17" i="47"/>
  <c r="K17" i="47" s="1"/>
  <c r="J18" i="47"/>
  <c r="K18" i="47" s="1"/>
  <c r="J19" i="47"/>
  <c r="K19" i="47" s="1"/>
  <c r="J20" i="47"/>
  <c r="K20" i="47" s="1"/>
  <c r="J21" i="47"/>
  <c r="K21" i="47" s="1"/>
  <c r="J22" i="47"/>
  <c r="K22" i="47" s="1"/>
  <c r="J23" i="47"/>
  <c r="K23" i="47" s="1"/>
  <c r="J24" i="47"/>
  <c r="K24" i="47" s="1"/>
  <c r="J25" i="47"/>
  <c r="K25" i="47" s="1"/>
  <c r="J26" i="47"/>
  <c r="K26" i="47" s="1"/>
  <c r="J27" i="47"/>
  <c r="K27" i="47" s="1"/>
  <c r="J28" i="47"/>
  <c r="K28" i="47" s="1"/>
  <c r="C3" i="48"/>
  <c r="S2" i="22"/>
  <c r="T2" i="22"/>
  <c r="I3" i="47"/>
  <c r="J3" i="47" s="1"/>
  <c r="K3" i="47" s="1"/>
  <c r="B7" i="46"/>
  <c r="I15" i="47"/>
  <c r="J15" i="47" s="1"/>
  <c r="K15" i="47" s="1"/>
  <c r="I14" i="47"/>
  <c r="J14" i="47" s="1"/>
  <c r="K14" i="47" s="1"/>
  <c r="I13" i="47"/>
  <c r="J13" i="47" s="1"/>
  <c r="K13" i="47" s="1"/>
  <c r="J71" i="14"/>
  <c r="L71" i="14" s="1"/>
  <c r="J57" i="14"/>
  <c r="L57" i="14" s="1"/>
  <c r="J63" i="14"/>
  <c r="L63" i="14" s="1"/>
  <c r="J62" i="14"/>
  <c r="L62" i="14" s="1"/>
  <c r="I6" i="47"/>
  <c r="J6" i="47" s="1"/>
  <c r="K6" i="47" s="1"/>
  <c r="J58" i="14"/>
  <c r="L58" i="14" s="1"/>
  <c r="J49" i="14"/>
  <c r="L49" i="14" s="1"/>
  <c r="J61" i="14"/>
  <c r="L61" i="14" s="1"/>
  <c r="B3" i="46"/>
  <c r="B4" i="46" s="1"/>
  <c r="B5" i="46" s="1"/>
  <c r="B6" i="46" s="1"/>
  <c r="C6" i="46" s="1"/>
  <c r="C2" i="46"/>
  <c r="L48" i="14"/>
  <c r="J52" i="14"/>
  <c r="L52" i="14" s="1"/>
  <c r="J65" i="14"/>
  <c r="L65" i="14" s="1"/>
  <c r="J64" i="14"/>
  <c r="L64" i="14" s="1"/>
  <c r="F151" i="45"/>
  <c r="F150" i="45"/>
  <c r="F149" i="45"/>
  <c r="F148" i="45"/>
  <c r="F147" i="45"/>
  <c r="F146" i="45"/>
  <c r="F145" i="45"/>
  <c r="F144" i="45"/>
  <c r="F143" i="45"/>
  <c r="F142" i="45"/>
  <c r="F141" i="45"/>
  <c r="F140" i="45"/>
  <c r="H138" i="45"/>
  <c r="H137" i="45"/>
  <c r="N126" i="45"/>
  <c r="S96" i="45"/>
  <c r="S95" i="45"/>
  <c r="M95" i="45"/>
  <c r="S94" i="45"/>
  <c r="S93" i="45"/>
  <c r="S92" i="45"/>
  <c r="S91" i="45"/>
  <c r="S90" i="45"/>
  <c r="S89" i="45"/>
  <c r="S88" i="45"/>
  <c r="S87" i="45"/>
  <c r="S86" i="45"/>
  <c r="S85" i="45"/>
  <c r="S84" i="45"/>
  <c r="S83" i="45"/>
  <c r="S82" i="45"/>
  <c r="S81" i="45"/>
  <c r="B77" i="45"/>
  <c r="B76" i="45"/>
  <c r="X42" i="45"/>
  <c r="AD34" i="45"/>
  <c r="AB34" i="45"/>
  <c r="AA34" i="45"/>
  <c r="AB33" i="45"/>
  <c r="AA33" i="45"/>
  <c r="AD33" i="45" s="1"/>
  <c r="AB32" i="45"/>
  <c r="AA32" i="45"/>
  <c r="AD32" i="45" s="1"/>
  <c r="AB31" i="45"/>
  <c r="AA31" i="45"/>
  <c r="AD31" i="45" s="1"/>
  <c r="AB30" i="45"/>
  <c r="AA30" i="45"/>
  <c r="AD30" i="45" s="1"/>
  <c r="AB29" i="45"/>
  <c r="AA29" i="45"/>
  <c r="AB28" i="45"/>
  <c r="AA28" i="45"/>
  <c r="AB27" i="45"/>
  <c r="AC27" i="45" s="1"/>
  <c r="AA27" i="45"/>
  <c r="H19" i="45"/>
  <c r="I19" i="45" s="1"/>
  <c r="H12" i="45"/>
  <c r="I12" i="45" s="1"/>
  <c r="H10" i="45"/>
  <c r="H8" i="45"/>
  <c r="I8" i="45" s="1"/>
  <c r="G6" i="45"/>
  <c r="H6" i="45" s="1"/>
  <c r="I6" i="45" s="1"/>
  <c r="G5" i="45"/>
  <c r="G4" i="45"/>
  <c r="H4" i="45" s="1"/>
  <c r="I4" i="45" s="1"/>
  <c r="G3" i="45"/>
  <c r="G18" i="41"/>
  <c r="G19" i="41"/>
  <c r="G20" i="41"/>
  <c r="G21" i="41"/>
  <c r="G22" i="41"/>
  <c r="C3" i="37"/>
  <c r="C4" i="37" s="1"/>
  <c r="G5" i="34"/>
  <c r="E11" i="32"/>
  <c r="G10" i="32"/>
  <c r="E10" i="32"/>
  <c r="G10" i="33"/>
  <c r="H57" i="23"/>
  <c r="C57" i="23"/>
  <c r="H56" i="23"/>
  <c r="C56" i="23"/>
  <c r="H55" i="23"/>
  <c r="C55" i="23"/>
  <c r="H54" i="23"/>
  <c r="C54" i="23"/>
  <c r="J51" i="14"/>
  <c r="L51" i="14" s="1"/>
  <c r="J55" i="14"/>
  <c r="L55" i="14" s="1"/>
  <c r="J54" i="14"/>
  <c r="L54" i="14" s="1"/>
  <c r="J53" i="14"/>
  <c r="L53" i="14" s="1"/>
  <c r="J56" i="14"/>
  <c r="L56" i="14" s="1"/>
  <c r="N47" i="14"/>
  <c r="M47" i="14"/>
  <c r="J47" i="14"/>
  <c r="L47" i="14" s="1"/>
  <c r="N45" i="14"/>
  <c r="M45" i="14"/>
  <c r="J45" i="14"/>
  <c r="L45" i="14" s="1"/>
  <c r="N44" i="14"/>
  <c r="M44" i="14"/>
  <c r="J44" i="14"/>
  <c r="L44" i="14" s="1"/>
  <c r="N43" i="14"/>
  <c r="M43" i="14"/>
  <c r="J43" i="14"/>
  <c r="L43" i="14" s="1"/>
  <c r="N42" i="14"/>
  <c r="M42" i="14"/>
  <c r="J42" i="14"/>
  <c r="L42" i="14" s="1"/>
  <c r="N41" i="14"/>
  <c r="M41" i="14"/>
  <c r="J41" i="14"/>
  <c r="L41" i="14" s="1"/>
  <c r="Q40" i="14"/>
  <c r="N40" i="14"/>
  <c r="M40" i="14"/>
  <c r="J40" i="14"/>
  <c r="L40" i="14" s="1"/>
  <c r="N38" i="14"/>
  <c r="M38" i="14"/>
  <c r="J38" i="14"/>
  <c r="L38" i="14" s="1"/>
  <c r="N37" i="14"/>
  <c r="M37" i="14"/>
  <c r="J37" i="14"/>
  <c r="L37" i="14" s="1"/>
  <c r="N39" i="14"/>
  <c r="M39" i="14"/>
  <c r="J39" i="14"/>
  <c r="L39" i="14" s="1"/>
  <c r="J34" i="14"/>
  <c r="L34" i="14" s="1"/>
  <c r="J35" i="14"/>
  <c r="L35" i="14" s="1"/>
  <c r="J33" i="14"/>
  <c r="L33" i="14" s="1"/>
  <c r="J32" i="14"/>
  <c r="L32" i="14" s="1"/>
  <c r="M31" i="14"/>
  <c r="N31" i="14" s="1"/>
  <c r="J31" i="14"/>
  <c r="L31" i="14" s="1"/>
  <c r="M28" i="14"/>
  <c r="N28" i="14" s="1"/>
  <c r="J28" i="14"/>
  <c r="L28" i="14" s="1"/>
  <c r="M27" i="14"/>
  <c r="N27" i="14" s="1"/>
  <c r="J27" i="14"/>
  <c r="L27" i="14" s="1"/>
  <c r="M26" i="14"/>
  <c r="N26" i="14" s="1"/>
  <c r="J26" i="14"/>
  <c r="L26" i="14" s="1"/>
  <c r="M25" i="14"/>
  <c r="N25" i="14" s="1"/>
  <c r="J25" i="14"/>
  <c r="L25" i="14" s="1"/>
  <c r="M30" i="14"/>
  <c r="N30" i="14" s="1"/>
  <c r="J30" i="14"/>
  <c r="L30" i="14" s="1"/>
  <c r="M29" i="14"/>
  <c r="N29" i="14" s="1"/>
  <c r="J29" i="14"/>
  <c r="L29" i="14" s="1"/>
  <c r="M24" i="14"/>
  <c r="N24" i="14" s="1"/>
  <c r="J24" i="14"/>
  <c r="L24" i="14" s="1"/>
  <c r="M23" i="14"/>
  <c r="N23" i="14" s="1"/>
  <c r="J23" i="14"/>
  <c r="L23" i="14" s="1"/>
  <c r="J20" i="14"/>
  <c r="L20" i="14" s="1"/>
  <c r="J19" i="14"/>
  <c r="L19" i="14" s="1"/>
  <c r="J22" i="14"/>
  <c r="L22" i="14" s="1"/>
  <c r="J21" i="14"/>
  <c r="L21" i="14" s="1"/>
  <c r="J16" i="14"/>
  <c r="L16" i="14" s="1"/>
  <c r="J17" i="14"/>
  <c r="L17" i="14" s="1"/>
  <c r="J18" i="14"/>
  <c r="L18" i="14" s="1"/>
  <c r="J15" i="14"/>
  <c r="L15" i="14" s="1"/>
  <c r="J12" i="14"/>
  <c r="L12" i="14" s="1"/>
  <c r="J13" i="14"/>
  <c r="L13" i="14" s="1"/>
  <c r="J14" i="14"/>
  <c r="L14" i="14" s="1"/>
  <c r="J11" i="14"/>
  <c r="L11" i="14" s="1"/>
  <c r="J10" i="14"/>
  <c r="L10" i="14" s="1"/>
  <c r="J9" i="14"/>
  <c r="L9" i="14" s="1"/>
  <c r="J8" i="14"/>
  <c r="L8" i="14" s="1"/>
  <c r="J7" i="14"/>
  <c r="L7" i="14" s="1"/>
  <c r="J6" i="14"/>
  <c r="L6" i="14" s="1"/>
  <c r="J5" i="14"/>
  <c r="L5" i="14" s="1"/>
  <c r="J4" i="14"/>
  <c r="L4" i="14" s="1"/>
  <c r="J3" i="14"/>
  <c r="L3" i="14" s="1"/>
  <c r="W2" i="14"/>
  <c r="S2" i="14"/>
  <c r="J2" i="14"/>
  <c r="L2" i="14" s="1"/>
  <c r="A30" i="23"/>
  <c r="D2" i="23" l="1"/>
  <c r="D3" i="23"/>
  <c r="D5" i="23"/>
  <c r="D13" i="23"/>
  <c r="D12" i="23"/>
  <c r="D11" i="23"/>
  <c r="D4" i="23"/>
  <c r="D10" i="23"/>
  <c r="D9" i="23"/>
  <c r="D8" i="23"/>
  <c r="D7" i="23"/>
  <c r="D6" i="23"/>
  <c r="B3" i="23"/>
  <c r="B13" i="23"/>
  <c r="B2" i="23"/>
  <c r="B6" i="23"/>
  <c r="B4" i="23"/>
  <c r="B12" i="23"/>
  <c r="B5" i="23"/>
  <c r="B10" i="23"/>
  <c r="B11" i="23"/>
  <c r="B9" i="23"/>
  <c r="B8" i="23"/>
  <c r="B7" i="23"/>
  <c r="J129" i="22"/>
  <c r="J57" i="22"/>
  <c r="J25" i="22"/>
  <c r="X86" i="14"/>
  <c r="Y86" i="14"/>
  <c r="Z86" i="14"/>
  <c r="Y85" i="14"/>
  <c r="AA85" i="14"/>
  <c r="X85" i="14"/>
  <c r="Z85" i="14"/>
  <c r="Y82" i="14"/>
  <c r="AA82" i="14"/>
  <c r="X82" i="14"/>
  <c r="Z82" i="14"/>
  <c r="AA92" i="14"/>
  <c r="Z92" i="14"/>
  <c r="Y92" i="14"/>
  <c r="X92" i="14"/>
  <c r="X93" i="14"/>
  <c r="Z93" i="14"/>
  <c r="Y93" i="14"/>
  <c r="AA93" i="14"/>
  <c r="X155" i="14"/>
  <c r="Y155" i="14"/>
  <c r="AA155" i="14"/>
  <c r="Z155" i="14"/>
  <c r="AA156" i="14"/>
  <c r="X156" i="14"/>
  <c r="Y156" i="14"/>
  <c r="Z156" i="14"/>
  <c r="X100" i="14"/>
  <c r="Y100" i="14"/>
  <c r="Z100" i="14"/>
  <c r="AA100" i="14"/>
  <c r="X157" i="14"/>
  <c r="Y157" i="14"/>
  <c r="Z157" i="14"/>
  <c r="AA157" i="14"/>
  <c r="AA80" i="14"/>
  <c r="Y80" i="14"/>
  <c r="X80" i="14"/>
  <c r="Z80" i="14"/>
  <c r="X78" i="14"/>
  <c r="Y78" i="14"/>
  <c r="Z78" i="14"/>
  <c r="AA78" i="14"/>
  <c r="X79" i="14"/>
  <c r="Y79" i="14"/>
  <c r="Z79" i="14"/>
  <c r="AA79" i="14"/>
  <c r="AA5" i="14"/>
  <c r="Y5" i="14"/>
  <c r="Z5" i="14"/>
  <c r="X10" i="14"/>
  <c r="Y10" i="14"/>
  <c r="Z10" i="14"/>
  <c r="AA10" i="14"/>
  <c r="X11" i="14"/>
  <c r="Y11" i="14"/>
  <c r="Z11" i="14"/>
  <c r="AA11" i="14"/>
  <c r="X12" i="14"/>
  <c r="Y12" i="14"/>
  <c r="Z12" i="14"/>
  <c r="AA12" i="14"/>
  <c r="X13" i="14"/>
  <c r="Y13" i="14"/>
  <c r="Z13" i="14"/>
  <c r="AA13" i="14"/>
  <c r="Y104" i="22"/>
  <c r="W104" i="22"/>
  <c r="Z104" i="22"/>
  <c r="X104" i="22"/>
  <c r="Y76" i="14"/>
  <c r="AA76" i="14"/>
  <c r="Z76" i="14"/>
  <c r="X76" i="14"/>
  <c r="X75" i="14"/>
  <c r="Y75" i="14"/>
  <c r="Z75" i="14"/>
  <c r="AA75" i="14"/>
  <c r="Y6" i="14"/>
  <c r="Z6" i="14"/>
  <c r="AA6" i="14"/>
  <c r="X7" i="14"/>
  <c r="Y7" i="14"/>
  <c r="AA7" i="14"/>
  <c r="Z7" i="14"/>
  <c r="X8" i="14"/>
  <c r="Y8" i="14"/>
  <c r="Z8" i="14"/>
  <c r="AA8" i="14"/>
  <c r="X9" i="14"/>
  <c r="Y9" i="14"/>
  <c r="Z9" i="14"/>
  <c r="AA9" i="14"/>
  <c r="Y3" i="14"/>
  <c r="X3" i="14"/>
  <c r="X103" i="22"/>
  <c r="Y103" i="22"/>
  <c r="Z103" i="22"/>
  <c r="W103" i="22"/>
  <c r="Z3" i="14"/>
  <c r="AA3" i="14"/>
  <c r="Z54" i="22"/>
  <c r="X54" i="22"/>
  <c r="W54" i="22"/>
  <c r="Y54" i="22"/>
  <c r="Z55" i="22"/>
  <c r="W55" i="22"/>
  <c r="Y55" i="22"/>
  <c r="X55" i="22"/>
  <c r="X56" i="22"/>
  <c r="Z56" i="22"/>
  <c r="W56" i="22"/>
  <c r="Y56" i="22"/>
  <c r="Y102" i="22"/>
  <c r="Z102" i="22"/>
  <c r="X102" i="22"/>
  <c r="W102" i="22"/>
  <c r="Y130" i="22"/>
  <c r="Z130" i="22"/>
  <c r="X130" i="22"/>
  <c r="W130" i="22"/>
  <c r="X131" i="22"/>
  <c r="W131" i="22"/>
  <c r="Z131" i="22"/>
  <c r="Y131" i="22"/>
  <c r="X132" i="22"/>
  <c r="Y132" i="22"/>
  <c r="W132" i="22"/>
  <c r="Z132" i="22"/>
  <c r="X133" i="22"/>
  <c r="Z133" i="22"/>
  <c r="Y133" i="22"/>
  <c r="W133" i="22"/>
  <c r="W134" i="22"/>
  <c r="X134" i="22"/>
  <c r="Z134" i="22"/>
  <c r="Y134" i="22"/>
  <c r="Y4" i="14"/>
  <c r="Z4" i="14"/>
  <c r="AA4" i="14"/>
  <c r="Y28" i="22"/>
  <c r="Z28" i="22"/>
  <c r="X28" i="22"/>
  <c r="W28" i="22"/>
  <c r="Y29" i="22"/>
  <c r="W29" i="22"/>
  <c r="Z29" i="22"/>
  <c r="X29" i="22"/>
  <c r="Y53" i="22"/>
  <c r="Z53" i="22"/>
  <c r="X53" i="22"/>
  <c r="W53" i="22"/>
  <c r="X77" i="22"/>
  <c r="Z77" i="22"/>
  <c r="W77" i="22"/>
  <c r="Y77" i="22"/>
  <c r="Y78" i="22"/>
  <c r="Z78" i="22"/>
  <c r="W78" i="22"/>
  <c r="X78" i="22"/>
  <c r="X79" i="22"/>
  <c r="W79" i="22"/>
  <c r="Z79" i="22"/>
  <c r="Y79" i="22"/>
  <c r="Y80" i="22"/>
  <c r="W80" i="22"/>
  <c r="Z80" i="22"/>
  <c r="X80" i="22"/>
  <c r="W81" i="22"/>
  <c r="X81" i="22"/>
  <c r="Y81" i="22"/>
  <c r="Z81" i="22"/>
  <c r="W117" i="22"/>
  <c r="X117" i="22"/>
  <c r="Y117" i="22"/>
  <c r="Z117" i="22"/>
  <c r="X118" i="22"/>
  <c r="Y118" i="22"/>
  <c r="Z118" i="22"/>
  <c r="W118" i="22"/>
  <c r="Y119" i="22"/>
  <c r="W119" i="22"/>
  <c r="X119" i="22"/>
  <c r="Z119" i="22"/>
  <c r="W105" i="22"/>
  <c r="Z105" i="22"/>
  <c r="X105" i="22"/>
  <c r="Y105" i="22"/>
  <c r="Y112" i="22"/>
  <c r="X112" i="22"/>
  <c r="Z112" i="22"/>
  <c r="W112" i="22"/>
  <c r="X127" i="22"/>
  <c r="Z127" i="22"/>
  <c r="Y127" i="22"/>
  <c r="W127" i="22"/>
  <c r="W128" i="22"/>
  <c r="Y128" i="22"/>
  <c r="X128" i="22"/>
  <c r="Z128" i="22"/>
  <c r="Z129" i="22"/>
  <c r="W129" i="22"/>
  <c r="Y129" i="22"/>
  <c r="X129" i="22"/>
  <c r="X14" i="14"/>
  <c r="Y14" i="14"/>
  <c r="Z14" i="14"/>
  <c r="AA14" i="14"/>
  <c r="X15" i="14"/>
  <c r="Y15" i="14"/>
  <c r="Z15" i="14"/>
  <c r="AA15" i="14"/>
  <c r="X16" i="14"/>
  <c r="Y16" i="14"/>
  <c r="Z16" i="14"/>
  <c r="AA16" i="14"/>
  <c r="X17" i="14"/>
  <c r="Y17" i="14"/>
  <c r="Z17" i="14"/>
  <c r="AA17" i="14"/>
  <c r="X18" i="14"/>
  <c r="Y18" i="14"/>
  <c r="Z18" i="14"/>
  <c r="AA18" i="14"/>
  <c r="X22" i="14"/>
  <c r="Y22" i="14"/>
  <c r="Z22" i="14"/>
  <c r="AA22" i="14"/>
  <c r="X19" i="14"/>
  <c r="Y19" i="14"/>
  <c r="Z19" i="14"/>
  <c r="AA19" i="14"/>
  <c r="X20" i="14"/>
  <c r="Y20" i="14"/>
  <c r="Z20" i="14"/>
  <c r="AA20" i="14"/>
  <c r="X21" i="14"/>
  <c r="Y21" i="14"/>
  <c r="Z21" i="14"/>
  <c r="AA21" i="14"/>
  <c r="X23" i="14"/>
  <c r="Y23" i="14"/>
  <c r="Z23" i="14"/>
  <c r="AA23" i="14"/>
  <c r="X24" i="14"/>
  <c r="Y24" i="14"/>
  <c r="Z24" i="14"/>
  <c r="AA24" i="14"/>
  <c r="X25" i="14"/>
  <c r="Y25" i="14"/>
  <c r="Z25" i="14"/>
  <c r="AA25" i="14"/>
  <c r="X26" i="14"/>
  <c r="Y26" i="14"/>
  <c r="Z26" i="14"/>
  <c r="AA26" i="14"/>
  <c r="X27" i="14"/>
  <c r="Y27" i="14"/>
  <c r="Z27" i="14"/>
  <c r="AA27" i="14"/>
  <c r="X28" i="14"/>
  <c r="Y28" i="14"/>
  <c r="Z28" i="14"/>
  <c r="AA28" i="14"/>
  <c r="X29" i="14"/>
  <c r="Y29" i="14"/>
  <c r="Z29" i="14"/>
  <c r="AA29" i="14"/>
  <c r="X30" i="14"/>
  <c r="Y30" i="14"/>
  <c r="Z30" i="14"/>
  <c r="AA30" i="14"/>
  <c r="X31" i="14"/>
  <c r="Y31" i="14"/>
  <c r="Z31" i="14"/>
  <c r="AA31" i="14"/>
  <c r="X32" i="14"/>
  <c r="Y32" i="14"/>
  <c r="Z32" i="14"/>
  <c r="AA32" i="14"/>
  <c r="X33" i="14"/>
  <c r="Y33" i="14"/>
  <c r="Z33" i="14"/>
  <c r="AA33" i="14"/>
  <c r="X34" i="14"/>
  <c r="Y34" i="14"/>
  <c r="Z34" i="14"/>
  <c r="AA34" i="14"/>
  <c r="X35" i="14"/>
  <c r="Y35" i="14"/>
  <c r="Z35" i="14"/>
  <c r="AA35" i="14"/>
  <c r="X36" i="14"/>
  <c r="Y36" i="14"/>
  <c r="Z36" i="14"/>
  <c r="AA36" i="14"/>
  <c r="X37" i="14"/>
  <c r="Y37" i="14"/>
  <c r="Z37" i="14"/>
  <c r="AA37" i="14"/>
  <c r="X38" i="14"/>
  <c r="Y38" i="14"/>
  <c r="Z38" i="14"/>
  <c r="AA38" i="14"/>
  <c r="X39" i="14"/>
  <c r="Y39" i="14"/>
  <c r="Z39" i="14"/>
  <c r="AA39" i="14"/>
  <c r="X40" i="14"/>
  <c r="Y40" i="14"/>
  <c r="Z40" i="14"/>
  <c r="AA40" i="14"/>
  <c r="X41" i="14"/>
  <c r="Y41" i="14"/>
  <c r="Z41" i="14"/>
  <c r="AA41" i="14"/>
  <c r="X42" i="14"/>
  <c r="Y42" i="14"/>
  <c r="Z42" i="14"/>
  <c r="AA42" i="14"/>
  <c r="X43" i="14"/>
  <c r="Y43" i="14"/>
  <c r="Z43" i="14"/>
  <c r="AA43" i="14"/>
  <c r="X44" i="14"/>
  <c r="Y44" i="14"/>
  <c r="Z44" i="14"/>
  <c r="AA44" i="14"/>
  <c r="X45" i="14"/>
  <c r="Y45" i="14"/>
  <c r="Z45" i="14"/>
  <c r="AA45" i="14"/>
  <c r="X46" i="14"/>
  <c r="Y46" i="14"/>
  <c r="Z46" i="14"/>
  <c r="AA46" i="14"/>
  <c r="X47" i="14"/>
  <c r="Y47" i="14"/>
  <c r="Z47" i="14"/>
  <c r="AA47" i="14"/>
  <c r="X53" i="14"/>
  <c r="Y53" i="14"/>
  <c r="Z53" i="14"/>
  <c r="AA53" i="14"/>
  <c r="X54" i="14"/>
  <c r="Y54" i="14"/>
  <c r="Z54" i="14"/>
  <c r="AA54" i="14"/>
  <c r="X55" i="14"/>
  <c r="Y55" i="14"/>
  <c r="Z55" i="14"/>
  <c r="AA55" i="14"/>
  <c r="X48" i="14"/>
  <c r="Y48" i="14"/>
  <c r="Z48" i="14"/>
  <c r="AA48" i="14"/>
  <c r="X50" i="14"/>
  <c r="Y50" i="14"/>
  <c r="Z50" i="14"/>
  <c r="AA50" i="14"/>
  <c r="X49" i="14"/>
  <c r="Y49" i="14"/>
  <c r="Z49" i="14"/>
  <c r="AA49" i="14"/>
  <c r="X56" i="14"/>
  <c r="Y56" i="14"/>
  <c r="Z56" i="14"/>
  <c r="AA56" i="14"/>
  <c r="X57" i="14"/>
  <c r="Y57" i="14"/>
  <c r="Z57" i="14"/>
  <c r="AA57" i="14"/>
  <c r="X58" i="14"/>
  <c r="Y58" i="14"/>
  <c r="Z58" i="14"/>
  <c r="AA58" i="14"/>
  <c r="X59" i="14"/>
  <c r="Y59" i="14"/>
  <c r="Z59" i="14"/>
  <c r="AA59" i="14"/>
  <c r="X60" i="14"/>
  <c r="Y60" i="14"/>
  <c r="Z60" i="14"/>
  <c r="AA60" i="14"/>
  <c r="X51" i="14"/>
  <c r="Y51" i="14"/>
  <c r="Z51" i="14"/>
  <c r="AA51" i="14"/>
  <c r="X52" i="14"/>
  <c r="Y52" i="14"/>
  <c r="Z52" i="14"/>
  <c r="AA52" i="14"/>
  <c r="X61" i="14"/>
  <c r="Y61" i="14"/>
  <c r="Z61" i="14"/>
  <c r="AA61" i="14"/>
  <c r="X62" i="14"/>
  <c r="Y62" i="14"/>
  <c r="Z62" i="14"/>
  <c r="AA62" i="14"/>
  <c r="X63" i="14"/>
  <c r="Y63" i="14"/>
  <c r="Z63" i="14"/>
  <c r="AA63" i="14"/>
  <c r="X66" i="14"/>
  <c r="Y66" i="14"/>
  <c r="Z66" i="14"/>
  <c r="AA66" i="14"/>
  <c r="X67" i="14"/>
  <c r="Y67" i="14"/>
  <c r="Z67" i="14"/>
  <c r="AA67" i="14"/>
  <c r="X68" i="14"/>
  <c r="Y68" i="14"/>
  <c r="Z68" i="14"/>
  <c r="AA68" i="14"/>
  <c r="X64" i="14"/>
  <c r="Y64" i="14"/>
  <c r="Z64" i="14"/>
  <c r="AA64" i="14"/>
  <c r="X65" i="14"/>
  <c r="Y65" i="14"/>
  <c r="Z65" i="14"/>
  <c r="AA65" i="14"/>
  <c r="X71" i="14"/>
  <c r="Y71" i="14"/>
  <c r="Z71" i="14"/>
  <c r="AA71" i="14"/>
  <c r="X69" i="14"/>
  <c r="Y69" i="14"/>
  <c r="Z69" i="14"/>
  <c r="AA69" i="14"/>
  <c r="X70" i="14"/>
  <c r="Y70" i="14"/>
  <c r="Z70" i="14"/>
  <c r="AA70" i="14"/>
  <c r="X91" i="14"/>
  <c r="Y91" i="14"/>
  <c r="Z91" i="14"/>
  <c r="AA91" i="14"/>
  <c r="X73" i="14"/>
  <c r="Y73" i="14"/>
  <c r="Z73" i="14"/>
  <c r="AA73" i="14"/>
  <c r="X72" i="14"/>
  <c r="Y72" i="14"/>
  <c r="Z72" i="14"/>
  <c r="AA72" i="14"/>
  <c r="X74" i="14"/>
  <c r="Y74" i="14"/>
  <c r="Z74" i="14"/>
  <c r="AA74" i="14"/>
  <c r="Z3" i="22"/>
  <c r="Y3" i="22"/>
  <c r="W3" i="22"/>
  <c r="X3" i="22"/>
  <c r="X4" i="22"/>
  <c r="Y4" i="22"/>
  <c r="W4" i="22"/>
  <c r="Z4" i="22"/>
  <c r="X5" i="22"/>
  <c r="Z5" i="22"/>
  <c r="W5" i="22"/>
  <c r="Y5" i="22"/>
  <c r="Z6" i="22"/>
  <c r="X6" i="22"/>
  <c r="Y6" i="22"/>
  <c r="W6" i="22"/>
  <c r="Y7" i="22"/>
  <c r="W7" i="22"/>
  <c r="Z7" i="22"/>
  <c r="X7" i="22"/>
  <c r="Y8" i="22"/>
  <c r="Z8" i="22"/>
  <c r="X8" i="22"/>
  <c r="W8" i="22"/>
  <c r="Z9" i="22"/>
  <c r="W9" i="22"/>
  <c r="Y9" i="22"/>
  <c r="X9" i="22"/>
  <c r="Y10" i="22"/>
  <c r="Z10" i="22"/>
  <c r="W10" i="22"/>
  <c r="X10" i="22"/>
  <c r="Y11" i="22"/>
  <c r="W11" i="22"/>
  <c r="X11" i="22"/>
  <c r="Z11" i="22"/>
  <c r="W12" i="22"/>
  <c r="X12" i="22"/>
  <c r="Y12" i="22"/>
  <c r="Z12" i="22"/>
  <c r="Y13" i="22"/>
  <c r="Z13" i="22"/>
  <c r="X13" i="22"/>
  <c r="W13" i="22"/>
  <c r="W14" i="22"/>
  <c r="Z14" i="22"/>
  <c r="Y14" i="22"/>
  <c r="X14" i="22"/>
  <c r="Z15" i="22"/>
  <c r="Y15" i="22"/>
  <c r="X15" i="22"/>
  <c r="W15" i="22"/>
  <c r="W16" i="22"/>
  <c r="X16" i="22"/>
  <c r="Z16" i="22"/>
  <c r="Y16" i="22"/>
  <c r="W17" i="22"/>
  <c r="X17" i="22"/>
  <c r="Y17" i="22"/>
  <c r="Z17" i="22"/>
  <c r="W18" i="22"/>
  <c r="Z18" i="22"/>
  <c r="Y18" i="22"/>
  <c r="X18" i="22"/>
  <c r="X19" i="22"/>
  <c r="Y19" i="22"/>
  <c r="W19" i="22"/>
  <c r="Z19" i="22"/>
  <c r="Z20" i="22"/>
  <c r="X20" i="22"/>
  <c r="Y20" i="22"/>
  <c r="W20" i="22"/>
  <c r="X21" i="22"/>
  <c r="Z21" i="22"/>
  <c r="Y21" i="22"/>
  <c r="W21" i="22"/>
  <c r="Y22" i="22"/>
  <c r="X22" i="22"/>
  <c r="Z22" i="22"/>
  <c r="W22" i="22"/>
  <c r="W23" i="22"/>
  <c r="Y23" i="22"/>
  <c r="Z23" i="22"/>
  <c r="X23" i="22"/>
  <c r="Z24" i="22"/>
  <c r="Y24" i="22"/>
  <c r="X24" i="22"/>
  <c r="W24" i="22"/>
  <c r="W25" i="22"/>
  <c r="X25" i="22"/>
  <c r="Y25" i="22"/>
  <c r="Z25" i="22"/>
  <c r="Z26" i="22"/>
  <c r="Y26" i="22"/>
  <c r="X26" i="22"/>
  <c r="W26" i="22"/>
  <c r="X27" i="22"/>
  <c r="W27" i="22"/>
  <c r="Z27" i="22"/>
  <c r="Y27" i="22"/>
  <c r="Y30" i="22"/>
  <c r="W30" i="22"/>
  <c r="Z30" i="22"/>
  <c r="X30" i="22"/>
  <c r="Z31" i="22"/>
  <c r="W31" i="22"/>
  <c r="X31" i="22"/>
  <c r="Y31" i="22"/>
  <c r="W32" i="22"/>
  <c r="X32" i="22"/>
  <c r="Y32" i="22"/>
  <c r="Z32" i="22"/>
  <c r="Y33" i="22"/>
  <c r="Z33" i="22"/>
  <c r="X33" i="22"/>
  <c r="W33" i="22"/>
  <c r="Z34" i="22"/>
  <c r="Y34" i="22"/>
  <c r="W34" i="22"/>
  <c r="X34" i="22"/>
  <c r="Y35" i="22"/>
  <c r="X35" i="22"/>
  <c r="Z35" i="22"/>
  <c r="W35" i="22"/>
  <c r="Z36" i="22"/>
  <c r="X36" i="22"/>
  <c r="W36" i="22"/>
  <c r="Y36" i="22"/>
  <c r="W37" i="22"/>
  <c r="X37" i="22"/>
  <c r="Y37" i="22"/>
  <c r="Z37" i="22"/>
  <c r="Z38" i="22"/>
  <c r="Y38" i="22"/>
  <c r="X38" i="22"/>
  <c r="W38" i="22"/>
  <c r="Y39" i="22"/>
  <c r="Z39" i="22"/>
  <c r="X39" i="22"/>
  <c r="W39" i="22"/>
  <c r="Z40" i="22"/>
  <c r="Y40" i="22"/>
  <c r="W40" i="22"/>
  <c r="X40" i="22"/>
  <c r="Y41" i="22"/>
  <c r="X41" i="22"/>
  <c r="W41" i="22"/>
  <c r="Z41" i="22"/>
  <c r="W42" i="22"/>
  <c r="Y42" i="22"/>
  <c r="Z42" i="22"/>
  <c r="X42" i="22"/>
  <c r="X43" i="22"/>
  <c r="Z43" i="22"/>
  <c r="Y43" i="22"/>
  <c r="W43" i="22"/>
  <c r="W44" i="22"/>
  <c r="X44" i="22"/>
  <c r="Y44" i="22"/>
  <c r="Z44" i="22"/>
  <c r="Z45" i="22"/>
  <c r="X45" i="22"/>
  <c r="W45" i="22"/>
  <c r="Y45" i="22"/>
  <c r="Z46" i="22"/>
  <c r="Y46" i="22"/>
  <c r="X46" i="22"/>
  <c r="W46" i="22"/>
  <c r="X47" i="22"/>
  <c r="W47" i="22"/>
  <c r="Y47" i="22"/>
  <c r="Z47" i="22"/>
  <c r="W48" i="22"/>
  <c r="X48" i="22"/>
  <c r="Z48" i="22"/>
  <c r="Y48" i="22"/>
  <c r="W49" i="22"/>
  <c r="X49" i="22"/>
  <c r="Y49" i="22"/>
  <c r="Z49" i="22"/>
  <c r="Z50" i="22"/>
  <c r="W50" i="22"/>
  <c r="X50" i="22"/>
  <c r="Y50" i="22"/>
  <c r="X51" i="22"/>
  <c r="W51" i="22"/>
  <c r="Z51" i="22"/>
  <c r="Y51" i="22"/>
  <c r="Y52" i="22"/>
  <c r="W52" i="22"/>
  <c r="X52" i="22"/>
  <c r="Z52" i="22"/>
  <c r="Y57" i="22"/>
  <c r="X57" i="22"/>
  <c r="Z57" i="22"/>
  <c r="W57" i="22"/>
  <c r="Y58" i="22"/>
  <c r="X58" i="22"/>
  <c r="W58" i="22"/>
  <c r="Z58" i="22"/>
  <c r="Y59" i="22"/>
  <c r="W59" i="22"/>
  <c r="X59" i="22"/>
  <c r="Z59" i="22"/>
  <c r="Y60" i="22"/>
  <c r="Z60" i="22"/>
  <c r="W60" i="22"/>
  <c r="X60" i="22"/>
  <c r="Y61" i="22"/>
  <c r="X61" i="22"/>
  <c r="W61" i="22"/>
  <c r="Z61" i="22"/>
  <c r="X62" i="22"/>
  <c r="Z62" i="22"/>
  <c r="W62" i="22"/>
  <c r="Y62" i="22"/>
  <c r="Y63" i="22"/>
  <c r="X63" i="22"/>
  <c r="Z63" i="22"/>
  <c r="W63" i="22"/>
  <c r="W64" i="22"/>
  <c r="X64" i="22"/>
  <c r="Z64" i="22"/>
  <c r="Y64" i="22"/>
  <c r="X65" i="22"/>
  <c r="Z65" i="22"/>
  <c r="Y65" i="22"/>
  <c r="W65" i="22"/>
  <c r="Y66" i="22"/>
  <c r="X66" i="22"/>
  <c r="W66" i="22"/>
  <c r="Z66" i="22"/>
  <c r="W67" i="22"/>
  <c r="X67" i="22"/>
  <c r="Y67" i="22"/>
  <c r="Z67" i="22"/>
  <c r="Z68" i="22"/>
  <c r="W68" i="22"/>
  <c r="X68" i="22"/>
  <c r="Y68" i="22"/>
  <c r="X69" i="22"/>
  <c r="Y69" i="22"/>
  <c r="Z69" i="22"/>
  <c r="W69" i="22"/>
  <c r="Y70" i="22"/>
  <c r="X70" i="22"/>
  <c r="W70" i="22"/>
  <c r="Z70" i="22"/>
  <c r="W71" i="22"/>
  <c r="X71" i="22"/>
  <c r="Y71" i="22"/>
  <c r="Z71" i="22"/>
  <c r="W72" i="22"/>
  <c r="Z72" i="22"/>
  <c r="X72" i="22"/>
  <c r="Y72" i="22"/>
  <c r="X73" i="22"/>
  <c r="Z73" i="22"/>
  <c r="Y73" i="22"/>
  <c r="W73" i="22"/>
  <c r="W74" i="22"/>
  <c r="Y74" i="22"/>
  <c r="X74" i="22"/>
  <c r="Z74" i="22"/>
  <c r="Z75" i="22"/>
  <c r="Y75" i="22"/>
  <c r="X75" i="22"/>
  <c r="W75" i="22"/>
  <c r="Z76" i="22"/>
  <c r="X76" i="22"/>
  <c r="W76" i="22"/>
  <c r="Y76" i="22"/>
  <c r="Z82" i="22"/>
  <c r="Y82" i="22"/>
  <c r="W82" i="22"/>
  <c r="X82" i="22"/>
  <c r="W83" i="22"/>
  <c r="Z83" i="22"/>
  <c r="Y83" i="22"/>
  <c r="X83" i="22"/>
  <c r="Y84" i="22"/>
  <c r="W84" i="22"/>
  <c r="X84" i="22"/>
  <c r="Z84" i="22"/>
  <c r="Z85" i="22"/>
  <c r="W85" i="22"/>
  <c r="Y85" i="22"/>
  <c r="X85" i="22"/>
  <c r="Z86" i="22"/>
  <c r="Y86" i="22"/>
  <c r="X86" i="22"/>
  <c r="W86" i="22"/>
  <c r="X87" i="22"/>
  <c r="Y87" i="22"/>
  <c r="W87" i="22"/>
  <c r="Z87" i="22"/>
  <c r="X88" i="22"/>
  <c r="W88" i="22"/>
  <c r="Z88" i="22"/>
  <c r="Y88" i="22"/>
  <c r="Z89" i="22"/>
  <c r="Y89" i="22"/>
  <c r="X89" i="22"/>
  <c r="W89" i="22"/>
  <c r="Y90" i="22"/>
  <c r="W90" i="22"/>
  <c r="X90" i="22"/>
  <c r="Z90" i="22"/>
  <c r="Z91" i="22"/>
  <c r="Y91" i="22"/>
  <c r="W91" i="22"/>
  <c r="X91" i="22"/>
  <c r="X92" i="22"/>
  <c r="Z92" i="22"/>
  <c r="Y92" i="22"/>
  <c r="W92" i="22"/>
  <c r="W93" i="22"/>
  <c r="Z93" i="22"/>
  <c r="Y93" i="22"/>
  <c r="X93" i="22"/>
  <c r="Z94" i="22"/>
  <c r="Y94" i="22"/>
  <c r="X94" i="22"/>
  <c r="W94" i="22"/>
  <c r="W95" i="22"/>
  <c r="X95" i="22"/>
  <c r="Z95" i="22"/>
  <c r="Y95" i="22"/>
  <c r="X96" i="22"/>
  <c r="Y96" i="22"/>
  <c r="W96" i="22"/>
  <c r="Z96" i="22"/>
  <c r="X97" i="22"/>
  <c r="Y97" i="22"/>
  <c r="Z97" i="22"/>
  <c r="W97" i="22"/>
  <c r="X98" i="22"/>
  <c r="Y98" i="22"/>
  <c r="Z98" i="22"/>
  <c r="W98" i="22"/>
  <c r="Y99" i="22"/>
  <c r="X99" i="22"/>
  <c r="W99" i="22"/>
  <c r="Z99" i="22"/>
  <c r="Y100" i="22"/>
  <c r="W100" i="22"/>
  <c r="X100" i="22"/>
  <c r="Z100" i="22"/>
  <c r="X101" i="22"/>
  <c r="W101" i="22"/>
  <c r="Z101" i="22"/>
  <c r="Y101" i="22"/>
  <c r="Z106" i="22"/>
  <c r="W106" i="22"/>
  <c r="X106" i="22"/>
  <c r="Y106" i="22"/>
  <c r="Z107" i="22"/>
  <c r="Y107" i="22"/>
  <c r="W107" i="22"/>
  <c r="X107" i="22"/>
  <c r="Z108" i="22"/>
  <c r="W108" i="22"/>
  <c r="Y108" i="22"/>
  <c r="X108" i="22"/>
  <c r="W109" i="22"/>
  <c r="Y109" i="22"/>
  <c r="X109" i="22"/>
  <c r="Z109" i="22"/>
  <c r="X110" i="22"/>
  <c r="Z110" i="22"/>
  <c r="W110" i="22"/>
  <c r="Y110" i="22"/>
  <c r="Z113" i="22"/>
  <c r="W113" i="22"/>
  <c r="Y113" i="22"/>
  <c r="X113" i="22"/>
  <c r="Y121" i="22"/>
  <c r="W121" i="22"/>
  <c r="Z121" i="22"/>
  <c r="X121" i="22"/>
  <c r="Z114" i="22"/>
  <c r="X114" i="22"/>
  <c r="Y114" i="22"/>
  <c r="W114" i="22"/>
  <c r="X115" i="22"/>
  <c r="Z115" i="22"/>
  <c r="W115" i="22"/>
  <c r="Y115" i="22"/>
  <c r="Y116" i="22"/>
  <c r="X116" i="22"/>
  <c r="W116" i="22"/>
  <c r="Z116" i="22"/>
  <c r="Y120" i="22"/>
  <c r="W120" i="22"/>
  <c r="Z120" i="22"/>
  <c r="X120" i="22"/>
  <c r="X111" i="22"/>
  <c r="W111" i="22"/>
  <c r="Y111" i="22"/>
  <c r="Z111" i="22"/>
  <c r="Z122" i="22"/>
  <c r="X122" i="22"/>
  <c r="Y122" i="22"/>
  <c r="W122" i="22"/>
  <c r="W123" i="22"/>
  <c r="Y123" i="22"/>
  <c r="X123" i="22"/>
  <c r="Z123" i="22"/>
  <c r="Z124" i="22"/>
  <c r="Y124" i="22"/>
  <c r="W124" i="22"/>
  <c r="X124" i="22"/>
  <c r="W125" i="22"/>
  <c r="Z125" i="22"/>
  <c r="X125" i="22"/>
  <c r="Y125" i="22"/>
  <c r="Z126" i="22"/>
  <c r="Y126" i="22"/>
  <c r="X126" i="22"/>
  <c r="W126" i="22"/>
  <c r="W135" i="22"/>
  <c r="Y135" i="22"/>
  <c r="X135" i="22"/>
  <c r="Z135" i="22"/>
  <c r="W136" i="22"/>
  <c r="Y136" i="22"/>
  <c r="X136" i="22"/>
  <c r="Z136" i="22"/>
  <c r="Y137" i="22"/>
  <c r="Z137" i="22"/>
  <c r="X137" i="22"/>
  <c r="W137" i="22"/>
  <c r="W138" i="22"/>
  <c r="X138" i="22"/>
  <c r="Z138" i="22"/>
  <c r="Y138" i="22"/>
  <c r="Y139" i="22"/>
  <c r="W139" i="22"/>
  <c r="X139" i="22"/>
  <c r="Z139" i="22"/>
  <c r="B49" i="47"/>
  <c r="C48" i="47"/>
  <c r="D54" i="23"/>
  <c r="I54" i="23"/>
  <c r="C7" i="46"/>
  <c r="B8" i="46"/>
  <c r="B33" i="47"/>
  <c r="B34" i="47" s="1"/>
  <c r="C28" i="47"/>
  <c r="C29" i="47"/>
  <c r="C3" i="47"/>
  <c r="C4" i="47"/>
  <c r="C16" i="47"/>
  <c r="C19" i="47"/>
  <c r="J140" i="45"/>
  <c r="Y2" i="22"/>
  <c r="Z2" i="22"/>
  <c r="W2" i="22"/>
  <c r="X2" i="22"/>
  <c r="C3" i="46"/>
  <c r="I56" i="23"/>
  <c r="D56" i="23"/>
  <c r="J143" i="45"/>
  <c r="J144" i="45"/>
  <c r="J151" i="45"/>
  <c r="J146" i="45"/>
  <c r="J145" i="45"/>
  <c r="J149" i="45"/>
  <c r="J150" i="45"/>
  <c r="J142" i="45"/>
  <c r="J141" i="45"/>
  <c r="J147" i="45"/>
  <c r="J148" i="45"/>
  <c r="I144" i="45"/>
  <c r="I140" i="45"/>
  <c r="I143" i="45"/>
  <c r="I142" i="45"/>
  <c r="I141" i="45"/>
  <c r="I148" i="45"/>
  <c r="I151" i="45"/>
  <c r="I146" i="45"/>
  <c r="I150" i="45"/>
  <c r="I145" i="45"/>
  <c r="I149" i="45"/>
  <c r="I147" i="45"/>
  <c r="J10" i="45"/>
  <c r="I10" i="45"/>
  <c r="B29" i="45"/>
  <c r="B28" i="45"/>
  <c r="M88" i="45"/>
  <c r="M85" i="45"/>
  <c r="B63" i="45"/>
  <c r="B54" i="45"/>
  <c r="B44" i="45"/>
  <c r="B40" i="45"/>
  <c r="B36" i="45"/>
  <c r="B33" i="45"/>
  <c r="B32" i="45"/>
  <c r="B69" i="45"/>
  <c r="B47" i="45"/>
  <c r="B39" i="45"/>
  <c r="B67" i="45"/>
  <c r="B48" i="45"/>
  <c r="B42" i="45"/>
  <c r="B37" i="45"/>
  <c r="M90" i="45"/>
  <c r="M87" i="45"/>
  <c r="B68" i="45"/>
  <c r="B57" i="45"/>
  <c r="B50" i="45"/>
  <c r="B31" i="45"/>
  <c r="B30" i="45"/>
  <c r="B27" i="45"/>
  <c r="B26" i="45"/>
  <c r="B25" i="45"/>
  <c r="B23" i="45"/>
  <c r="M91" i="45"/>
  <c r="M81" i="45"/>
  <c r="B72" i="45"/>
  <c r="B65" i="45"/>
  <c r="B59" i="45"/>
  <c r="M92" i="45"/>
  <c r="M84" i="45"/>
  <c r="B71" i="45"/>
  <c r="B55" i="45"/>
  <c r="B56" i="45"/>
  <c r="B46" i="45"/>
  <c r="B49" i="45"/>
  <c r="B38" i="45"/>
  <c r="B74" i="45"/>
  <c r="B62" i="45"/>
  <c r="B52" i="45"/>
  <c r="B45" i="45"/>
  <c r="B24" i="45"/>
  <c r="M89" i="45"/>
  <c r="M86" i="45"/>
  <c r="B61" i="45"/>
  <c r="M82" i="45"/>
  <c r="B70" i="45"/>
  <c r="B58" i="45"/>
  <c r="B43" i="45"/>
  <c r="M83" i="45"/>
  <c r="B73" i="45"/>
  <c r="B66" i="45"/>
  <c r="B60" i="45"/>
  <c r="B51" i="45"/>
  <c r="B41" i="45"/>
  <c r="B35" i="45"/>
  <c r="B34" i="45"/>
  <c r="Z2" i="14"/>
  <c r="AA2" i="14"/>
  <c r="X2" i="14"/>
  <c r="Y2" i="14"/>
  <c r="R35" i="23" l="1"/>
  <c r="R33" i="23"/>
  <c r="K33" i="23"/>
  <c r="K35" i="23"/>
  <c r="K37" i="23"/>
  <c r="K39" i="23"/>
  <c r="C37" i="23"/>
  <c r="C35" i="23"/>
  <c r="C33" i="23"/>
  <c r="K25" i="22"/>
  <c r="K57" i="22"/>
  <c r="K129" i="22"/>
  <c r="C49" i="47"/>
  <c r="B50" i="47"/>
  <c r="C8" i="46"/>
  <c r="B9" i="46"/>
  <c r="B35" i="47"/>
  <c r="C34" i="47"/>
  <c r="C30" i="47"/>
  <c r="C5" i="47"/>
  <c r="C17" i="47"/>
  <c r="C18" i="47"/>
  <c r="C20" i="47"/>
  <c r="C4" i="46"/>
  <c r="C5" i="46"/>
  <c r="C50" i="47" l="1"/>
  <c r="B51" i="47"/>
  <c r="B10" i="46"/>
  <c r="C9" i="46"/>
  <c r="C35" i="47"/>
  <c r="B36" i="47"/>
  <c r="C31" i="47"/>
  <c r="C6" i="47"/>
  <c r="C21" i="47"/>
  <c r="L39" i="23"/>
  <c r="L37" i="23"/>
  <c r="L33" i="23"/>
  <c r="S33" i="23"/>
  <c r="L35" i="23"/>
  <c r="S35" i="23"/>
  <c r="D33" i="23"/>
  <c r="D35" i="23"/>
  <c r="D37" i="23"/>
  <c r="B52" i="47" l="1"/>
  <c r="C51" i="47"/>
  <c r="C10" i="46"/>
  <c r="B11" i="46"/>
  <c r="C11" i="46" s="1"/>
  <c r="C10" i="48" s="1" a="1"/>
  <c r="C10" i="48" s="1"/>
  <c r="C36" i="47"/>
  <c r="B37" i="47"/>
  <c r="C33" i="47"/>
  <c r="C32" i="47"/>
  <c r="C7" i="47"/>
  <c r="C22" i="47"/>
  <c r="E1" i="37" l="1"/>
  <c r="E1" i="48"/>
  <c r="B53" i="47"/>
  <c r="C52" i="47"/>
  <c r="C37" i="47"/>
  <c r="B38" i="47"/>
  <c r="B39" i="47" s="1"/>
  <c r="C8" i="47"/>
  <c r="C23" i="47"/>
  <c r="C7" i="48" l="1"/>
  <c r="E5" i="48"/>
  <c r="E4" i="48"/>
  <c r="B28" i="48"/>
  <c r="E3" i="48"/>
  <c r="E6" i="48"/>
  <c r="B54" i="47"/>
  <c r="B55" i="47" s="1"/>
  <c r="C53" i="47"/>
  <c r="C39" i="47"/>
  <c r="B40" i="47"/>
  <c r="C38" i="47"/>
  <c r="B42" i="47"/>
  <c r="C9" i="47"/>
  <c r="C24" i="47"/>
  <c r="C54" i="47" l="1"/>
  <c r="C55" i="47"/>
  <c r="B56" i="47"/>
  <c r="C56" i="47" s="1"/>
  <c r="C40" i="47"/>
  <c r="B41" i="47"/>
  <c r="C41" i="47" s="1"/>
  <c r="C42" i="47"/>
  <c r="B43" i="47"/>
  <c r="C10" i="47"/>
  <c r="C25" i="47"/>
  <c r="C43" i="47" l="1"/>
  <c r="B44" i="47"/>
  <c r="C11" i="47"/>
  <c r="C26" i="47"/>
  <c r="B45" i="47" l="1"/>
  <c r="C44" i="47"/>
  <c r="C12" i="47"/>
  <c r="C27" i="47"/>
  <c r="B12" i="34" a="1"/>
  <c r="B5" i="34"/>
  <c r="B6" i="34" s="1"/>
  <c r="C45" i="47" l="1"/>
  <c r="B46" i="47"/>
  <c r="C13" i="47"/>
  <c r="B12" i="34"/>
  <c r="G9" i="34"/>
  <c r="B7" i="34"/>
  <c r="B8" i="34"/>
  <c r="C46" i="47" l="1"/>
  <c r="B47" i="47"/>
  <c r="C47" i="47" s="1"/>
  <c r="C14" i="47"/>
  <c r="C15" i="47"/>
  <c r="B14" i="33" l="1" a="1"/>
  <c r="B14" i="33" s="1"/>
  <c r="B7" i="32"/>
  <c r="B14" i="32" a="1"/>
  <c r="B7" i="33"/>
  <c r="B31" i="33"/>
  <c r="B33" i="32"/>
  <c r="B14" i="32" l="1"/>
  <c r="B9" i="32"/>
  <c r="B8" i="32"/>
  <c r="B10" i="32"/>
  <c r="B9" i="33"/>
  <c r="B10" i="33"/>
  <c r="B8" i="33"/>
  <c r="A5" i="41" l="1"/>
  <c r="G17" i="41" l="1"/>
  <c r="G16" i="41"/>
  <c r="G15" i="41"/>
  <c r="G14" i="41"/>
  <c r="E5" i="37"/>
  <c r="C7" i="37"/>
  <c r="E4" i="37"/>
  <c r="B24" i="37"/>
  <c r="E6" i="37"/>
  <c r="E3" i="37"/>
  <c r="G13" i="41" s="1"/>
  <c r="D23" i="41" s="1"/>
  <c r="G23" i="34" s="1"/>
  <c r="E23" i="34" s="1"/>
  <c r="F30" i="32" s="1"/>
  <c r="E30" i="32" s="1"/>
  <c r="F27" i="33" s="1"/>
  <c r="F28" i="33" s="1"/>
  <c r="F23" i="41" l="1"/>
  <c r="G23" i="41" s="1"/>
  <c r="F9" i="41" s="1"/>
  <c r="B9" i="41" s="1"/>
  <c r="E28" i="33"/>
  <c r="E27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Sumin Ha</author>
  </authors>
  <commentList>
    <comment ref="C178" authorId="0" shapeId="0" xr:uid="{9B0CCE6A-70F5-432B-BAC2-9AC02C5EF2EE}">
      <text>
        <r>
          <rPr>
            <b/>
            <sz val="9"/>
            <color indexed="81"/>
            <rFont val="Tahoma"/>
            <family val="2"/>
          </rPr>
          <t>Sumin Ha: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수리불가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납품가는</t>
        </r>
        <r>
          <rPr>
            <sz val="9"/>
            <color indexed="81"/>
            <rFont val="Tahoma"/>
            <family val="2"/>
          </rPr>
          <t xml:space="preserve"> 20% </t>
        </r>
        <r>
          <rPr>
            <sz val="9"/>
            <color indexed="81"/>
            <rFont val="돋움"/>
            <family val="3"/>
            <charset val="129"/>
          </rPr>
          <t>할인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적용할것
차액은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콕스에서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재매입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
모짜렐라로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보내기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E83" authorId="0" shapeId="0" xr:uid="{6E55BCAA-F082-48B4-965C-E9AC6C432BB3}">
      <text>
        <r>
          <rPr>
            <b/>
            <sz val="9"/>
            <color indexed="81"/>
            <rFont val="돋움"/>
            <family val="3"/>
            <charset val="129"/>
          </rPr>
          <t>발열자카메라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전용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<sst xmlns="http://schemas.openxmlformats.org/spreadsheetml/2006/main" count="42570" uniqueCount="9331">
  <si>
    <t>모델</t>
    <phoneticPr fontId="11" type="noConversion"/>
  </si>
  <si>
    <t>수량</t>
    <phoneticPr fontId="11" type="noConversion"/>
  </si>
  <si>
    <t>금액</t>
    <phoneticPr fontId="11" type="noConversion"/>
  </si>
  <si>
    <t>선적방법</t>
    <phoneticPr fontId="10" type="noConversion"/>
  </si>
  <si>
    <t>실입금액</t>
    <phoneticPr fontId="10" type="noConversion"/>
  </si>
  <si>
    <t>수취일</t>
    <phoneticPr fontId="10" type="noConversion"/>
  </si>
  <si>
    <t>발주처</t>
    <phoneticPr fontId="10" type="noConversion"/>
  </si>
  <si>
    <t>금액
(VAT포함)</t>
    <phoneticPr fontId="10" type="noConversion"/>
  </si>
  <si>
    <t>발송일</t>
    <phoneticPr fontId="10" type="noConversion"/>
  </si>
  <si>
    <t>렌즈분류</t>
    <phoneticPr fontId="11" type="noConversion"/>
  </si>
  <si>
    <t>옵션</t>
    <phoneticPr fontId="11" type="noConversion"/>
  </si>
  <si>
    <t>렌즈</t>
    <phoneticPr fontId="10" type="noConversion"/>
  </si>
  <si>
    <t>윌별</t>
    <phoneticPr fontId="10" type="noConversion"/>
  </si>
  <si>
    <t>해외 매출액</t>
    <phoneticPr fontId="10" type="noConversion"/>
  </si>
  <si>
    <t>국내 매출액</t>
    <phoneticPr fontId="10" type="noConversion"/>
  </si>
  <si>
    <t>국내외 카메라 수량</t>
    <phoneticPr fontId="10" type="noConversion"/>
  </si>
  <si>
    <t>데이터</t>
  </si>
  <si>
    <t>윌별</t>
  </si>
  <si>
    <t>합계 : 해외 매출액</t>
  </si>
  <si>
    <t>합계 : 국내 매출액</t>
  </si>
  <si>
    <t>합계 : 국내외 카메라 수량</t>
  </si>
  <si>
    <t>총합계</t>
  </si>
  <si>
    <t>모델</t>
    <phoneticPr fontId="10" type="noConversion"/>
  </si>
  <si>
    <t>지역별</t>
    <phoneticPr fontId="10" type="noConversion"/>
  </si>
  <si>
    <t>수량(누적)</t>
    <phoneticPr fontId="10" type="noConversion"/>
  </si>
  <si>
    <t>TOTAL</t>
    <phoneticPr fontId="10" type="noConversion"/>
  </si>
  <si>
    <t>해외</t>
    <phoneticPr fontId="10" type="noConversion"/>
  </si>
  <si>
    <t>Analogue</t>
    <phoneticPr fontId="10" type="noConversion"/>
  </si>
  <si>
    <t>국내</t>
    <phoneticPr fontId="10" type="noConversion"/>
  </si>
  <si>
    <t>VGA
(CG6)</t>
    <phoneticPr fontId="10" type="noConversion"/>
  </si>
  <si>
    <t>Security
(300, 600, 1000)</t>
    <phoneticPr fontId="10" type="noConversion"/>
  </si>
  <si>
    <t>IP Network
(-IP)</t>
    <phoneticPr fontId="10" type="noConversion"/>
  </si>
  <si>
    <t>XGA
(CX1)</t>
    <phoneticPr fontId="10" type="noConversion"/>
  </si>
  <si>
    <t>Nightvision
(CN)</t>
    <phoneticPr fontId="10" type="noConversion"/>
  </si>
  <si>
    <t>월</t>
  </si>
  <si>
    <t>QVGA</t>
  </si>
  <si>
    <t>국내</t>
  </si>
  <si>
    <t>해외</t>
  </si>
  <si>
    <t>구분</t>
  </si>
  <si>
    <t>해상도</t>
  </si>
  <si>
    <t>해상도</t>
    <phoneticPr fontId="14" type="noConversion"/>
  </si>
  <si>
    <t>용도</t>
  </si>
  <si>
    <t>용도</t>
    <phoneticPr fontId="14" type="noConversion"/>
  </si>
  <si>
    <t>Radiometric</t>
  </si>
  <si>
    <t>출고예정일</t>
    <phoneticPr fontId="12" type="noConversion"/>
  </si>
  <si>
    <t>단가</t>
    <phoneticPr fontId="12" type="noConversion"/>
  </si>
  <si>
    <t>선적일</t>
    <phoneticPr fontId="12" type="noConversion"/>
  </si>
  <si>
    <t>단가</t>
    <phoneticPr fontId="13" type="noConversion"/>
  </si>
  <si>
    <t>발송예정일</t>
    <phoneticPr fontId="13" type="noConversion"/>
  </si>
  <si>
    <t>CG640</t>
  </si>
  <si>
    <t>CG320</t>
  </si>
  <si>
    <t>M 8mm-motor</t>
  </si>
  <si>
    <t>업체명</t>
    <phoneticPr fontId="18" type="noConversion"/>
  </si>
  <si>
    <t>모델명</t>
    <phoneticPr fontId="18" type="noConversion"/>
  </si>
  <si>
    <t>열1</t>
  </si>
  <si>
    <t>금액(원)/필증기준</t>
    <phoneticPr fontId="12" type="noConversion"/>
  </si>
  <si>
    <t>G 20mm</t>
  </si>
  <si>
    <t>CG300</t>
    <phoneticPr fontId="14" type="noConversion"/>
  </si>
  <si>
    <t>CG300IP</t>
    <phoneticPr fontId="14" type="noConversion"/>
  </si>
  <si>
    <t>CG320</t>
    <phoneticPr fontId="14" type="noConversion"/>
  </si>
  <si>
    <t>CG320IP</t>
    <phoneticPr fontId="14" type="noConversion"/>
  </si>
  <si>
    <t>CZ300</t>
    <phoneticPr fontId="14" type="noConversion"/>
  </si>
  <si>
    <t>CZ300IP</t>
    <phoneticPr fontId="14" type="noConversion"/>
  </si>
  <si>
    <t>CZ320</t>
    <phoneticPr fontId="14" type="noConversion"/>
  </si>
  <si>
    <t>CZ320IP</t>
    <phoneticPr fontId="14" type="noConversion"/>
  </si>
  <si>
    <t>CG600</t>
    <phoneticPr fontId="14" type="noConversion"/>
  </si>
  <si>
    <t>CG600IP</t>
    <phoneticPr fontId="14" type="noConversion"/>
  </si>
  <si>
    <t>CG640</t>
    <phoneticPr fontId="14" type="noConversion"/>
  </si>
  <si>
    <t>CG640IP</t>
    <phoneticPr fontId="14" type="noConversion"/>
  </si>
  <si>
    <t>CZ600</t>
    <phoneticPr fontId="14" type="noConversion"/>
  </si>
  <si>
    <t>CZ600IP</t>
    <phoneticPr fontId="14" type="noConversion"/>
  </si>
  <si>
    <t>CZ640</t>
    <phoneticPr fontId="14" type="noConversion"/>
  </si>
  <si>
    <t>CZ640IP</t>
    <phoneticPr fontId="14" type="noConversion"/>
  </si>
  <si>
    <t>CG1000</t>
    <phoneticPr fontId="14" type="noConversion"/>
  </si>
  <si>
    <t>CG1000IP</t>
    <phoneticPr fontId="14" type="noConversion"/>
  </si>
  <si>
    <t>CG1024</t>
    <phoneticPr fontId="14" type="noConversion"/>
  </si>
  <si>
    <t>CG1024IP</t>
    <phoneticPr fontId="14" type="noConversion"/>
  </si>
  <si>
    <t>CZ1000</t>
    <phoneticPr fontId="14" type="noConversion"/>
  </si>
  <si>
    <t>CZ1000IP</t>
    <phoneticPr fontId="14" type="noConversion"/>
  </si>
  <si>
    <t>CZ1024</t>
    <phoneticPr fontId="14" type="noConversion"/>
  </si>
  <si>
    <t>CZ1024IP</t>
    <phoneticPr fontId="14" type="noConversion"/>
  </si>
  <si>
    <t>CN300</t>
    <phoneticPr fontId="14" type="noConversion"/>
  </si>
  <si>
    <t>CN600</t>
    <phoneticPr fontId="14" type="noConversion"/>
  </si>
  <si>
    <t>CG300-NM</t>
    <phoneticPr fontId="14" type="noConversion"/>
  </si>
  <si>
    <t>CG600-NM</t>
    <phoneticPr fontId="14" type="noConversion"/>
  </si>
  <si>
    <t>구분</t>
    <phoneticPr fontId="14" type="noConversion"/>
  </si>
  <si>
    <t>QVGA</t>
    <phoneticPr fontId="14" type="noConversion"/>
  </si>
  <si>
    <t>Security</t>
    <phoneticPr fontId="14" type="noConversion"/>
  </si>
  <si>
    <t>Analgoue</t>
  </si>
  <si>
    <t>VGA</t>
  </si>
  <si>
    <t>VGA</t>
    <phoneticPr fontId="14" type="noConversion"/>
  </si>
  <si>
    <t>XGA</t>
    <phoneticPr fontId="14" type="noConversion"/>
  </si>
  <si>
    <t>Network</t>
    <phoneticPr fontId="14" type="noConversion"/>
  </si>
  <si>
    <t>Radiometric</t>
    <phoneticPr fontId="14" type="noConversion"/>
  </si>
  <si>
    <t>CF320</t>
    <phoneticPr fontId="14" type="noConversion"/>
  </si>
  <si>
    <t>Night vision</t>
    <phoneticPr fontId="14" type="noConversion"/>
  </si>
  <si>
    <t>Purpose</t>
  </si>
  <si>
    <t>합계 : Qty</t>
  </si>
  <si>
    <t>국가</t>
  </si>
  <si>
    <t>요약</t>
  </si>
  <si>
    <t>모델</t>
  </si>
  <si>
    <t>옵션</t>
  </si>
  <si>
    <t>렌즈분류</t>
  </si>
  <si>
    <t>CG640IP</t>
  </si>
  <si>
    <t>AIO320B</t>
    <phoneticPr fontId="14" type="noConversion"/>
  </si>
  <si>
    <t>Fever screening</t>
    <phoneticPr fontId="14" type="noConversion"/>
  </si>
  <si>
    <t>Network</t>
  </si>
  <si>
    <t>(비어 있음)</t>
  </si>
  <si>
    <t>수리비</t>
  </si>
  <si>
    <t>환율(원/달러)</t>
    <phoneticPr fontId="12" type="noConversion"/>
  </si>
  <si>
    <t>Focus 2000 Infrared Ltd</t>
  </si>
  <si>
    <t>Security</t>
  </si>
  <si>
    <t>M 20mm-motor</t>
  </si>
  <si>
    <t>CG600IP</t>
  </si>
  <si>
    <t>M 75mm-motor</t>
  </si>
  <si>
    <t>A 8mm</t>
  </si>
  <si>
    <t>CG320IP</t>
  </si>
  <si>
    <t>Pergam Kazakhstan</t>
  </si>
  <si>
    <t>#N/A</t>
  </si>
  <si>
    <t>계산서
발행일/구매확정일</t>
    <phoneticPr fontId="10" type="noConversion"/>
  </si>
  <si>
    <t>썬나인코리아(주)</t>
  </si>
  <si>
    <t>Window 85x4t</t>
  </si>
  <si>
    <t>CZ600IP</t>
  </si>
  <si>
    <t>CG600-NM</t>
  </si>
  <si>
    <t>High</t>
  </si>
  <si>
    <t>Medium</t>
  </si>
  <si>
    <t>Normal</t>
  </si>
  <si>
    <t>화신텍시스템(주)</t>
  </si>
  <si>
    <t>주식회사 프로아테크</t>
  </si>
  <si>
    <t>루트비전</t>
  </si>
  <si>
    <t>Global Proof S.r.l.</t>
  </si>
  <si>
    <t>G 4.8mm</t>
  </si>
  <si>
    <t>코비코(주)</t>
  </si>
  <si>
    <t>G 8mm</t>
  </si>
  <si>
    <t>아엠아이테크(주)</t>
  </si>
  <si>
    <t>재보정</t>
  </si>
  <si>
    <t>Z 25-225mm-motor</t>
  </si>
  <si>
    <t>A 4.7mm</t>
  </si>
  <si>
    <t>센서구분</t>
    <phoneticPr fontId="14" type="noConversion"/>
  </si>
  <si>
    <t>주식회사 엔티에스</t>
  </si>
  <si>
    <t>젤루텍</t>
  </si>
  <si>
    <t>주식회사 호경에스엔씨</t>
  </si>
  <si>
    <t>주식회사 주원</t>
  </si>
  <si>
    <t>(주)유진인프라코어</t>
  </si>
  <si>
    <t>일반 하우징</t>
  </si>
  <si>
    <t>Z 25-225mm-motor zoom</t>
  </si>
  <si>
    <t>V61</t>
  </si>
  <si>
    <t>Window 40x3t</t>
  </si>
  <si>
    <t>CG600</t>
  </si>
  <si>
    <t>CZ320</t>
  </si>
  <si>
    <t>Videoset</t>
  </si>
  <si>
    <t>Sentez System and Engineering Ltd</t>
  </si>
  <si>
    <t>OpteamX Ltd.</t>
  </si>
  <si>
    <t>Raygen Resources PTY Ltd.</t>
  </si>
  <si>
    <t>PT DIELEKTRIKA PERSADA TEKNIK</t>
  </si>
  <si>
    <t>A 35mm</t>
  </si>
  <si>
    <t>DH5100SHBD</t>
  </si>
  <si>
    <t>DH5100SHBD</t>
    <phoneticPr fontId="12" type="noConversion"/>
  </si>
  <si>
    <t>Window 60x4t</t>
    <phoneticPr fontId="12" type="noConversion"/>
  </si>
  <si>
    <t>DHL(Global proof)</t>
    <phoneticPr fontId="12" type="noConversion"/>
  </si>
  <si>
    <t>DHL(Videoset)</t>
    <phoneticPr fontId="12" type="noConversion"/>
  </si>
  <si>
    <t>Fedex(Sentez)</t>
    <phoneticPr fontId="12" type="noConversion"/>
  </si>
  <si>
    <t>DHL(Focus)</t>
    <phoneticPr fontId="12" type="noConversion"/>
  </si>
  <si>
    <t>DHL(Pergam)</t>
    <phoneticPr fontId="12" type="noConversion"/>
  </si>
  <si>
    <t>DHL(OpteamX)</t>
    <phoneticPr fontId="12" type="noConversion"/>
  </si>
  <si>
    <t>DHL(Raygen)</t>
    <phoneticPr fontId="12" type="noConversion"/>
  </si>
  <si>
    <t>Fedex(PT)</t>
    <phoneticPr fontId="12" type="noConversion"/>
  </si>
  <si>
    <t>쿠도커뮤니케이션(주)</t>
  </si>
  <si>
    <t>M 75mm-motor</t>
    <phoneticPr fontId="13" type="noConversion"/>
  </si>
  <si>
    <t>CG600</t>
    <phoneticPr fontId="13" type="noConversion"/>
  </si>
  <si>
    <t>15사단(6685부대)</t>
    <phoneticPr fontId="13" type="noConversion"/>
  </si>
  <si>
    <t>2024-03-22/2024-03-27</t>
    <phoneticPr fontId="13" type="noConversion"/>
  </si>
  <si>
    <t>별도 관리</t>
    <phoneticPr fontId="13" type="noConversion"/>
  </si>
  <si>
    <t>D-30</t>
    <phoneticPr fontId="13" type="noConversion"/>
  </si>
  <si>
    <t>1 요약</t>
  </si>
  <si>
    <t>2 요약</t>
  </si>
  <si>
    <t>3 요약</t>
  </si>
  <si>
    <t>(사)부산항시설관리센터</t>
  </si>
  <si>
    <t>출장비</t>
  </si>
  <si>
    <t>Window 60x4t</t>
  </si>
  <si>
    <t>Super X</t>
  </si>
  <si>
    <t>G 35mm</t>
  </si>
  <si>
    <t>M 25mm-motor</t>
  </si>
  <si>
    <t>4 요약</t>
  </si>
  <si>
    <t>V61</t>
    <phoneticPr fontId="14" type="noConversion"/>
  </si>
  <si>
    <t>VGA</t>
    <phoneticPr fontId="14" type="noConversion"/>
  </si>
  <si>
    <t>카메라구분</t>
    <phoneticPr fontId="14" type="noConversion"/>
  </si>
  <si>
    <t>카메라</t>
    <phoneticPr fontId="14" type="noConversion"/>
  </si>
  <si>
    <t>세금계산서비고</t>
    <phoneticPr fontId="13" type="noConversion"/>
  </si>
  <si>
    <t>카메라구분</t>
    <phoneticPr fontId="13" type="noConversion"/>
  </si>
  <si>
    <t>월구분</t>
    <phoneticPr fontId="13" type="noConversion"/>
  </si>
  <si>
    <t>4건으로 나누어 발행(1,139,600+1,320,000+1,650,000+1,320,000)</t>
    <phoneticPr fontId="13" type="noConversion"/>
  </si>
  <si>
    <t>2건으로 나누어 발행(2,142,800+3,286,800)</t>
    <phoneticPr fontId="13" type="noConversion"/>
  </si>
  <si>
    <t>Window 45x3t</t>
  </si>
  <si>
    <t>주식회사 아르게스마린</t>
  </si>
  <si>
    <t>A 7.1mm</t>
  </si>
  <si>
    <t>15사단</t>
  </si>
  <si>
    <t>기타</t>
  </si>
  <si>
    <t>아이앤브이테크</t>
  </si>
  <si>
    <t>(주)에스피지</t>
  </si>
  <si>
    <t>(주)유텍엔지니어링</t>
  </si>
  <si>
    <t>주식회사 코콤</t>
  </si>
  <si>
    <t>(주)유튜에스알</t>
  </si>
  <si>
    <t>한솔테크</t>
  </si>
  <si>
    <t>(주)디닷케어</t>
  </si>
  <si>
    <t>해상도</t>
    <phoneticPr fontId="13" type="noConversion"/>
  </si>
  <si>
    <t>용도</t>
    <phoneticPr fontId="13" type="noConversion"/>
  </si>
  <si>
    <t>구분</t>
    <phoneticPr fontId="13" type="noConversion"/>
  </si>
  <si>
    <t>센서</t>
    <phoneticPr fontId="13" type="noConversion"/>
  </si>
  <si>
    <t>Radiometric</t>
    <phoneticPr fontId="10" type="noConversion"/>
  </si>
  <si>
    <t>Security</t>
    <phoneticPr fontId="10" type="noConversion"/>
  </si>
  <si>
    <t>Network</t>
    <phoneticPr fontId="10" type="noConversion"/>
  </si>
  <si>
    <t>Analogue</t>
  </si>
  <si>
    <t>V31</t>
    <phoneticPr fontId="14" type="noConversion"/>
  </si>
  <si>
    <t>QVGA</t>
    <phoneticPr fontId="14" type="noConversion"/>
  </si>
  <si>
    <t>V101</t>
    <phoneticPr fontId="14" type="noConversion"/>
  </si>
  <si>
    <t>V30</t>
    <phoneticPr fontId="14" type="noConversion"/>
  </si>
  <si>
    <t>V60</t>
    <phoneticPr fontId="14" type="noConversion"/>
  </si>
  <si>
    <t>V100</t>
    <phoneticPr fontId="14" type="noConversion"/>
  </si>
  <si>
    <t>Analogue</t>
    <phoneticPr fontId="14" type="noConversion"/>
  </si>
  <si>
    <t>2024-04-09/2024-04-11</t>
    <phoneticPr fontId="13" type="noConversion"/>
  </si>
  <si>
    <t>2024-05-13/2024-04-19</t>
    <phoneticPr fontId="13" type="noConversion"/>
  </si>
  <si>
    <t>DH5100SHBD</t>
    <phoneticPr fontId="12" type="noConversion"/>
  </si>
  <si>
    <t>Fedex(Ventionex)</t>
    <phoneticPr fontId="12" type="noConversion"/>
  </si>
  <si>
    <t>PCB board</t>
    <phoneticPr fontId="12" type="noConversion"/>
  </si>
  <si>
    <t>for Arges marine PTZ</t>
    <phoneticPr fontId="12" type="noConversion"/>
  </si>
  <si>
    <t>CG320IP</t>
    <phoneticPr fontId="13" type="noConversion"/>
  </si>
  <si>
    <t>화신텍시스템(주)</t>
    <phoneticPr fontId="13" type="noConversion"/>
  </si>
  <si>
    <t>쿠도커뮤니케이션(주)</t>
    <phoneticPr fontId="13" type="noConversion"/>
  </si>
  <si>
    <t>D-30</t>
    <phoneticPr fontId="14" type="noConversion"/>
  </si>
  <si>
    <t>총액 176,088,000원 중 잔액 25%</t>
    <phoneticPr fontId="13" type="noConversion"/>
  </si>
  <si>
    <t>총액 176,088,000원 중 중도금 50%</t>
    <phoneticPr fontId="13" type="noConversion"/>
  </si>
  <si>
    <t>Focus 2000 Infrared Ltd</t>
    <phoneticPr fontId="12" type="noConversion"/>
  </si>
  <si>
    <t>맥스정보통신</t>
  </si>
  <si>
    <t>주식회사 이스온</t>
  </si>
  <si>
    <t>이노뎁(주)</t>
  </si>
  <si>
    <t>아시안브릿지</t>
  </si>
  <si>
    <t>AF MODULE</t>
  </si>
  <si>
    <t>(주)랩스엠알오</t>
  </si>
  <si>
    <t>오토데이타 인터내셔날(주)</t>
  </si>
  <si>
    <t>단가 400USD, 환율 1389.1USD/원</t>
    <phoneticPr fontId="13" type="noConversion"/>
  </si>
  <si>
    <t>CG640</t>
    <phoneticPr fontId="12" type="noConversion"/>
  </si>
  <si>
    <t>G 4.8mm</t>
    <phoneticPr fontId="12" type="noConversion"/>
  </si>
  <si>
    <t>Medium</t>
    <phoneticPr fontId="12" type="noConversion"/>
  </si>
  <si>
    <t>Housing (SUS-Arges marine)</t>
    <phoneticPr fontId="12" type="noConversion"/>
  </si>
  <si>
    <t>(주)에스원</t>
  </si>
  <si>
    <t>주식회사 아이알비전</t>
  </si>
  <si>
    <t>주식회사 에스제이티</t>
  </si>
  <si>
    <t>주식회사 토페스</t>
  </si>
  <si>
    <t>출장비(창원)</t>
  </si>
  <si>
    <t>Shalom 25mm 캘코지나이드 렌즈</t>
  </si>
  <si>
    <t>CG640IP</t>
    <phoneticPr fontId="13" type="noConversion"/>
  </si>
  <si>
    <t>CG320</t>
    <phoneticPr fontId="13" type="noConversion"/>
  </si>
  <si>
    <t>시티아이랩 주식회사</t>
  </si>
  <si>
    <t>Pergam Kazakhstan</t>
    <phoneticPr fontId="12" type="noConversion"/>
  </si>
  <si>
    <t>CG640IP</t>
    <phoneticPr fontId="12" type="noConversion"/>
  </si>
  <si>
    <t>M 25mm-motor</t>
    <phoneticPr fontId="12" type="noConversion"/>
  </si>
  <si>
    <t>High</t>
    <phoneticPr fontId="12" type="noConversion"/>
  </si>
  <si>
    <t>CG640</t>
    <phoneticPr fontId="12" type="noConversion"/>
  </si>
  <si>
    <t>M 20mm-motor</t>
    <phoneticPr fontId="12" type="noConversion"/>
  </si>
  <si>
    <t>Normal</t>
    <phoneticPr fontId="12" type="noConversion"/>
  </si>
  <si>
    <t>Raygen Resources PTY Ltd.</t>
    <phoneticPr fontId="12" type="noConversion"/>
  </si>
  <si>
    <t>CZ640</t>
    <phoneticPr fontId="12" type="noConversion"/>
  </si>
  <si>
    <t>M 150mm-motor</t>
    <phoneticPr fontId="12" type="noConversion"/>
  </si>
  <si>
    <t>Window 145x5t</t>
    <phoneticPr fontId="12" type="noConversion"/>
  </si>
  <si>
    <t>LTEG05XL-3-2</t>
    <phoneticPr fontId="12" type="noConversion"/>
  </si>
  <si>
    <t>코비코(주)</t>
    <phoneticPr fontId="13" type="noConversion"/>
  </si>
  <si>
    <t>CN300</t>
    <phoneticPr fontId="13" type="noConversion"/>
  </si>
  <si>
    <t>케이디엠씨 주식회사</t>
  </si>
  <si>
    <t>인사이트파워</t>
    <phoneticPr fontId="13" type="noConversion"/>
  </si>
  <si>
    <t>180도 실상 카메라</t>
    <phoneticPr fontId="13" type="noConversion"/>
  </si>
  <si>
    <t>90도 실상 카메라</t>
    <phoneticPr fontId="13" type="noConversion"/>
  </si>
  <si>
    <t>AIO320B</t>
    <phoneticPr fontId="13" type="noConversion"/>
  </si>
  <si>
    <t>A 4.0mm</t>
    <phoneticPr fontId="13" type="noConversion"/>
  </si>
  <si>
    <t>Fisheye lens</t>
    <phoneticPr fontId="13" type="noConversion"/>
  </si>
  <si>
    <t>수리비</t>
    <phoneticPr fontId="13" type="noConversion"/>
  </si>
  <si>
    <t>Z 25-225mm-motor zoom</t>
    <phoneticPr fontId="13" type="noConversion"/>
  </si>
  <si>
    <t>CG320</t>
    <phoneticPr fontId="13" type="noConversion"/>
  </si>
  <si>
    <t>CG640IP</t>
    <phoneticPr fontId="13" type="noConversion"/>
  </si>
  <si>
    <t>캘코겐디스크 GaSb</t>
    <phoneticPr fontId="13" type="noConversion"/>
  </si>
  <si>
    <t>디스크 SbSe</t>
    <phoneticPr fontId="13" type="noConversion"/>
  </si>
  <si>
    <t>CG600</t>
    <phoneticPr fontId="13" type="noConversion"/>
  </si>
  <si>
    <t>2번 나누어 입금됨</t>
    <phoneticPr fontId="13" type="noConversion"/>
  </si>
  <si>
    <t>50%만 입금됨</t>
    <phoneticPr fontId="13" type="noConversion"/>
  </si>
  <si>
    <t>OpteamX Ltd.</t>
    <phoneticPr fontId="12" type="noConversion"/>
  </si>
  <si>
    <t>CZ300</t>
    <phoneticPr fontId="12" type="noConversion"/>
  </si>
  <si>
    <t>A 8mm</t>
    <phoneticPr fontId="12" type="noConversion"/>
  </si>
  <si>
    <t>Focus 2000 Infrared Ltd</t>
    <phoneticPr fontId="12" type="noConversion"/>
  </si>
  <si>
    <t>CZ640</t>
    <phoneticPr fontId="12" type="noConversion"/>
  </si>
  <si>
    <t>A 4.7mm</t>
    <phoneticPr fontId="12" type="noConversion"/>
  </si>
  <si>
    <t>Medium</t>
    <phoneticPr fontId="12" type="noConversion"/>
  </si>
  <si>
    <t>Pergam Kazakhstan</t>
    <phoneticPr fontId="12" type="noConversion"/>
  </si>
  <si>
    <t>CG640</t>
    <phoneticPr fontId="12" type="noConversion"/>
  </si>
  <si>
    <t>M 8mm-motor</t>
    <phoneticPr fontId="12" type="noConversion"/>
  </si>
  <si>
    <t>High</t>
    <phoneticPr fontId="12" type="noConversion"/>
  </si>
  <si>
    <t>DHL(COX)</t>
    <phoneticPr fontId="12" type="noConversion"/>
  </si>
  <si>
    <t>Fedex(OpteamX)</t>
    <phoneticPr fontId="12" type="noConversion"/>
  </si>
  <si>
    <t>2024-09-05(선금50%)</t>
    <phoneticPr fontId="12" type="noConversion"/>
  </si>
  <si>
    <t>2024-07-12(2회 입금)</t>
    <phoneticPr fontId="12" type="noConversion"/>
  </si>
  <si>
    <t>Night vision</t>
    <phoneticPr fontId="10" type="noConversion"/>
  </si>
  <si>
    <t>CG640</t>
    <phoneticPr fontId="12" type="noConversion"/>
  </si>
  <si>
    <t>M 50mm-motor</t>
    <phoneticPr fontId="12" type="noConversion"/>
  </si>
  <si>
    <t>Normal</t>
    <phoneticPr fontId="12" type="noConversion"/>
  </si>
  <si>
    <t>Sentez System and Engineering Ltd</t>
    <phoneticPr fontId="12" type="noConversion"/>
  </si>
  <si>
    <t>CG320</t>
    <phoneticPr fontId="12" type="noConversion"/>
  </si>
  <si>
    <t>Pergam Kazakhstan</t>
    <phoneticPr fontId="12" type="noConversion"/>
  </si>
  <si>
    <t>G 20mm</t>
    <phoneticPr fontId="12" type="noConversion"/>
  </si>
  <si>
    <t>Focus 2000 Infrared Ltd</t>
    <phoneticPr fontId="12" type="noConversion"/>
  </si>
  <si>
    <t>CG640IP</t>
    <phoneticPr fontId="12" type="noConversion"/>
  </si>
  <si>
    <t>M 4.8mm-motor</t>
    <phoneticPr fontId="12" type="noConversion"/>
  </si>
  <si>
    <t>Medium</t>
    <phoneticPr fontId="12" type="noConversion"/>
  </si>
  <si>
    <t>Window 60x4t</t>
    <phoneticPr fontId="12" type="noConversion"/>
  </si>
  <si>
    <t>화신텍시스템(주)</t>
    <phoneticPr fontId="13" type="noConversion"/>
  </si>
  <si>
    <t>CG320</t>
    <phoneticPr fontId="13" type="noConversion"/>
  </si>
  <si>
    <t>주식회사 삼성이엔지</t>
    <phoneticPr fontId="13" type="noConversion"/>
  </si>
  <si>
    <t>CG600</t>
    <phoneticPr fontId="13" type="noConversion"/>
  </si>
  <si>
    <t>CG320IP</t>
    <phoneticPr fontId="13" type="noConversion"/>
  </si>
  <si>
    <t>구분</t>
    <phoneticPr fontId="22" type="noConversion"/>
  </si>
  <si>
    <t>Brazil</t>
    <phoneticPr fontId="18" type="noConversion"/>
  </si>
  <si>
    <t>Chile</t>
    <phoneticPr fontId="18" type="noConversion"/>
  </si>
  <si>
    <t>China</t>
    <phoneticPr fontId="18" type="noConversion"/>
  </si>
  <si>
    <t>DOMINICAN REPUBLIC</t>
  </si>
  <si>
    <t>Ecuador</t>
    <phoneticPr fontId="18" type="noConversion"/>
  </si>
  <si>
    <t>Germany</t>
  </si>
  <si>
    <t>Hong kong</t>
    <phoneticPr fontId="18" type="noConversion"/>
  </si>
  <si>
    <t>India</t>
  </si>
  <si>
    <t>Israel</t>
    <phoneticPr fontId="18" type="noConversion"/>
  </si>
  <si>
    <t>Korea</t>
    <phoneticPr fontId="18" type="noConversion"/>
  </si>
  <si>
    <t>Malta</t>
  </si>
  <si>
    <t>RUSSIAN FEDERATION</t>
    <phoneticPr fontId="18" type="noConversion"/>
  </si>
  <si>
    <t>Singapore</t>
    <phoneticPr fontId="18" type="noConversion"/>
  </si>
  <si>
    <t>South Africa</t>
  </si>
  <si>
    <t>Sweden</t>
  </si>
  <si>
    <t>Switzerland</t>
  </si>
  <si>
    <t>Taiwan</t>
    <phoneticPr fontId="18" type="noConversion"/>
  </si>
  <si>
    <t>Thailand</t>
    <phoneticPr fontId="18" type="noConversion"/>
  </si>
  <si>
    <t>UAE</t>
    <phoneticPr fontId="18" type="noConversion"/>
  </si>
  <si>
    <t>United Kingdom</t>
    <phoneticPr fontId="18" type="noConversion"/>
  </si>
  <si>
    <t>Ukraine</t>
  </si>
  <si>
    <t>UNITED STATES</t>
  </si>
  <si>
    <t>Viet nam</t>
    <phoneticPr fontId="18" type="noConversion"/>
  </si>
  <si>
    <t>Malaysia</t>
    <phoneticPr fontId="11" type="noConversion"/>
  </si>
  <si>
    <t>Kazakhstan</t>
    <phoneticPr fontId="22" type="noConversion"/>
  </si>
  <si>
    <t>국가</t>
    <phoneticPr fontId="18" type="noConversion"/>
  </si>
  <si>
    <t>주소</t>
    <phoneticPr fontId="18" type="noConversion"/>
  </si>
  <si>
    <t>담당자</t>
    <phoneticPr fontId="18" type="noConversion"/>
  </si>
  <si>
    <t>전화번호</t>
    <phoneticPr fontId="18" type="noConversion"/>
  </si>
  <si>
    <t>이메일</t>
    <phoneticPr fontId="18" type="noConversion"/>
  </si>
  <si>
    <t>수출허가</t>
    <phoneticPr fontId="18" type="noConversion"/>
  </si>
  <si>
    <t>수출허가번호</t>
    <phoneticPr fontId="18" type="noConversion"/>
  </si>
  <si>
    <t>수출허가 만료일</t>
    <phoneticPr fontId="18" type="noConversion"/>
  </si>
  <si>
    <t>운송계정</t>
    <phoneticPr fontId="18" type="noConversion"/>
  </si>
  <si>
    <t>운송방법</t>
    <phoneticPr fontId="18" type="noConversion"/>
  </si>
  <si>
    <t>업체별 특이사항</t>
    <phoneticPr fontId="18" type="noConversion"/>
  </si>
  <si>
    <t>25사단</t>
    <phoneticPr fontId="22" type="noConversion"/>
  </si>
  <si>
    <t>-</t>
    <phoneticPr fontId="22" type="noConversion"/>
  </si>
  <si>
    <t>010-7418-4679</t>
    <phoneticPr fontId="22" type="noConversion"/>
  </si>
  <si>
    <t>yeonbit88@gmail.com</t>
  </si>
  <si>
    <t>해당 없음</t>
    <phoneticPr fontId="22" type="noConversion"/>
  </si>
  <si>
    <t>해당 없음</t>
  </si>
  <si>
    <t>Cox</t>
  </si>
  <si>
    <t>택배</t>
  </si>
  <si>
    <t>5dot</t>
    <phoneticPr fontId="18" type="noConversion"/>
  </si>
  <si>
    <t>Rua Barao do Bananal 804, Apt32, Sao Paulo, SP, Brazil; CEP:05024-000, CNPJ:05.304.185/0001-41</t>
    <phoneticPr fontId="18" type="noConversion"/>
  </si>
  <si>
    <t>신영국/Christian Kotsubo</t>
    <phoneticPr fontId="18" type="noConversion"/>
  </si>
  <si>
    <t>55-11-99663-4962</t>
    <phoneticPr fontId="18" type="noConversion"/>
  </si>
  <si>
    <t>yks711217@gmail.com</t>
    <phoneticPr fontId="18" type="noConversion"/>
  </si>
  <si>
    <t>개별 허가 진행 要</t>
  </si>
  <si>
    <t>허가 없음</t>
  </si>
  <si>
    <t>확인 要</t>
    <phoneticPr fontId="18" type="noConversion"/>
  </si>
  <si>
    <t>EMS</t>
    <phoneticPr fontId="18" type="noConversion"/>
  </si>
  <si>
    <t>t/t사용 안 함</t>
    <phoneticPr fontId="18" type="noConversion"/>
  </si>
  <si>
    <t>8탄약창</t>
  </si>
  <si>
    <t>korea</t>
  </si>
  <si>
    <t>충청북도 영동군 양간면 학산영동로 785 위병소</t>
  </si>
  <si>
    <t>김태근 님</t>
  </si>
  <si>
    <t>010-4228-3304</t>
  </si>
  <si>
    <t>-</t>
  </si>
  <si>
    <t>Abcontrol</t>
    <phoneticPr fontId="18" type="noConversion"/>
  </si>
  <si>
    <t>Coyancura Nº 2270 Oficina 807 Providencia - Santiago - Chile</t>
    <phoneticPr fontId="18" type="noConversion"/>
  </si>
  <si>
    <t>Angelica Arellano</t>
    <phoneticPr fontId="18" type="noConversion"/>
  </si>
  <si>
    <t>56-02-2231-7905</t>
    <phoneticPr fontId="18" type="noConversion"/>
  </si>
  <si>
    <t>angelica.arellano@abcontrol.cl</t>
    <phoneticPr fontId="18" type="noConversion"/>
  </si>
  <si>
    <t>-</t>
    <phoneticPr fontId="18" type="noConversion"/>
  </si>
  <si>
    <t>Absolute Méréstechnika Kft.</t>
    <phoneticPr fontId="29" type="noConversion"/>
  </si>
  <si>
    <t>Turkey</t>
    <phoneticPr fontId="18" type="noConversion"/>
  </si>
  <si>
    <t>VAT: HU14340031, 513. u. 35. Budapest Hungary,Post code H1173</t>
    <phoneticPr fontId="29" type="noConversion"/>
  </si>
  <si>
    <t>Ms. Imre Magdolna</t>
    <phoneticPr fontId="29" type="noConversion"/>
  </si>
  <si>
    <t>+ 36 1 445 05 95</t>
    <phoneticPr fontId="29" type="noConversion"/>
  </si>
  <si>
    <t>info@abmt.hu</t>
    <phoneticPr fontId="18" type="noConversion"/>
  </si>
  <si>
    <t>포괄허가 보유중</t>
    <phoneticPr fontId="18" type="noConversion"/>
  </si>
  <si>
    <t>7008282003533962</t>
  </si>
  <si>
    <t>COX</t>
  </si>
  <si>
    <t>DHL</t>
  </si>
  <si>
    <t>Acal Bfi UK Ltd</t>
    <phoneticPr fontId="18" type="noConversion"/>
  </si>
  <si>
    <t>3 The Business Centre Molly Millars Lane Wokingham Berkshire RG41 2EY</t>
    <phoneticPr fontId="18" type="noConversion"/>
  </si>
  <si>
    <t>포괄 허가 진행 要</t>
  </si>
  <si>
    <t>Acktiv Technology</t>
    <phoneticPr fontId="18" type="noConversion"/>
  </si>
  <si>
    <t>서울특별시 강서구 허준로 217</t>
  </si>
  <si>
    <t>Stephen Basuki</t>
    <phoneticPr fontId="18" type="noConversion"/>
  </si>
  <si>
    <t>070-4821-2416</t>
    <phoneticPr fontId="18" type="noConversion"/>
  </si>
  <si>
    <t>stephen.basuki@acktiv.co.kr</t>
    <phoneticPr fontId="18" type="noConversion"/>
  </si>
  <si>
    <t>해당 없음</t>
    <phoneticPr fontId="18" type="noConversion"/>
  </si>
  <si>
    <t>Cox</t>
    <phoneticPr fontId="18" type="noConversion"/>
  </si>
  <si>
    <t>택배</t>
    <phoneticPr fontId="18" type="noConversion"/>
  </si>
  <si>
    <t>인도네시아로 바로 가지 않고 한국 지사로 보낼 예정</t>
    <phoneticPr fontId="18" type="noConversion"/>
  </si>
  <si>
    <t>Acrodex, Inc</t>
    <phoneticPr fontId="18" type="noConversion"/>
  </si>
  <si>
    <t>UNITED STATES</t>
    <phoneticPr fontId="18" type="noConversion"/>
  </si>
  <si>
    <t>11824 Radium , San Antonio, Tx 78216</t>
    <phoneticPr fontId="18" type="noConversion"/>
  </si>
  <si>
    <t>Erika Breque</t>
    <phoneticPr fontId="18" type="noConversion"/>
  </si>
  <si>
    <t>Erika1@acrodexusa.com</t>
    <phoneticPr fontId="18" type="noConversion"/>
  </si>
  <si>
    <t>AD2V</t>
  </si>
  <si>
    <t>Austria</t>
  </si>
  <si>
    <t>Dorfstrasse 35-37 9520 Sattendorf Austria</t>
  </si>
  <si>
    <t>고승일</t>
  </si>
  <si>
    <t>+43 6645 0816 02</t>
  </si>
  <si>
    <t>kelvin.ko@jl-metallics.eu</t>
  </si>
  <si>
    <t>개별수출허가진행要</t>
  </si>
  <si>
    <t>확인 要</t>
  </si>
  <si>
    <t>유로로 진행</t>
  </si>
  <si>
    <t>AIPA</t>
  </si>
  <si>
    <t>Singapore</t>
  </si>
  <si>
    <t>12 Little Road #04-02 Singapore 536986</t>
  </si>
  <si>
    <t>Tyger Cheung</t>
  </si>
  <si>
    <t>65 9616 3248</t>
  </si>
  <si>
    <t>tyger@aipatec.com</t>
  </si>
  <si>
    <t>Alta Vision</t>
    <phoneticPr fontId="18" type="noConversion"/>
  </si>
  <si>
    <t>Julio de Oliveira</t>
    <phoneticPr fontId="18" type="noConversion"/>
  </si>
  <si>
    <t>55 48 3371 8745</t>
    <phoneticPr fontId="18" type="noConversion"/>
  </si>
  <si>
    <t>julio.oliveira@altavision.com.br</t>
    <phoneticPr fontId="18" type="noConversion"/>
  </si>
  <si>
    <t>Analytical online</t>
    <phoneticPr fontId="18" type="noConversion"/>
  </si>
  <si>
    <t>50 Ubi Avenue 3, #05-08 Frontier, Singapore 408866</t>
    <phoneticPr fontId="18" type="noConversion"/>
  </si>
  <si>
    <t>Mary Yan</t>
    <phoneticPr fontId="18" type="noConversion"/>
  </si>
  <si>
    <t>+67 468068</t>
    <phoneticPr fontId="18" type="noConversion"/>
  </si>
  <si>
    <t>mary@analytical-online.com</t>
    <phoneticPr fontId="18" type="noConversion"/>
  </si>
  <si>
    <t>Analytical Technologies Pte Ltd</t>
  </si>
  <si>
    <t>50  Ubi Ave 3  #05-08  Frontier, Singapore 408866</t>
  </si>
  <si>
    <t>Darren Loh</t>
  </si>
  <si>
    <t xml:space="preserve">65-67468068  </t>
  </si>
  <si>
    <t>ANTKR</t>
    <phoneticPr fontId="22" type="noConversion"/>
  </si>
  <si>
    <t>AO pergam engineering</t>
  </si>
  <si>
    <t>RUSSIAN FEDERATION</t>
  </si>
  <si>
    <t>Russia, Moscow, 127254, proezd Ogorodnyy, dom 5, str. 4, etazh 3, kom.305</t>
  </si>
  <si>
    <t>Mr. Ivan Skobov</t>
  </si>
  <si>
    <t>+(495) 775-75-25</t>
  </si>
  <si>
    <t>skobov@pergam.ru</t>
  </si>
  <si>
    <t>7008281810395652</t>
  </si>
  <si>
    <t>20201028</t>
  </si>
  <si>
    <t>Pergam</t>
  </si>
  <si>
    <t>포워더</t>
  </si>
  <si>
    <t>EAC스티커 부착, 포장 전 시리얼 과 EAC붙은 부분 사진 촬영 必</t>
  </si>
  <si>
    <t>AO Pergam-engineering</t>
    <phoneticPr fontId="18" type="noConversion"/>
  </si>
  <si>
    <t>127254 Russia, Moscow, proezd Ogorodny, 5 building 4 floor 3 office 305</t>
    <phoneticPr fontId="29" type="noConversion"/>
  </si>
  <si>
    <t>Mr. Ivan Skobov</t>
    <phoneticPr fontId="29" type="noConversion"/>
  </si>
  <si>
    <t>+(495) 775-75-25</t>
    <phoneticPr fontId="29" type="noConversion"/>
  </si>
  <si>
    <t>skobov@pergam.ru</t>
    <phoneticPr fontId="18" type="noConversion"/>
  </si>
  <si>
    <t>7008282009583300</t>
  </si>
  <si>
    <t>2022-09-21</t>
    <phoneticPr fontId="18" type="noConversion"/>
  </si>
  <si>
    <t>Pergam</t>
    <phoneticPr fontId="18" type="noConversion"/>
  </si>
  <si>
    <t>포워더</t>
    <phoneticPr fontId="18" type="noConversion"/>
  </si>
  <si>
    <t>EAC스티커 부착, 포장 전 시리얼 과 EAC붙은 부분 사진 촬영 必</t>
    <phoneticPr fontId="18" type="noConversion"/>
  </si>
  <si>
    <t>Aosan Savunma ve Elektronik Guvenlik Sistemleri Ltd.</t>
    <phoneticPr fontId="18" type="noConversion"/>
  </si>
  <si>
    <t xml:space="preserve">Mustafa Kemal Mah. Dumlupinar Cad. TEPE PRIME C-Block No.25 Cankaya / ANKARA-TURKEY </t>
    <phoneticPr fontId="18" type="noConversion"/>
  </si>
  <si>
    <t>Akin Sari</t>
    <phoneticPr fontId="18" type="noConversion"/>
  </si>
  <si>
    <t>+90 533 226 75 26</t>
    <phoneticPr fontId="18" type="noConversion"/>
  </si>
  <si>
    <t>akinsari@aosangrup.com</t>
    <phoneticPr fontId="18" type="noConversion"/>
  </si>
  <si>
    <t>7008282110687841</t>
  </si>
  <si>
    <t>BMC</t>
    <phoneticPr fontId="18" type="noConversion"/>
  </si>
  <si>
    <t>AR-GE Mühendisi</t>
  </si>
  <si>
    <t>Batı Sitesi Mahallesi, 2310. Sk. No:29, 06370 Yenimahalle/ANKARA</t>
    <phoneticPr fontId="18" type="noConversion"/>
  </si>
  <si>
    <t>Ahmet Faruk ERDEM</t>
    <phoneticPr fontId="18" type="noConversion"/>
  </si>
  <si>
    <t>0312-250-51-00</t>
    <phoneticPr fontId="18" type="noConversion"/>
  </si>
  <si>
    <t>aerdem@ucsavunma.com</t>
    <phoneticPr fontId="18" type="noConversion"/>
  </si>
  <si>
    <t>Korea</t>
  </si>
  <si>
    <t>195, Gangsongro, Ilsandonggu,Goyang City, Gyeonggi-Do, Rep. of Korea</t>
  </si>
  <si>
    <t>김성렬 대표님</t>
  </si>
  <si>
    <t>010-9956-2492</t>
  </si>
  <si>
    <t>srkimbravo@gmail.com</t>
  </si>
  <si>
    <t>포괄수출허가진행要</t>
  </si>
  <si>
    <t>Asian Bridge</t>
  </si>
  <si>
    <t>AST Imaging Pvt Ltd</t>
  </si>
  <si>
    <t xml:space="preserve">New Building, Ground Floor, B-188 A, B-169 (PART), B-188 &amp; B -189 (A), Road no - 5 , Mewar Industrial Area, Madri, Madri, UDAIPUR (Rajasthan), PIN-313003, India </t>
  </si>
  <si>
    <t>Mr. Uttam Pegu</t>
  </si>
  <si>
    <t>uttam@accuratesensors.com</t>
  </si>
  <si>
    <t>ATM</t>
  </si>
  <si>
    <t>UAE</t>
  </si>
  <si>
    <t xml:space="preserve">Al Muroor Road, Abu Dhabi P.O. Box : 113057, Abu Dhabi, UAE
</t>
  </si>
  <si>
    <t>Christine Boissarie</t>
  </si>
  <si>
    <t>971 50 503 9606</t>
  </si>
  <si>
    <t>christine.boissarie@atm-internationale.com</t>
  </si>
  <si>
    <t>AUTOIT</t>
    <phoneticPr fontId="22" type="noConversion"/>
  </si>
  <si>
    <t>서울특별시 금천구 가산디지털1로 212 코오롱디지털타워애스턴 301호</t>
    <phoneticPr fontId="22" type="noConversion"/>
  </si>
  <si>
    <t>서종필 부장님</t>
    <phoneticPr fontId="22" type="noConversion"/>
  </si>
  <si>
    <t>jpseo@auto-it.co.kr</t>
    <phoneticPr fontId="22" type="noConversion"/>
  </si>
  <si>
    <t>AVB Technologies Ltda.</t>
    <phoneticPr fontId="18" type="noConversion"/>
  </si>
  <si>
    <t>Claudio González A</t>
    <phoneticPr fontId="18" type="noConversion"/>
  </si>
  <si>
    <t xml:space="preserve">+56 041-2133872 </t>
    <phoneticPr fontId="18" type="noConversion"/>
  </si>
  <si>
    <t>claudiogonzalez@avb-tech.cl</t>
    <phoneticPr fontId="18" type="noConversion"/>
  </si>
  <si>
    <t>Axiom</t>
    <phoneticPr fontId="18" type="noConversion"/>
  </si>
  <si>
    <t>ITALY</t>
    <phoneticPr fontId="18" type="noConversion"/>
  </si>
  <si>
    <t>Via Padre Luigi Monti, 10,21047 Saronno (VA),Italy</t>
    <phoneticPr fontId="18" type="noConversion"/>
  </si>
  <si>
    <t>Franco Spiller</t>
  </si>
  <si>
    <t>+39 348 2231905</t>
    <phoneticPr fontId="18" type="noConversion"/>
  </si>
  <si>
    <t>sales@axiom-international.biz</t>
    <phoneticPr fontId="18" type="noConversion"/>
  </si>
  <si>
    <t xml:space="preserve">Global proof </t>
    <phoneticPr fontId="18" type="noConversion"/>
  </si>
  <si>
    <t>BAROK Defence Limited Company</t>
  </si>
  <si>
    <t>Mansuroğlu Mah. 1593/1 Sok. No:4 Kat:1 D:2 B Blok , Bayraklı / Izmir / Turkey</t>
    <phoneticPr fontId="29" type="noConversion"/>
  </si>
  <si>
    <t>Mr. GÜRAY GÜNAY</t>
    <phoneticPr fontId="18" type="noConversion"/>
  </si>
  <si>
    <t>+90 506 956 79 81</t>
    <phoneticPr fontId="29" type="noConversion"/>
  </si>
  <si>
    <t>ggunay@baroksavunma.com.tr</t>
    <phoneticPr fontId="18" type="noConversion"/>
  </si>
  <si>
    <t>7008281903434205</t>
  </si>
  <si>
    <t>2022-03-07</t>
    <phoneticPr fontId="18" type="noConversion"/>
  </si>
  <si>
    <t>Beijing Microview Science and Technology Co., Ltd</t>
    <phoneticPr fontId="18" type="noConversion"/>
  </si>
  <si>
    <t>West area, 4th floor, gaoli 2000 building, no.5 shangdi 5th street, haidian district, Beijing. China.</t>
    <phoneticPr fontId="29" type="noConversion"/>
  </si>
  <si>
    <t>Ms. Wang Ran</t>
    <phoneticPr fontId="29" type="noConversion"/>
  </si>
  <si>
    <t>+86-10-82600088-6821</t>
    <phoneticPr fontId="29" type="noConversion"/>
  </si>
  <si>
    <t>wangr@microview.com.cn</t>
    <phoneticPr fontId="18" type="noConversion"/>
  </si>
  <si>
    <t>Beijing Neo Science Co., Ltd</t>
    <phoneticPr fontId="18" type="noConversion"/>
  </si>
  <si>
    <t>Bldg-5, No.375, Hushancun, Sijiqing, Haidian Beijing, China</t>
    <phoneticPr fontId="18" type="noConversion"/>
  </si>
  <si>
    <t>Mr. Li Jianhong</t>
    <phoneticPr fontId="18" type="noConversion"/>
  </si>
  <si>
    <t>+86 10 82416616</t>
    <phoneticPr fontId="18" type="noConversion"/>
  </si>
  <si>
    <t>LiJH@bnsmedical.com</t>
    <phoneticPr fontId="18" type="noConversion"/>
  </si>
  <si>
    <t>Fedex</t>
    <phoneticPr fontId="18" type="noConversion"/>
  </si>
  <si>
    <t>BNS</t>
    <phoneticPr fontId="18" type="noConversion"/>
  </si>
  <si>
    <t>Beijing Symbolight</t>
  </si>
  <si>
    <t>China</t>
  </si>
  <si>
    <t>Rm 3337 Floor 3rd Building 140, Zhuanchang Beili Tongzhou Beijing China 101121</t>
  </si>
  <si>
    <t>Eva</t>
  </si>
  <si>
    <t>86 10 80503115</t>
  </si>
  <si>
    <t>eva@symbolight.추</t>
  </si>
  <si>
    <t>BIC</t>
    <phoneticPr fontId="18" type="noConversion"/>
  </si>
  <si>
    <t>dsn@bic-inform.ru</t>
    <phoneticPr fontId="18" type="noConversion"/>
  </si>
  <si>
    <t>BMC OTOMOTİV SANAYİ VE TİCARET A.Ş. YEDEK PARÇA KAR MERKEZİ SPARE PARTS PROFIT CENTER</t>
    <phoneticPr fontId="18" type="noConversion"/>
  </si>
  <si>
    <t xml:space="preserve">Sanayi Caddesi No: 51
Bornova / İzmir
</t>
    <phoneticPr fontId="18" type="noConversion"/>
  </si>
  <si>
    <t>Emre Özçelik</t>
    <phoneticPr fontId="18" type="noConversion"/>
  </si>
  <si>
    <t>+90-232-477-18-00/6483(int)</t>
    <phoneticPr fontId="18" type="noConversion"/>
  </si>
  <si>
    <t>EMRE.OZCELIK@bmc.com.tr</t>
    <phoneticPr fontId="18" type="noConversion"/>
  </si>
  <si>
    <t>7008282101612244</t>
  </si>
  <si>
    <t>AOSAN 통해 구매 진행</t>
    <phoneticPr fontId="18" type="noConversion"/>
  </si>
  <si>
    <t>Branch TMU-Rostov LLC Telecom-Montazh-Yug</t>
  </si>
  <si>
    <t>Rostov-on-Don, st. Chentsova, 7</t>
  </si>
  <si>
    <t>Alexander Plkhilin</t>
  </si>
  <si>
    <t>+7 (863) 286-98-23 (Ext. 3009)</t>
  </si>
  <si>
    <t>aleksandr.pokhilin@tm-yug.ru</t>
  </si>
  <si>
    <t>CCS</t>
  </si>
  <si>
    <t>Egypt</t>
  </si>
  <si>
    <t>카이로</t>
  </si>
  <si>
    <t>안태용</t>
  </si>
  <si>
    <t>세림인터네셔널</t>
  </si>
  <si>
    <t>CE ROHS 인증용</t>
    <phoneticPr fontId="18" type="noConversion"/>
  </si>
  <si>
    <t>연구소 박과장님</t>
    <phoneticPr fontId="18" type="noConversion"/>
  </si>
  <si>
    <t>CHING HSING COMPUTER-TECH LTD.</t>
    <phoneticPr fontId="29" type="noConversion"/>
  </si>
  <si>
    <t>3F, No. 125, sec. 2, Keelung Road,Taipei City 11053, Taiwan, R.O.C</t>
    <phoneticPr fontId="29" type="noConversion"/>
  </si>
  <si>
    <t>Mr. Rueyming Hwang</t>
    <phoneticPr fontId="29" type="noConversion"/>
  </si>
  <si>
    <t>+886-2-27380168</t>
    <phoneticPr fontId="29" type="noConversion"/>
  </si>
  <si>
    <t>chct@ms24.hinet.net</t>
    <phoneticPr fontId="18" type="noConversion"/>
  </si>
  <si>
    <t>7008282009581630</t>
  </si>
  <si>
    <t>CHCT</t>
    <phoneticPr fontId="18" type="noConversion"/>
  </si>
  <si>
    <t>TNT</t>
    <phoneticPr fontId="18" type="noConversion"/>
  </si>
  <si>
    <t>CD, CVBS cable 미포함</t>
    <phoneticPr fontId="18" type="noConversion"/>
  </si>
  <si>
    <t>Chuo Electronic Systems, Inc.</t>
    <phoneticPr fontId="29" type="noConversion"/>
  </si>
  <si>
    <t>Japan</t>
    <phoneticPr fontId="18" type="noConversion"/>
  </si>
  <si>
    <t>1385-1, Yanokuchi, Inagi,Tokyo 206-0812 , JAPAN</t>
    <phoneticPr fontId="29" type="noConversion"/>
  </si>
  <si>
    <t>Mr. Takashi Harashima</t>
    <phoneticPr fontId="29" type="noConversion"/>
  </si>
  <si>
    <t>+81-42-378-1240</t>
    <phoneticPr fontId="29" type="noConversion"/>
  </si>
  <si>
    <t>7008281909484389</t>
    <phoneticPr fontId="18" type="noConversion"/>
  </si>
  <si>
    <t>월드캐리어</t>
    <phoneticPr fontId="18" type="noConversion"/>
  </si>
  <si>
    <t>CIT</t>
  </si>
  <si>
    <t>180 Garsfontein Road Block 5, Ashlea Gardens Office Park, Ashlea Gardens Pretoria 0108</t>
  </si>
  <si>
    <t>Anthea Thebenare</t>
  </si>
  <si>
    <t>012 346 4662</t>
  </si>
  <si>
    <t>anthea.thebenare@cit-tech.co.za</t>
  </si>
  <si>
    <t>CNT</t>
  </si>
  <si>
    <t>v advanced, 고미혜 newyork</t>
  </si>
  <si>
    <t>Comercializadora Geymar Ltda</t>
  </si>
  <si>
    <t>Rengo 68</t>
    <phoneticPr fontId="18" type="noConversion"/>
  </si>
  <si>
    <t>Gerardo Concha</t>
    <phoneticPr fontId="18" type="noConversion"/>
  </si>
  <si>
    <t>comercializadora.geymarltda@gmail.com</t>
    <phoneticPr fontId="18" type="noConversion"/>
  </si>
  <si>
    <t>Company Diagnost</t>
    <phoneticPr fontId="29" type="noConversion"/>
  </si>
  <si>
    <t>15-2, Okruznoy proezd,Moscow, Russia 105187</t>
    <phoneticPr fontId="29" type="noConversion"/>
  </si>
  <si>
    <t>Mr. Cheredeev Dmitry</t>
    <phoneticPr fontId="29" type="noConversion"/>
  </si>
  <si>
    <t>+7-495-7833964</t>
    <phoneticPr fontId="29" type="noConversion"/>
  </si>
  <si>
    <t>cheredeev1@yandex.ru</t>
    <phoneticPr fontId="18" type="noConversion"/>
  </si>
  <si>
    <t>7008282104642140</t>
    <phoneticPr fontId="18" type="noConversion"/>
  </si>
  <si>
    <t>Diagnost</t>
    <phoneticPr fontId="18" type="noConversion"/>
  </si>
  <si>
    <t>Deepti Electronics &amp; Electro Optics Pvt Ltd</t>
    <phoneticPr fontId="18" type="noConversion"/>
  </si>
  <si>
    <t>India</t>
    <phoneticPr fontId="18" type="noConversion"/>
  </si>
  <si>
    <t>No 3&amp;4, 1 Cross 7th Main, J C Industrial Area Off Kanakpura Main Road, Bengaluru, Karnataka,India, Pin : 560062</t>
    <phoneticPr fontId="18" type="noConversion"/>
  </si>
  <si>
    <t>Shridhar Hegde</t>
    <phoneticPr fontId="18" type="noConversion"/>
  </si>
  <si>
    <t>+91 9448182483</t>
    <phoneticPr fontId="18" type="noConversion"/>
  </si>
  <si>
    <t>shridhar@delopt.co.in</t>
    <phoneticPr fontId="18" type="noConversion"/>
  </si>
  <si>
    <t>DHL</t>
    <phoneticPr fontId="18" type="noConversion"/>
  </si>
  <si>
    <t>COX</t>
    <phoneticPr fontId="18" type="noConversion"/>
  </si>
  <si>
    <t>Delta Thermal</t>
  </si>
  <si>
    <t>6339 E Speedway Blvd. #103 Tucson, AZ 85710</t>
  </si>
  <si>
    <t>Andy Griff</t>
  </si>
  <si>
    <t>andy@deltathermalinc.com</t>
  </si>
  <si>
    <t>Digital Watchdog</t>
  </si>
  <si>
    <t>16200 Bloomfield Ave, Cerritos, CA 90703</t>
    <phoneticPr fontId="18" type="noConversion"/>
  </si>
  <si>
    <t>Lisa Han</t>
    <phoneticPr fontId="18" type="noConversion"/>
  </si>
  <si>
    <t>+1 813-888-9555</t>
    <phoneticPr fontId="18" type="noConversion"/>
  </si>
  <si>
    <t>lisa@dwcc.tv</t>
    <phoneticPr fontId="18" type="noConversion"/>
  </si>
  <si>
    <t>7008281802319644</t>
  </si>
  <si>
    <t>20210205</t>
  </si>
  <si>
    <t>DW</t>
    <phoneticPr fontId="18" type="noConversion"/>
  </si>
  <si>
    <t>전략물자허가서상 'Kaltec', shipto : Cerritos CA 16220 Bloomfield Cerritos, CA 90703 USA</t>
    <phoneticPr fontId="18" type="noConversion"/>
  </si>
  <si>
    <t>DONET AB</t>
    <phoneticPr fontId="29" type="noConversion"/>
  </si>
  <si>
    <t>Ranhammarsvägen 18-16,S-168 67 Bromma, Sweden</t>
    <phoneticPr fontId="29" type="noConversion"/>
  </si>
  <si>
    <t>Mr. Jorgen Brannerud</t>
    <phoneticPr fontId="29" type="noConversion"/>
  </si>
  <si>
    <t>+46 (8)-564 355 50</t>
    <phoneticPr fontId="29" type="noConversion"/>
  </si>
  <si>
    <t>Jorgen.B@donet.se</t>
    <phoneticPr fontId="18" type="noConversion"/>
  </si>
  <si>
    <t>7008282009584814</t>
    <phoneticPr fontId="18" type="noConversion"/>
  </si>
  <si>
    <t>DSGN</t>
    <phoneticPr fontId="22" type="noConversion"/>
  </si>
  <si>
    <t>Korea</t>
    <phoneticPr fontId="22" type="noConversion"/>
  </si>
  <si>
    <t>서울시 동작구 사당동 147-53 골드시네마타워 13층</t>
    <phoneticPr fontId="22" type="noConversion"/>
  </si>
  <si>
    <t>김기묵 파트장님</t>
    <phoneticPr fontId="22" type="noConversion"/>
  </si>
  <si>
    <t>010-3262-6564</t>
    <phoneticPr fontId="22" type="noConversion"/>
  </si>
  <si>
    <t>gmkim@dsnw.net</t>
    <phoneticPr fontId="22" type="noConversion"/>
  </si>
  <si>
    <t>DYNALOG India Limited</t>
    <phoneticPr fontId="29" type="noConversion"/>
  </si>
  <si>
    <t>INDIA</t>
  </si>
  <si>
    <t>Kailash-Vaibhav, Mumbai – 400079, INDIA</t>
    <phoneticPr fontId="29" type="noConversion"/>
  </si>
  <si>
    <t>Mr. Kashmira Gupte</t>
    <phoneticPr fontId="29" type="noConversion"/>
  </si>
  <si>
    <t>+91 22 4233 0000</t>
    <phoneticPr fontId="29" type="noConversion"/>
  </si>
  <si>
    <t>vivek@dynalogindia.com</t>
    <phoneticPr fontId="18" type="noConversion"/>
  </si>
  <si>
    <t>Earth Products China Limited</t>
    <phoneticPr fontId="22" type="noConversion"/>
  </si>
  <si>
    <t>12/F Asia Trade Centre, 79 Lei Muk Road, Kwai Chung, Hong Kong</t>
    <phoneticPr fontId="22" type="noConversion"/>
  </si>
  <si>
    <t>Lin Hong</t>
    <phoneticPr fontId="22" type="noConversion"/>
  </si>
  <si>
    <t>852-5933-1902</t>
    <phoneticPr fontId="22" type="noConversion"/>
  </si>
  <si>
    <t>linhong@epc.com.hk</t>
    <phoneticPr fontId="22" type="noConversion"/>
  </si>
  <si>
    <t>개별 허가 진행 要</t>
    <phoneticPr fontId="22" type="noConversion"/>
  </si>
  <si>
    <t xml:space="preserve">Elimec Electromechanical engineering </t>
  </si>
  <si>
    <t xml:space="preserve">Lishansky 1, Rishon Le Zion, Israel 75150 </t>
    <phoneticPr fontId="18" type="noConversion"/>
  </si>
  <si>
    <t>Eran Reshef</t>
    <phoneticPr fontId="18" type="noConversion"/>
  </si>
  <si>
    <t>+972 54 3222494</t>
    <phoneticPr fontId="18" type="noConversion"/>
  </si>
  <si>
    <t>eran@elimec.co.il</t>
    <phoneticPr fontId="18" type="noConversion"/>
  </si>
  <si>
    <t>ELMO</t>
    <phoneticPr fontId="18" type="noConversion"/>
  </si>
  <si>
    <t>Epsilon controls &amp; Automation</t>
    <phoneticPr fontId="22" type="noConversion"/>
  </si>
  <si>
    <t>India</t>
    <phoneticPr fontId="22" type="noConversion"/>
  </si>
  <si>
    <t xml:space="preserve">102, Shiv-Shakti Industrial Premise, Opp. Damodar Park, L.B.S. Marg, Ghatkopar (West), Mumbai </t>
    <phoneticPr fontId="22" type="noConversion"/>
  </si>
  <si>
    <t>Kalyani</t>
    <phoneticPr fontId="22" type="noConversion"/>
  </si>
  <si>
    <t>+91-22-2500-4225</t>
    <phoneticPr fontId="22" type="noConversion"/>
  </si>
  <si>
    <t>info@epsilonfiberoptics.com</t>
    <phoneticPr fontId="22" type="noConversion"/>
  </si>
  <si>
    <t>EPSILON TS Limited</t>
    <phoneticPr fontId="29" type="noConversion"/>
  </si>
  <si>
    <t>VAT No. MT23043715,721, Tas-Sellum Residence,Dawret it-Tunnara, Mellieha, MLH4210, Malta</t>
    <phoneticPr fontId="29" type="noConversion"/>
  </si>
  <si>
    <t>Erresse Consultancy Pte Ltd</t>
  </si>
  <si>
    <t xml:space="preserve">152 Beach Road ,Level 28 Suite 31 Gateway East, Singapore 189721
</t>
    <phoneticPr fontId="18" type="noConversion"/>
  </si>
  <si>
    <t>Nadiah Laksamana</t>
    <phoneticPr fontId="18" type="noConversion"/>
  </si>
  <si>
    <t>65 68275627</t>
    <phoneticPr fontId="18" type="noConversion"/>
  </si>
  <si>
    <t>nadiahlaksamana.erresse@gmail.com</t>
    <phoneticPr fontId="18" type="noConversion"/>
  </si>
  <si>
    <t>ESD</t>
  </si>
  <si>
    <t>C MARIO A GARCIA NO.63 ENSANCHE QUISQUEYA SANTO DOMINGO, REP.DOMINICANA</t>
    <phoneticPr fontId="18" type="noConversion"/>
  </si>
  <si>
    <t>현기호</t>
    <phoneticPr fontId="18" type="noConversion"/>
  </si>
  <si>
    <t>+1 809-533-6650</t>
    <phoneticPr fontId="18" type="noConversion"/>
  </si>
  <si>
    <t>kihohyeon@esd.com.do</t>
    <phoneticPr fontId="18" type="noConversion"/>
  </si>
  <si>
    <t>ETRI</t>
    <phoneticPr fontId="18" type="noConversion"/>
  </si>
  <si>
    <t>대전광역시 유성구 가정로 218</t>
    <phoneticPr fontId="18" type="noConversion"/>
  </si>
  <si>
    <t xml:space="preserve"> </t>
    <phoneticPr fontId="18" type="noConversion"/>
  </si>
  <si>
    <t xml:space="preserve">픽업 </t>
    <phoneticPr fontId="18" type="noConversion"/>
  </si>
  <si>
    <t>FAST AUTOMATION PTY LTD</t>
    <phoneticPr fontId="18" type="noConversion"/>
  </si>
  <si>
    <t>AUSTRALIA</t>
  </si>
  <si>
    <t>2 Eden Park Drive, Macquarie Park, NSW 2113, Australia</t>
    <phoneticPr fontId="22" type="noConversion"/>
  </si>
  <si>
    <t>David Askew</t>
    <phoneticPr fontId="22" type="noConversion"/>
  </si>
  <si>
    <t>+61 418239340</t>
    <phoneticPr fontId="22" type="noConversion"/>
  </si>
  <si>
    <t>david@fast-automation.com</t>
    <phoneticPr fontId="22" type="noConversion"/>
  </si>
  <si>
    <t>7008281910493120</t>
    <phoneticPr fontId="18" type="noConversion"/>
  </si>
  <si>
    <t>Feng Chia University</t>
    <phoneticPr fontId="18" type="noConversion"/>
  </si>
  <si>
    <t>No. 100, Wenhua Road, Xitun District, Taichung City, Taiwan 407</t>
    <phoneticPr fontId="18" type="noConversion"/>
  </si>
  <si>
    <t>Tiger</t>
    <phoneticPr fontId="18" type="noConversion"/>
  </si>
  <si>
    <t>liew5927@mail.fcu.edu.tw</t>
    <phoneticPr fontId="18" type="noConversion"/>
  </si>
  <si>
    <t>university</t>
    <phoneticPr fontId="18" type="noConversion"/>
  </si>
  <si>
    <t>Focus 2000 Infrared Ltd</t>
    <phoneticPr fontId="22" type="noConversion"/>
  </si>
  <si>
    <t>Shore Cottage,2 Loch Side,Shinness,LAIRG,SUTHERLAND,IV27 4DN,UNITED KINGDOM</t>
    <phoneticPr fontId="29" type="noConversion"/>
  </si>
  <si>
    <t>Mr. Peter Banham</t>
    <phoneticPr fontId="29" type="noConversion"/>
  </si>
  <si>
    <t>+44 (0) 0800 999 1911</t>
    <phoneticPr fontId="29" type="noConversion"/>
  </si>
  <si>
    <t>peter@focus2k.co.uk</t>
    <phoneticPr fontId="18" type="noConversion"/>
  </si>
  <si>
    <t>7008281910494544</t>
  </si>
  <si>
    <t>2022-10-07</t>
    <phoneticPr fontId="18" type="noConversion"/>
  </si>
  <si>
    <t>FOCUS (957376300)</t>
    <phoneticPr fontId="18" type="noConversion"/>
  </si>
  <si>
    <t>Futermed solution</t>
    <phoneticPr fontId="18" type="noConversion"/>
  </si>
  <si>
    <t>Door No.18/1047-93,Saleem Building Z.C. Road, Chalappuram, Calicut-673002, India</t>
    <phoneticPr fontId="18" type="noConversion"/>
  </si>
  <si>
    <t>Shibin CM</t>
    <phoneticPr fontId="18" type="noConversion"/>
  </si>
  <si>
    <t>91 80867 96608</t>
    <phoneticPr fontId="18" type="noConversion"/>
  </si>
  <si>
    <t>shibin.cm@futuremedsolutions.com</t>
    <phoneticPr fontId="18" type="noConversion"/>
  </si>
  <si>
    <t>GBI</t>
  </si>
  <si>
    <t>Room 1801, technology Plaza, 651 King's Road, North Point, Hong Kong</t>
    <phoneticPr fontId="18" type="noConversion"/>
  </si>
  <si>
    <t>Emma Cheng</t>
    <phoneticPr fontId="18" type="noConversion"/>
  </si>
  <si>
    <t>+852 2578 5777</t>
    <phoneticPr fontId="18" type="noConversion"/>
  </si>
  <si>
    <t>emma.cheng@gbiconsultancy.com</t>
    <phoneticPr fontId="18" type="noConversion"/>
  </si>
  <si>
    <t>GIT Systems</t>
  </si>
  <si>
    <t>Russia, Moscow, Shosse Entuziastov, d.56, str.32, off.429</t>
    <phoneticPr fontId="18" type="noConversion"/>
  </si>
  <si>
    <t>Ivan Sedykh</t>
    <phoneticPr fontId="18" type="noConversion"/>
  </si>
  <si>
    <t>+ 8 800 550 8692</t>
    <phoneticPr fontId="18" type="noConversion"/>
  </si>
  <si>
    <t>is@git.company</t>
    <phoneticPr fontId="18" type="noConversion"/>
  </si>
  <si>
    <t>GL GENERAL INDUSTRIES CORP</t>
    <phoneticPr fontId="18" type="noConversion"/>
  </si>
  <si>
    <t>305-2 KNICKERBOCKER AVE, BOHEMIA , NY 11716</t>
    <phoneticPr fontId="18" type="noConversion"/>
  </si>
  <si>
    <t xml:space="preserve">Holman Ortega </t>
    <phoneticPr fontId="18" type="noConversion"/>
  </si>
  <si>
    <t>516-997-5630</t>
    <phoneticPr fontId="18" type="noConversion"/>
  </si>
  <si>
    <t>rfq@glgeneralindustries.com</t>
    <phoneticPr fontId="18" type="noConversion"/>
  </si>
  <si>
    <t>Global Proof S.r.l.</t>
    <phoneticPr fontId="29" type="noConversion"/>
  </si>
  <si>
    <t>ITALY</t>
  </si>
  <si>
    <t>Via dell'Industria, 10 -36013 Piovene Rochette, Vicenza ITALY</t>
    <phoneticPr fontId="29" type="noConversion"/>
  </si>
  <si>
    <t>Franco Spiller</t>
    <phoneticPr fontId="29" type="noConversion"/>
  </si>
  <si>
    <t>+39 0445 396190</t>
    <phoneticPr fontId="29" type="noConversion"/>
  </si>
  <si>
    <t>7008282011596446</t>
    <phoneticPr fontId="18" type="noConversion"/>
  </si>
  <si>
    <t>GRINM Guojing Advanced Materials Co.,Ltd</t>
    <phoneticPr fontId="18" type="noConversion"/>
  </si>
  <si>
    <t xml:space="preserve">Second Section of GRINM, Yanjiao Development Zone Of Langfang City, Hebei Province 065201.China Fax: (8610) 89583433 </t>
    <phoneticPr fontId="18" type="noConversion"/>
  </si>
  <si>
    <t>James</t>
    <phoneticPr fontId="18" type="noConversion"/>
  </si>
  <si>
    <t>(8610) 89583405</t>
    <phoneticPr fontId="18" type="noConversion"/>
  </si>
  <si>
    <t>sales@guojing-tech.com</t>
    <phoneticPr fontId="18" type="noConversion"/>
  </si>
  <si>
    <t>James(구 BLST Jim)</t>
    <phoneticPr fontId="18" type="noConversion"/>
  </si>
  <si>
    <t>HD link</t>
    <phoneticPr fontId="18" type="noConversion"/>
  </si>
  <si>
    <t xml:space="preserve">서울시 금천구 서부샛길 648 710호 </t>
    <phoneticPr fontId="18" type="noConversion"/>
  </si>
  <si>
    <t>김웅재 대표님</t>
    <phoneticPr fontId="18" type="noConversion"/>
  </si>
  <si>
    <t>010-4255-5451</t>
    <phoneticPr fontId="18" type="noConversion"/>
  </si>
  <si>
    <t>brandon@hdlink.co.kr</t>
    <phoneticPr fontId="18" type="noConversion"/>
  </si>
  <si>
    <t>HISTECHS</t>
  </si>
  <si>
    <t>Room 2804, Fook Yip Building, No.53 Kwai Fong Cres., NT., Hong Kong</t>
    <phoneticPr fontId="18" type="noConversion"/>
  </si>
  <si>
    <t>Hyun Joonki</t>
    <phoneticPr fontId="18" type="noConversion"/>
  </si>
  <si>
    <t>+1 213 228 3338</t>
    <phoneticPr fontId="18" type="noConversion"/>
  </si>
  <si>
    <t>joon.hyun@vlan24.com</t>
    <phoneticPr fontId="18" type="noConversion"/>
  </si>
  <si>
    <t>Vlan 24</t>
    <phoneticPr fontId="18" type="noConversion"/>
  </si>
  <si>
    <t>HKEA GROUP LTD</t>
    <phoneticPr fontId="18" type="noConversion"/>
  </si>
  <si>
    <t>UNIT 818, 8F, TOWERB,SOUTHMARK 11 YIP HING STREET,WONG CHUK HANG, Hongkong</t>
    <phoneticPr fontId="29" type="noConversion"/>
  </si>
  <si>
    <t>Dave</t>
    <phoneticPr fontId="18" type="noConversion"/>
  </si>
  <si>
    <t>+852 2213 4000</t>
    <phoneticPr fontId="29" type="noConversion"/>
  </si>
  <si>
    <t>oem.beam@hotmail.com</t>
    <phoneticPr fontId="18" type="noConversion"/>
  </si>
  <si>
    <t>Hunt Electronics Co. Ltd.</t>
  </si>
  <si>
    <t>Taiwan</t>
  </si>
  <si>
    <t>9F., No. 171, Sec. 2, Datong Rd., Xizhi Dist., New Taipei City 22183, Taiwan (R.O.C.)</t>
  </si>
  <si>
    <t>Mike Yang</t>
  </si>
  <si>
    <t>+886-2-8692-7999 ext 241</t>
  </si>
  <si>
    <t>mike_yang@hunt.com.tw</t>
  </si>
  <si>
    <t>Iadeptmarketing</t>
  </si>
  <si>
    <t>INDIA</t>
    <phoneticPr fontId="18" type="noConversion"/>
  </si>
  <si>
    <t>BRIJESH KUMAR</t>
    <phoneticPr fontId="18" type="noConversion"/>
  </si>
  <si>
    <t>Brijesh Kumar &lt;info@iadeptmarketing.com&gt;</t>
    <phoneticPr fontId="18" type="noConversion"/>
  </si>
  <si>
    <t>Ibertronix INFRARED &amp; VISION S.L.</t>
    <phoneticPr fontId="18" type="noConversion"/>
  </si>
  <si>
    <t>Spain</t>
    <phoneticPr fontId="18" type="noConversion"/>
  </si>
  <si>
    <t>Oscar Ginel Zurita</t>
    <phoneticPr fontId="18" type="noConversion"/>
  </si>
  <si>
    <t>+34 93 175 43 89</t>
    <phoneticPr fontId="18" type="noConversion"/>
  </si>
  <si>
    <t>oscar@ibertronix.com</t>
    <phoneticPr fontId="18" type="noConversion"/>
  </si>
  <si>
    <t>7008282010590312</t>
  </si>
  <si>
    <t>ICS Technologies S.r.I.</t>
    <phoneticPr fontId="18" type="noConversion"/>
  </si>
  <si>
    <t xml:space="preserve">Via California 32, 63066 Grottammare AP, ITALY
</t>
    <phoneticPr fontId="18" type="noConversion"/>
  </si>
  <si>
    <t>Francesco Trasatti</t>
    <phoneticPr fontId="18" type="noConversion"/>
  </si>
  <si>
    <t>+39-0735-61621</t>
    <phoneticPr fontId="18" type="noConversion"/>
  </si>
  <si>
    <t>francesco.trasatti@xtechnologies.it</t>
    <phoneticPr fontId="18" type="noConversion"/>
  </si>
  <si>
    <t>7008282101615490</t>
    <phoneticPr fontId="18" type="noConversion"/>
  </si>
  <si>
    <t>Idea factory</t>
    <phoneticPr fontId="18" type="noConversion"/>
  </si>
  <si>
    <t>경기도 성남시 분당구 탄천로 95</t>
    <phoneticPr fontId="18" type="noConversion"/>
  </si>
  <si>
    <t>강 정원 대리님</t>
    <phoneticPr fontId="18" type="noConversion"/>
  </si>
  <si>
    <t>010-9907-5547</t>
    <phoneticPr fontId="18" type="noConversion"/>
  </si>
  <si>
    <t>level_ nine@naver.com</t>
    <phoneticPr fontId="18" type="noConversion"/>
  </si>
  <si>
    <t>IDS trading Australia Pty LTd</t>
    <phoneticPr fontId="18" type="noConversion"/>
  </si>
  <si>
    <t>AUSTRALIA</t>
    <phoneticPr fontId="18" type="noConversion"/>
  </si>
  <si>
    <t>U10, 9 Avenue of the Americas, Newington, Australia</t>
    <phoneticPr fontId="18" type="noConversion"/>
  </si>
  <si>
    <t>Lucy Jung</t>
    <phoneticPr fontId="18" type="noConversion"/>
  </si>
  <si>
    <t>+61 432 129 012</t>
    <phoneticPr fontId="18" type="noConversion"/>
  </si>
  <si>
    <t>auidstrading@gmail.com</t>
    <phoneticPr fontId="18" type="noConversion"/>
  </si>
  <si>
    <t>IK</t>
  </si>
  <si>
    <t>일본 후쿠오카시 추오구 다이묘 1-9-45 토와다이묘 빌딩 412호</t>
    <phoneticPr fontId="18" type="noConversion"/>
  </si>
  <si>
    <t xml:space="preserve">Yuka Tashiro </t>
    <phoneticPr fontId="18" type="noConversion"/>
  </si>
  <si>
    <t>080 3909 8800</t>
    <phoneticPr fontId="18" type="noConversion"/>
  </si>
  <si>
    <t>ikinfo@iktechno.com</t>
    <phoneticPr fontId="18" type="noConversion"/>
  </si>
  <si>
    <t>경기도 안양시 동안구 학의로 268,616호 (관양동, 안양메가밸리)</t>
    <phoneticPr fontId="18" type="noConversion"/>
  </si>
  <si>
    <t>김봉섭 님</t>
    <phoneticPr fontId="18" type="noConversion"/>
  </si>
  <si>
    <t>010-3464-0325</t>
    <phoneticPr fontId="18" type="noConversion"/>
  </si>
  <si>
    <t>aqua@imi-tech.com</t>
    <phoneticPr fontId="18" type="noConversion"/>
  </si>
  <si>
    <t>Infosyscom</t>
    <phoneticPr fontId="22" type="noConversion"/>
  </si>
  <si>
    <t>경기도 김포시 장기동 2083-6 마스터비즈파크 638호</t>
    <phoneticPr fontId="22" type="noConversion"/>
  </si>
  <si>
    <t>정찬욱 대표이사님</t>
    <phoneticPr fontId="22" type="noConversion"/>
  </si>
  <si>
    <t>010-6207-1146</t>
    <phoneticPr fontId="22" type="noConversion"/>
  </si>
  <si>
    <t>cwjwong910@naver.com</t>
    <phoneticPr fontId="22" type="noConversion"/>
  </si>
  <si>
    <t>Infrared Cameras Inc</t>
    <phoneticPr fontId="18" type="noConversion"/>
  </si>
  <si>
    <t>2105 W Cardinal Drive Beaumont ,TX 77705 US</t>
    <phoneticPr fontId="18" type="noConversion"/>
  </si>
  <si>
    <t>Daria Hollyfield</t>
    <phoneticPr fontId="18" type="noConversion"/>
  </si>
  <si>
    <t>+1 4098610788</t>
    <phoneticPr fontId="18" type="noConversion"/>
  </si>
  <si>
    <t>dariah@infraredcamerasinc.com</t>
    <phoneticPr fontId="18" type="noConversion"/>
  </si>
  <si>
    <t>7008282012602368</t>
    <phoneticPr fontId="18" type="noConversion"/>
  </si>
  <si>
    <t>사이드스티커+ 제품스티커 + 성적서 + CD 모두 FM320</t>
    <phoneticPr fontId="18" type="noConversion"/>
  </si>
  <si>
    <t>Infratherm Pty Ltd</t>
    <phoneticPr fontId="18" type="noConversion"/>
  </si>
  <si>
    <t xml:space="preserve">Unit 38, 9 Hoyle Avenue | Castle Hill | NSW | 2154 </t>
    <phoneticPr fontId="18" type="noConversion"/>
  </si>
  <si>
    <t>John Robinson</t>
    <phoneticPr fontId="18" type="noConversion"/>
  </si>
  <si>
    <t>+61 2 8850 5110</t>
    <phoneticPr fontId="18" type="noConversion"/>
  </si>
  <si>
    <t>johnrobinson@infratherm.com.au</t>
    <phoneticPr fontId="18" type="noConversion"/>
  </si>
  <si>
    <t>Insight Robotics Limited</t>
    <phoneticPr fontId="22" type="noConversion"/>
  </si>
  <si>
    <t>Unit 316, 3/F, Building 16W, Phases 3, Hong Kong Science Park, shatin, N.T., Hong Kong</t>
    <phoneticPr fontId="22" type="noConversion"/>
  </si>
  <si>
    <t>Mr. Raymond Cho</t>
    <phoneticPr fontId="18" type="noConversion"/>
  </si>
  <si>
    <t>+852 948066590</t>
    <phoneticPr fontId="18" type="noConversion"/>
  </si>
  <si>
    <t>raymond.cho@insightrobotics.com</t>
  </si>
  <si>
    <t>7008281904446267</t>
  </si>
  <si>
    <t>20210418</t>
  </si>
  <si>
    <t>Intekcom</t>
    <phoneticPr fontId="22" type="noConversion"/>
  </si>
  <si>
    <t>Vietnam</t>
    <phoneticPr fontId="22" type="noConversion"/>
  </si>
  <si>
    <t>나</t>
    <phoneticPr fontId="22" type="noConversion"/>
  </si>
  <si>
    <t>Lot 4, Lane 229 Vong Street, Dong Tam Ward, Hai Ba Trung District, Hanoi, Vietnam.</t>
    <phoneticPr fontId="22" type="noConversion"/>
  </si>
  <si>
    <t>Huong Vu</t>
    <phoneticPr fontId="22" type="noConversion"/>
  </si>
  <si>
    <t>84 24 62782388</t>
    <phoneticPr fontId="22" type="noConversion"/>
  </si>
  <si>
    <t xml:space="preserve">pr3@intekcom.com.vn </t>
    <phoneticPr fontId="22" type="noConversion"/>
  </si>
  <si>
    <t>개별수출허가 要</t>
    <phoneticPr fontId="22" type="noConversion"/>
  </si>
  <si>
    <t>Intertel</t>
    <phoneticPr fontId="18" type="noConversion"/>
  </si>
  <si>
    <t>Slovenia</t>
    <phoneticPr fontId="18" type="noConversion"/>
  </si>
  <si>
    <t>Vladimir</t>
    <phoneticPr fontId="18" type="noConversion"/>
  </si>
  <si>
    <t>v.pugachev@intertel.pro</t>
    <phoneticPr fontId="18" type="noConversion"/>
  </si>
  <si>
    <t>IP Tec General Trading LLC</t>
    <phoneticPr fontId="33" type="noConversion"/>
  </si>
  <si>
    <t>2nd December street, Al Jafalya area, Al Diyafa road, Winston building,Dubai - United Arab Emirates</t>
    <phoneticPr fontId="18" type="noConversion"/>
  </si>
  <si>
    <t>Mr. Khaldoon S. Imran</t>
    <phoneticPr fontId="29" type="noConversion"/>
  </si>
  <si>
    <t>+44 788 200 6477</t>
    <phoneticPr fontId="29" type="noConversion"/>
  </si>
  <si>
    <t>khaldon_2001@yahoo.com</t>
    <phoneticPr fontId="18" type="noConversion"/>
  </si>
  <si>
    <t>IPTEC</t>
    <phoneticPr fontId="18" type="noConversion"/>
  </si>
  <si>
    <t>İSKENDERUN DEMİR VE ÇELİK A.Ş.</t>
    <phoneticPr fontId="18" type="noConversion"/>
  </si>
  <si>
    <t>Karşı Mahalle Şehit Yüzbaşı Ali Oğuz, Bulvarı No: 1 Payas 31900 HATAY</t>
    <phoneticPr fontId="18" type="noConversion"/>
  </si>
  <si>
    <t>Ms. Tuğçe ERDOĞAN</t>
    <phoneticPr fontId="18" type="noConversion"/>
  </si>
  <si>
    <t>90 326 758 4298</t>
    <phoneticPr fontId="18" type="noConversion"/>
  </si>
  <si>
    <t>rerdogan@isdemir.com.tr</t>
    <phoneticPr fontId="18" type="noConversion"/>
  </si>
  <si>
    <t>JHL Mesure</t>
    <phoneticPr fontId="18" type="noConversion"/>
  </si>
  <si>
    <t>France</t>
    <phoneticPr fontId="18" type="noConversion"/>
  </si>
  <si>
    <t>Jerome Blanchard</t>
    <phoneticPr fontId="18" type="noConversion"/>
  </si>
  <si>
    <t>+05 47 50 11 97</t>
    <phoneticPr fontId="18" type="noConversion"/>
  </si>
  <si>
    <t>jerome.blanchard@amg-solution.com</t>
    <phoneticPr fontId="18" type="noConversion"/>
  </si>
  <si>
    <t>Jean Marie</t>
    <phoneticPr fontId="18" type="noConversion"/>
  </si>
  <si>
    <t>Jinan Hope-Wish Photoelectronic Technology Co., Ltd.</t>
  </si>
  <si>
    <t xml:space="preserve"> 2nd Floor, Zonghe Building, No.2269 Kaituo Road, Hi-tech Zone, Jinan, China</t>
    <phoneticPr fontId="29" type="noConversion"/>
  </si>
  <si>
    <t>Mr. Jason</t>
    <phoneticPr fontId="29" type="noConversion"/>
  </si>
  <si>
    <t>+86-531-88876732</t>
    <phoneticPr fontId="29" type="noConversion"/>
  </si>
  <si>
    <t>jasonli@chinahpws.com</t>
    <phoneticPr fontId="18" type="noConversion"/>
  </si>
  <si>
    <t>7008281910494551</t>
  </si>
  <si>
    <t>20211007</t>
  </si>
  <si>
    <t>JSC Mano Linija</t>
    <phoneticPr fontId="18" type="noConversion"/>
  </si>
  <si>
    <t>Lithuania</t>
    <phoneticPr fontId="18" type="noConversion"/>
  </si>
  <si>
    <t>Spectrum Logistika, Kirtimu str. 67, LT-02244, Vilnius, Lithuania</t>
    <phoneticPr fontId="18" type="noConversion"/>
  </si>
  <si>
    <t>Andrey</t>
    <phoneticPr fontId="18" type="noConversion"/>
  </si>
  <si>
    <t/>
  </si>
  <si>
    <t>a.milkoto@gmail.com</t>
    <phoneticPr fontId="18" type="noConversion"/>
  </si>
  <si>
    <t>Xorex</t>
    <phoneticPr fontId="18" type="noConversion"/>
  </si>
  <si>
    <t>KKInstrumernts</t>
    <phoneticPr fontId="18" type="noConversion"/>
  </si>
  <si>
    <t>Suite 2, 9th floor, Wisma Singlong, 9 Jln Zabedah, B.P 83000,Johor,MY.</t>
    <phoneticPr fontId="18" type="noConversion"/>
  </si>
  <si>
    <t>Steven Ng</t>
    <phoneticPr fontId="18" type="noConversion"/>
  </si>
  <si>
    <t>607- 4352540</t>
    <phoneticPr fontId="18" type="noConversion"/>
  </si>
  <si>
    <t>steven.ng@meter.com.my</t>
    <phoneticPr fontId="18" type="noConversion"/>
  </si>
  <si>
    <t>LH 판교</t>
  </si>
  <si>
    <t>경기도 성남시 창업로 54</t>
  </si>
  <si>
    <t>김옥래님</t>
  </si>
  <si>
    <t>010-3263-2880</t>
  </si>
  <si>
    <t>방문</t>
  </si>
  <si>
    <t>LITEKON BUILDTEK CORPORATION</t>
    <phoneticPr fontId="18" type="noConversion"/>
  </si>
  <si>
    <t>74 APOLLO 4 ST., MOONWALK VILLAGE, LAS PINAS, PHILIPPINES</t>
    <phoneticPr fontId="18" type="noConversion"/>
  </si>
  <si>
    <t>Jorell Bonoan</t>
    <phoneticPr fontId="18" type="noConversion"/>
  </si>
  <si>
    <t>+63 9178585378</t>
    <phoneticPr fontId="18" type="noConversion"/>
  </si>
  <si>
    <t>jorell.bonoan@litekon.net</t>
    <phoneticPr fontId="18" type="noConversion"/>
  </si>
  <si>
    <t>LLC PANATEST</t>
  </si>
  <si>
    <t>Office 405, 12 Aviamotornaya Street, Moscow, 111024, Russia</t>
    <phoneticPr fontId="29" type="noConversion"/>
  </si>
  <si>
    <t>Mr. Mikhail Vikhrov</t>
    <phoneticPr fontId="29" type="noConversion"/>
  </si>
  <si>
    <t>+7 495 789 37 48</t>
    <phoneticPr fontId="29" type="noConversion"/>
  </si>
  <si>
    <t>Vikhrov@panatest.ru</t>
    <phoneticPr fontId="18" type="noConversion"/>
  </si>
  <si>
    <t>7008282104640260</t>
  </si>
  <si>
    <t>2023-04-25</t>
    <phoneticPr fontId="18" type="noConversion"/>
  </si>
  <si>
    <t>Panatest</t>
    <phoneticPr fontId="18" type="noConversion"/>
  </si>
  <si>
    <t>Loiter Systems SpA</t>
    <phoneticPr fontId="18" type="noConversion"/>
  </si>
  <si>
    <t xml:space="preserve">Napoleon 3565, Of. 202 Las Condes, RM, 7550219 </t>
    <phoneticPr fontId="18" type="noConversion"/>
  </si>
  <si>
    <t>Mr. Marcos Elgueta Soulat</t>
    <phoneticPr fontId="18" type="noConversion"/>
  </si>
  <si>
    <t>+569822077407</t>
    <phoneticPr fontId="18" type="noConversion"/>
  </si>
  <si>
    <t>marcos@loitersystems.cl</t>
    <phoneticPr fontId="18" type="noConversion"/>
  </si>
  <si>
    <t>Macroview</t>
    <phoneticPr fontId="18" type="noConversion"/>
  </si>
  <si>
    <t>경기도 김포시 품무로 93번길 26, 상가동 105호(풍무동)</t>
    <phoneticPr fontId="18" type="noConversion"/>
  </si>
  <si>
    <t>장대욱</t>
    <phoneticPr fontId="18" type="noConversion"/>
  </si>
  <si>
    <t>82 10 5050 9091</t>
    <phoneticPr fontId="18" type="noConversion"/>
  </si>
  <si>
    <t>jerry@macroview.co.kr</t>
    <phoneticPr fontId="18" type="noConversion"/>
  </si>
  <si>
    <t>도드웰
Hardware: 6,7 알람 extension (접점),9Hz, 확장된 사이즈의 Stand Base적용 
Software 설정: 일본어, 실상 영상만 저장, 나머지 설정은 COX standard 로 적용</t>
    <phoneticPr fontId="18" type="noConversion"/>
  </si>
  <si>
    <t xml:space="preserve">Micro Tech Power Generation and Construction </t>
  </si>
  <si>
    <t>South Africa</t>
    <phoneticPr fontId="22" type="noConversion"/>
  </si>
  <si>
    <t>Lombardy Business Park Shere, Pretoria. 0081</t>
    <phoneticPr fontId="22" type="noConversion"/>
  </si>
  <si>
    <t>Jacques Theron</t>
    <phoneticPr fontId="22" type="noConversion"/>
  </si>
  <si>
    <t>+27 82 663 4092</t>
    <phoneticPr fontId="22" type="noConversion"/>
  </si>
  <si>
    <t>jacques@microtech.co.za</t>
    <phoneticPr fontId="22" type="noConversion"/>
  </si>
  <si>
    <t>확인要</t>
    <phoneticPr fontId="22" type="noConversion"/>
  </si>
  <si>
    <t>MKU</t>
  </si>
  <si>
    <t>13, Gandhi Gram, G.T. Road, Kanpur - 208 007, (UP), INDIA.</t>
    <phoneticPr fontId="18" type="noConversion"/>
  </si>
  <si>
    <t>Karan Gupta</t>
    <phoneticPr fontId="18" type="noConversion"/>
  </si>
  <si>
    <t>91 512 7102710</t>
    <phoneticPr fontId="18" type="noConversion"/>
  </si>
  <si>
    <t>karan.gupta@mku.com</t>
    <phoneticPr fontId="18" type="noConversion"/>
  </si>
  <si>
    <t>Module Elctronics OOO</t>
    <phoneticPr fontId="18" type="noConversion"/>
  </si>
  <si>
    <t>Russian FEDERATION</t>
    <phoneticPr fontId="18" type="noConversion"/>
  </si>
  <si>
    <t>44 Ryabinovaya street, floor 5, office 54 Moscow, 121471 Russian Federation</t>
    <phoneticPr fontId="18" type="noConversion"/>
  </si>
  <si>
    <t>Evgeny Streltsov</t>
    <phoneticPr fontId="18" type="noConversion"/>
  </si>
  <si>
    <t>+7 495 2113060</t>
    <phoneticPr fontId="18" type="noConversion"/>
  </si>
  <si>
    <t>se@mod-e.ru</t>
    <phoneticPr fontId="18" type="noConversion"/>
  </si>
  <si>
    <t>MS SPECTRAL</t>
    <phoneticPr fontId="29" type="noConversion"/>
  </si>
  <si>
    <t>4. AR-GE Binasi B Blok No:95/2/06800 Beytepe, Cankaya, Ankara, Turkey</t>
    <phoneticPr fontId="29" type="noConversion"/>
  </si>
  <si>
    <t>Mr. Onder Ergan</t>
    <phoneticPr fontId="18" type="noConversion"/>
  </si>
  <si>
    <t>+90 534 225 6368</t>
    <phoneticPr fontId="29" type="noConversion"/>
  </si>
  <si>
    <t>onder.ergan@msspektral.com</t>
    <phoneticPr fontId="18" type="noConversion"/>
  </si>
  <si>
    <t>Nippon Steel Texeng Co Ltd</t>
    <phoneticPr fontId="18" type="noConversion"/>
  </si>
  <si>
    <t>Nakamachi-2, Muroran City,Hokkaido, 050-0087</t>
    <phoneticPr fontId="29" type="noConversion"/>
  </si>
  <si>
    <t>Mr. Kobayashi Keisuke</t>
    <phoneticPr fontId="29" type="noConversion"/>
  </si>
  <si>
    <t>+81-143-47-2647</t>
    <phoneticPr fontId="29" type="noConversion"/>
  </si>
  <si>
    <t>kobayashi.keisuke.ao@tex.nipponsteel.com</t>
    <phoneticPr fontId="18" type="noConversion"/>
  </si>
  <si>
    <t>7008282002531030</t>
    <phoneticPr fontId="18" type="noConversion"/>
  </si>
  <si>
    <t>2022-02-23</t>
    <phoneticPr fontId="18" type="noConversion"/>
  </si>
  <si>
    <t>NUROL MAKINA VE SANAYI A.S.</t>
    <phoneticPr fontId="18" type="noConversion"/>
  </si>
  <si>
    <t>Ankara 1. Organize Sanayi Bolgesi Avrupa Hun Cad. No:6 06935 SiNCAN , ANKARA , TURKEY</t>
    <phoneticPr fontId="18" type="noConversion"/>
  </si>
  <si>
    <t>Only control</t>
  </si>
  <si>
    <t xml:space="preserve">Urdesa Central, Circunvalación Norte No. 413 ,Entre calle 5ta y 6ta MZ. 16a Codigo Postal 090507,Guayaquil – Ecuador
</t>
    <phoneticPr fontId="18" type="noConversion"/>
  </si>
  <si>
    <t>David Perugachi Rojas</t>
    <phoneticPr fontId="18" type="noConversion"/>
  </si>
  <si>
    <t>593 04 600 3559</t>
    <phoneticPr fontId="18" type="noConversion"/>
  </si>
  <si>
    <t>dperugachi@onlycontrol.com</t>
    <phoneticPr fontId="18" type="noConversion"/>
  </si>
  <si>
    <t>OpteamX Ltd.</t>
    <phoneticPr fontId="18" type="noConversion"/>
  </si>
  <si>
    <t>2 Ha’Shiqma St. Azor, 5800173</t>
    <phoneticPr fontId="18" type="noConversion"/>
  </si>
  <si>
    <t>Moshe yanay</t>
    <phoneticPr fontId="18" type="noConversion"/>
  </si>
  <si>
    <t>972-3-516-8844</t>
    <phoneticPr fontId="18" type="noConversion"/>
  </si>
  <si>
    <t>moshe@opteamx.coom</t>
    <phoneticPr fontId="18" type="noConversion"/>
  </si>
  <si>
    <t>PANNONPAHRMA LTD.</t>
  </si>
  <si>
    <t>Hungary</t>
    <phoneticPr fontId="18" type="noConversion"/>
  </si>
  <si>
    <t>H-7720  Pecsvarad, Pannonpharma u.1.</t>
    <phoneticPr fontId="29" type="noConversion"/>
  </si>
  <si>
    <t>Mr. Istvan Scheich</t>
  </si>
  <si>
    <t>+36 72 566 750</t>
    <phoneticPr fontId="29" type="noConversion"/>
  </si>
  <si>
    <t>7008281901419180</t>
  </si>
  <si>
    <t>2022-01-16</t>
    <phoneticPr fontId="18" type="noConversion"/>
  </si>
  <si>
    <t>PEIPORT Scientific Aero Limited</t>
    <phoneticPr fontId="18" type="noConversion"/>
  </si>
  <si>
    <t>Rm 1302, Westlands Centre, 20 Westlands Road, Quarry bay, Hong Kong</t>
    <phoneticPr fontId="29" type="noConversion"/>
  </si>
  <si>
    <t>Mr. Jonathan Chu</t>
    <phoneticPr fontId="29" type="noConversion"/>
  </si>
  <si>
    <t>+(852) 2885 9525</t>
    <phoneticPr fontId="29" type="noConversion"/>
  </si>
  <si>
    <t>jonathanchu@peiport.com.hk</t>
    <phoneticPr fontId="18" type="noConversion"/>
  </si>
  <si>
    <t>FedEx(943615772)</t>
    <phoneticPr fontId="18" type="noConversion"/>
  </si>
  <si>
    <t>Pergam Kazakhstan</t>
    <phoneticPr fontId="22" type="noConversion"/>
  </si>
  <si>
    <t xml:space="preserve">KAZAKHSTAN, ZIP code 010000, Nur-Sultan city, Baikonyr district, 19 Amangeldi Imanov Street, office 506-A </t>
    <phoneticPr fontId="22" type="noConversion"/>
  </si>
  <si>
    <t>Reingardt Danil</t>
    <phoneticPr fontId="22" type="noConversion"/>
  </si>
  <si>
    <t>+7 7172 787 220</t>
    <phoneticPr fontId="22" type="noConversion"/>
  </si>
  <si>
    <t>info@pergam.kz</t>
    <phoneticPr fontId="22" type="noConversion"/>
  </si>
  <si>
    <t>Pergam Ukraine</t>
  </si>
  <si>
    <t>Sofii Perovskoy str. 10b, Kyiv, Ukraine. 03057</t>
  </si>
  <si>
    <t>Roman Finco</t>
  </si>
  <si>
    <t>+38 044 455 68 64</t>
  </si>
  <si>
    <t>finko@pergam.com.ua</t>
  </si>
  <si>
    <t>7008281709279479</t>
  </si>
  <si>
    <t>2020-09-19</t>
  </si>
  <si>
    <t>Pergam-Ukraine Engineering LLC</t>
    <phoneticPr fontId="18" type="noConversion"/>
  </si>
  <si>
    <t>Ukraine</t>
    <phoneticPr fontId="18" type="noConversion"/>
  </si>
  <si>
    <t>03057, Ukraine, Kyiv, Miroshnichenko Evgeniya Str., 10-b</t>
    <phoneticPr fontId="18" type="noConversion"/>
  </si>
  <si>
    <t>Roman Finco</t>
    <phoneticPr fontId="18" type="noConversion"/>
  </si>
  <si>
    <t>+38 044 455 68 64</t>
    <phoneticPr fontId="18" type="noConversion"/>
  </si>
  <si>
    <t>finko@pergam.com.ua</t>
    <phoneticPr fontId="18" type="noConversion"/>
  </si>
  <si>
    <t>Planck</t>
  </si>
  <si>
    <t>195009, St. Petersburg, Komsomola str., 1-3, lit. Au, office 6N, Room 94, St. Petersburg, Russia</t>
    <phoneticPr fontId="18" type="noConversion"/>
  </si>
  <si>
    <t>Denis Lukash</t>
    <phoneticPr fontId="18" type="noConversion"/>
  </si>
  <si>
    <t>7 911 920 9239</t>
    <phoneticPr fontId="18" type="noConversion"/>
  </si>
  <si>
    <t>lukash@planck.ru</t>
    <phoneticPr fontId="18" type="noConversion"/>
  </si>
  <si>
    <t>Planck(950789370)</t>
    <phoneticPr fontId="18" type="noConversion"/>
  </si>
  <si>
    <t>Precision Technologie Pte Ltd</t>
    <phoneticPr fontId="18" type="noConversion"/>
  </si>
  <si>
    <t xml:space="preserve">211 Henderson Road, #05-01 Henderson Industrial Park </t>
    <phoneticPr fontId="18" type="noConversion"/>
  </si>
  <si>
    <t>Zach Yang</t>
    <phoneticPr fontId="18" type="noConversion"/>
  </si>
  <si>
    <t>65-62734573 x 123</t>
    <phoneticPr fontId="18" type="noConversion"/>
  </si>
  <si>
    <t>zacgtabg@oretech.com.sg</t>
    <phoneticPr fontId="18" type="noConversion"/>
  </si>
  <si>
    <t>Presisjons Teknik</t>
    <phoneticPr fontId="18" type="noConversion"/>
  </si>
  <si>
    <t>Norway</t>
    <phoneticPr fontId="18" type="noConversion"/>
  </si>
  <si>
    <t>Henrik</t>
    <phoneticPr fontId="18" type="noConversion"/>
  </si>
  <si>
    <t>+47 234 04 141</t>
    <phoneticPr fontId="18" type="noConversion"/>
  </si>
  <si>
    <t>henrik.sward@ptnordic.com</t>
    <phoneticPr fontId="18" type="noConversion"/>
  </si>
  <si>
    <t>INDONESIA</t>
  </si>
  <si>
    <t>Ruko Golden Boulevard, Blok E, No. 28 JI. Pahlawan Seribu, BSD city, Tangerang Selaatan 15322</t>
  </si>
  <si>
    <t>Daniel Setiawan</t>
  </si>
  <si>
    <t>+62 (21) 531 433 60</t>
  </si>
  <si>
    <t>Quality Video-RC</t>
    <phoneticPr fontId="18" type="noConversion"/>
  </si>
  <si>
    <t>228 east division ave sparta, mi, 49345</t>
    <phoneticPr fontId="18" type="noConversion"/>
  </si>
  <si>
    <t>Dennis</t>
    <phoneticPr fontId="18" type="noConversion"/>
  </si>
  <si>
    <t>616 205 5440</t>
    <phoneticPr fontId="18" type="noConversion"/>
  </si>
  <si>
    <t>qualityvideocameras@gmail.com
'sales@ragecams.com'</t>
    <phoneticPr fontId="18" type="noConversion"/>
  </si>
  <si>
    <t>15 King Street, BLACKBURN VIC 3130, AUSTRALIA</t>
    <phoneticPr fontId="29" type="noConversion"/>
  </si>
  <si>
    <t>Mr. Neil Erenstrom</t>
    <phoneticPr fontId="29" type="noConversion"/>
  </si>
  <si>
    <t>+61 03 8669 0380</t>
    <phoneticPr fontId="29" type="noConversion"/>
  </si>
  <si>
    <t>Neil.Erenstrom@raygen.com</t>
    <phoneticPr fontId="18" type="noConversion"/>
  </si>
  <si>
    <t>7008282106652239</t>
  </si>
  <si>
    <t>Robotics Cats Limited</t>
    <phoneticPr fontId="18" type="noConversion"/>
  </si>
  <si>
    <t>Unit 316, Bldg 16W, Phase 3, Hong Kong Science Park, Hong kong</t>
    <phoneticPr fontId="18" type="noConversion"/>
  </si>
  <si>
    <t>Andre Cheung</t>
    <phoneticPr fontId="18" type="noConversion"/>
  </si>
  <si>
    <t>852 94806590</t>
    <phoneticPr fontId="18" type="noConversion"/>
  </si>
  <si>
    <t>info@roboticscats.com</t>
    <phoneticPr fontId="18" type="noConversion"/>
  </si>
  <si>
    <t>Robotics Cats</t>
    <phoneticPr fontId="18" type="noConversion"/>
  </si>
  <si>
    <t>DHL(631187017)</t>
    <phoneticPr fontId="18" type="noConversion"/>
  </si>
  <si>
    <t>RVI Group</t>
    <phoneticPr fontId="18" type="noConversion"/>
  </si>
  <si>
    <t>Russia, Saratov, 50 let Oktyabrya Avenue, 108, building B, 1 floor, office 10</t>
    <phoneticPr fontId="18" type="noConversion"/>
  </si>
  <si>
    <t>Mikhail Voltornist</t>
    <phoneticPr fontId="18" type="noConversion"/>
  </si>
  <si>
    <t>voltornistmn@rvigroup.ru</t>
    <phoneticPr fontId="18" type="noConversion"/>
  </si>
  <si>
    <t>SCT</t>
    <phoneticPr fontId="22" type="noConversion"/>
  </si>
  <si>
    <t>korea</t>
    <phoneticPr fontId="18" type="noConversion"/>
  </si>
  <si>
    <t>서울시 금천구 가산디지털 1로 5 대륭테크노타운 20차 5층</t>
    <phoneticPr fontId="22" type="noConversion"/>
  </si>
  <si>
    <t>안중곤 님</t>
    <phoneticPr fontId="22" type="noConversion"/>
  </si>
  <si>
    <t>02-860-9621</t>
    <phoneticPr fontId="22" type="noConversion"/>
  </si>
  <si>
    <t>ajg@scteng.co.kr</t>
    <phoneticPr fontId="22" type="noConversion"/>
  </si>
  <si>
    <t>Selim</t>
  </si>
  <si>
    <t>Sentez System and Engineering Ltd</t>
    <phoneticPr fontId="18" type="noConversion"/>
  </si>
  <si>
    <t>Dragos park plaza No 23 K 11 Cevizli Mah Hizir Reis Sokak No 10 34846 Maltepe Istanbul Turkey</t>
    <phoneticPr fontId="18" type="noConversion"/>
  </si>
  <si>
    <t>Mr. Samin ADA</t>
    <phoneticPr fontId="18" type="noConversion"/>
  </si>
  <si>
    <t>+90 216 519 78 79</t>
    <phoneticPr fontId="18" type="noConversion"/>
  </si>
  <si>
    <t>info@sentezsistem.com.tr</t>
    <phoneticPr fontId="18" type="noConversion"/>
  </si>
  <si>
    <t>7008282012605033</t>
    <phoneticPr fontId="18" type="noConversion"/>
  </si>
  <si>
    <t>2023-12-13</t>
    <phoneticPr fontId="18" type="noConversion"/>
  </si>
  <si>
    <t>Shalom</t>
  </si>
  <si>
    <t>Joseph Tang</t>
    <phoneticPr fontId="18" type="noConversion"/>
  </si>
  <si>
    <t>렌즈 판매 업체</t>
    <phoneticPr fontId="18" type="noConversion"/>
  </si>
  <si>
    <t>Siemens Schweiz AG</t>
  </si>
  <si>
    <t>Siemens Schweiz AG Bereich BT Christoph Lehmann, Obere Zollgasse 73 3072 Ostermundigen, Switzerland</t>
    <phoneticPr fontId="29" type="noConversion"/>
  </si>
  <si>
    <t>Mr. Inna Stebler</t>
    <phoneticPr fontId="18" type="noConversion"/>
  </si>
  <si>
    <t>+ 41 585 579366</t>
    <phoneticPr fontId="29" type="noConversion"/>
  </si>
  <si>
    <t>inna.stebler@siemens.com</t>
    <phoneticPr fontId="18" type="noConversion"/>
  </si>
  <si>
    <t>7008281902429575</t>
  </si>
  <si>
    <t>2022-02-20</t>
    <phoneticPr fontId="18" type="noConversion"/>
  </si>
  <si>
    <t>Sierra Pacific Innovations</t>
    <phoneticPr fontId="18" type="noConversion"/>
  </si>
  <si>
    <t>6620 S Tenaya Way #200, Las Vegas, NV 89113</t>
    <phoneticPr fontId="22" type="noConversion"/>
  </si>
  <si>
    <t xml:space="preserve">James Foley </t>
  </si>
  <si>
    <t>702-36-3966</t>
    <phoneticPr fontId="22" type="noConversion"/>
  </si>
  <si>
    <t>jfoley@x20.org</t>
    <phoneticPr fontId="18" type="noConversion"/>
  </si>
  <si>
    <t>7008282009582101</t>
    <phoneticPr fontId="18" type="noConversion"/>
  </si>
  <si>
    <t>SPI</t>
    <phoneticPr fontId="22" type="noConversion"/>
  </si>
  <si>
    <t>FedEX(227625546)</t>
    <phoneticPr fontId="22" type="noConversion"/>
  </si>
  <si>
    <t>SPI side sticker</t>
    <phoneticPr fontId="22" type="noConversion"/>
  </si>
  <si>
    <t>Sierra-Olympic Technologies, Inc.</t>
    <phoneticPr fontId="18" type="noConversion"/>
  </si>
  <si>
    <t>3100 B Cascade Ave, Hood River, OR 97031. USA</t>
    <phoneticPr fontId="29" type="noConversion"/>
  </si>
  <si>
    <t>Mr. Chris Johnston</t>
    <phoneticPr fontId="29" type="noConversion"/>
  </si>
  <si>
    <t>+541-716-0015</t>
    <phoneticPr fontId="29" type="noConversion"/>
  </si>
  <si>
    <t>tim@sierraolympic.com</t>
    <phoneticPr fontId="18" type="noConversion"/>
  </si>
  <si>
    <t>SKT</t>
  </si>
  <si>
    <t>Pig farm project</t>
    <phoneticPr fontId="18" type="noConversion"/>
  </si>
  <si>
    <t xml:space="preserve">Soluparts HK Industrial Materials Ltd </t>
  </si>
  <si>
    <t xml:space="preserve">Flat/RM A10 9/F, Silvercorp Int'l Tower | 707-713 Nathan Road | Mong Kok | Kowloon | Hong Kong </t>
    <phoneticPr fontId="18" type="noConversion"/>
  </si>
  <si>
    <t>Shunsuke Hyodo</t>
    <phoneticPr fontId="18" type="noConversion"/>
  </si>
  <si>
    <t xml:space="preserve">+852 8124 1200 </t>
    <phoneticPr fontId="18" type="noConversion"/>
  </si>
  <si>
    <t xml:space="preserve">shunsuke.hyodo@soluparts.com </t>
    <phoneticPr fontId="18" type="noConversion"/>
  </si>
  <si>
    <t>Soulparts HK</t>
    <phoneticPr fontId="18" type="noConversion"/>
  </si>
  <si>
    <t>SPG</t>
  </si>
  <si>
    <t>인천광역시 연수구 송도과학로 16번길 13-30, 6층 (송도동 175-1)</t>
    <phoneticPr fontId="18" type="noConversion"/>
  </si>
  <si>
    <t>박상철 과장님</t>
    <phoneticPr fontId="18" type="noConversion"/>
  </si>
  <si>
    <t>032-810-6184</t>
  </si>
  <si>
    <t>sangcheol.park@spg.co.kr</t>
    <phoneticPr fontId="18" type="noConversion"/>
  </si>
  <si>
    <t>SPI</t>
    <phoneticPr fontId="18" type="noConversion"/>
  </si>
  <si>
    <t>6620 S Tenaya way #200, Las Vegas, NV, USA</t>
    <phoneticPr fontId="18" type="noConversion"/>
  </si>
  <si>
    <t>James Foley</t>
    <phoneticPr fontId="18" type="noConversion"/>
  </si>
  <si>
    <t>+702 369 3966</t>
    <phoneticPr fontId="18" type="noConversion"/>
  </si>
  <si>
    <t>DHL(967898663)</t>
    <phoneticPr fontId="18" type="noConversion"/>
  </si>
  <si>
    <t>포괄수출허가진행 중</t>
    <phoneticPr fontId="18" type="noConversion"/>
  </si>
  <si>
    <t>SQI SOFT</t>
    <phoneticPr fontId="22" type="noConversion"/>
  </si>
  <si>
    <t>서울시 영등포구 선유로 3길 10, 하우스D 13층</t>
    <phoneticPr fontId="22" type="noConversion"/>
  </si>
  <si>
    <t>박선견 전무님</t>
    <phoneticPr fontId="22" type="noConversion"/>
  </si>
  <si>
    <t>010-9977-7067</t>
    <phoneticPr fontId="22" type="noConversion"/>
  </si>
  <si>
    <t>skpark@sqisoft.com</t>
    <phoneticPr fontId="22" type="noConversion"/>
  </si>
  <si>
    <t>Stanley</t>
  </si>
  <si>
    <t>STI</t>
    <phoneticPr fontId="18" type="noConversion"/>
  </si>
  <si>
    <t>김영석 님</t>
    <phoneticPr fontId="18" type="noConversion"/>
  </si>
  <si>
    <t>jazzwg@naver.com</t>
    <phoneticPr fontId="18" type="noConversion"/>
  </si>
  <si>
    <t>TANZ SECURITY TECHNOLOGY LTD.</t>
  </si>
  <si>
    <t>11F., No. 203, Zhonghua 1st Rd.,Gushan Dist., 
Kaohsiung City 80455, Taiwan</t>
    <phoneticPr fontId="29" type="noConversion"/>
  </si>
  <si>
    <t>Ms. Miraia Chen</t>
    <phoneticPr fontId="29" type="noConversion"/>
  </si>
  <si>
    <t>+886-970485657</t>
    <phoneticPr fontId="29" type="noConversion"/>
  </si>
  <si>
    <t>purchase@tanzsecurity.com</t>
    <phoneticPr fontId="18" type="noConversion"/>
  </si>
  <si>
    <t>7008282004545387</t>
    <phoneticPr fontId="18" type="noConversion"/>
  </si>
  <si>
    <t>2022-04-21</t>
    <phoneticPr fontId="18" type="noConversion"/>
  </si>
  <si>
    <t>TANZ(1634650592)</t>
    <phoneticPr fontId="18" type="noConversion"/>
  </si>
  <si>
    <t>제품에 탄즈 로고 부착, 탄즈 모델명 사용</t>
    <phoneticPr fontId="18" type="noConversion"/>
  </si>
  <si>
    <t>TBT</t>
    <phoneticPr fontId="18" type="noConversion"/>
  </si>
  <si>
    <t>KOREA</t>
    <phoneticPr fontId="18" type="noConversion"/>
  </si>
  <si>
    <t>tbt@tbtkorea.com</t>
    <phoneticPr fontId="18" type="noConversion"/>
  </si>
  <si>
    <t>Techways</t>
    <phoneticPr fontId="18" type="noConversion"/>
  </si>
  <si>
    <t>경기도 용인시 수지구 광교중앙로 338, C동 9층 (광교우미뉴브) 16942</t>
    <phoneticPr fontId="18" type="noConversion"/>
  </si>
  <si>
    <t>공명식 과장님</t>
    <phoneticPr fontId="18" type="noConversion"/>
  </si>
  <si>
    <t>010-4876-2703</t>
    <phoneticPr fontId="18" type="noConversion"/>
  </si>
  <si>
    <t>kongms@techways.co.kr</t>
    <phoneticPr fontId="18" type="noConversion"/>
  </si>
  <si>
    <t>Teknotherm Metal San.ve Ticaret Anonim Sirketi</t>
  </si>
  <si>
    <t xml:space="preserve">Gulsuyu Mah. Fevzi Cakmak Cad. Bilginer Sok. Tesa Is Merkezi No: 9/1 – 9/2, 34848 Maltepe – İSTANBUL </t>
    <phoneticPr fontId="22" type="noConversion"/>
  </si>
  <si>
    <t>Murat Cinarli</t>
    <phoneticPr fontId="22" type="noConversion"/>
  </si>
  <si>
    <t xml:space="preserve">0 216 593 18 60 </t>
    <phoneticPr fontId="22" type="noConversion"/>
  </si>
  <si>
    <t>mcinarli@teknotherm.com.tr</t>
    <phoneticPr fontId="22" type="noConversion"/>
  </si>
  <si>
    <t>Thermoguard Ltd.</t>
    <phoneticPr fontId="18" type="noConversion"/>
  </si>
  <si>
    <t>Asaf Tencer</t>
    <phoneticPr fontId="18" type="noConversion"/>
  </si>
  <si>
    <t>+972-544802215</t>
    <phoneticPr fontId="18" type="noConversion"/>
  </si>
  <si>
    <t>asaf@thermoguardai.com</t>
    <phoneticPr fontId="18" type="noConversion"/>
  </si>
  <si>
    <t>COVID 예측 시스템 개발, 스텐드 및 PC제거</t>
    <phoneticPr fontId="18" type="noConversion"/>
  </si>
  <si>
    <t>Universal Business</t>
    <phoneticPr fontId="22" type="noConversion"/>
  </si>
  <si>
    <t>S No 666, C-406, Poonam Garden, Near SBI Nagar, Bibwewadi, Pune 411037. India.</t>
    <phoneticPr fontId="22" type="noConversion"/>
  </si>
  <si>
    <t>Pushkraj Kore</t>
    <phoneticPr fontId="22" type="noConversion"/>
  </si>
  <si>
    <t>919422516156</t>
    <phoneticPr fontId="22" type="noConversion"/>
  </si>
  <si>
    <t>ub.pune1@gmail.com</t>
    <phoneticPr fontId="22" type="noConversion"/>
  </si>
  <si>
    <t>확인 要</t>
    <phoneticPr fontId="22" type="noConversion"/>
  </si>
  <si>
    <t>Universe Plus Store</t>
  </si>
  <si>
    <t>Università della Campania “Luigi Vanvitelli"</t>
    <phoneticPr fontId="18" type="noConversion"/>
  </si>
  <si>
    <t>Viale Lincoln 5, 81100 Caserta (Italy)</t>
    <phoneticPr fontId="18" type="noConversion"/>
  </si>
  <si>
    <t>Luigi Moretti, PhD</t>
    <phoneticPr fontId="18" type="noConversion"/>
  </si>
  <si>
    <t>+390823274496</t>
    <phoneticPr fontId="18" type="noConversion"/>
  </si>
  <si>
    <t>luigi.moretti@unicampania.it</t>
    <phoneticPr fontId="18" type="noConversion"/>
  </si>
  <si>
    <t>V advanced</t>
  </si>
  <si>
    <t>VENTIONEX INTERNATIONAL PTE. LTD.</t>
    <phoneticPr fontId="18" type="noConversion"/>
  </si>
  <si>
    <t xml:space="preserve">10 Bukit Batok Crescent #06-06, The Spire, Singapore 658079           </t>
    <phoneticPr fontId="18" type="noConversion"/>
  </si>
  <si>
    <t>Ms. Salha</t>
    <phoneticPr fontId="18" type="noConversion"/>
  </si>
  <si>
    <t>65 6680 9321</t>
    <phoneticPr fontId="18" type="noConversion"/>
  </si>
  <si>
    <t>norsalha.mahamud@ventionex.com</t>
    <phoneticPr fontId="18" type="noConversion"/>
  </si>
  <si>
    <t>Videoteknika solutions Ltd.</t>
  </si>
  <si>
    <t>Quarrymans View,Manchester  M280LB,United Kingdon</t>
    <phoneticPr fontId="29" type="noConversion"/>
  </si>
  <si>
    <t>7008282004545362</t>
    <phoneticPr fontId="18" type="noConversion"/>
  </si>
  <si>
    <t>2023-04-21</t>
    <phoneticPr fontId="18" type="noConversion"/>
  </si>
  <si>
    <t>Videoteknika</t>
    <phoneticPr fontId="18" type="noConversion"/>
  </si>
  <si>
    <t>Vihaan Networks Ltd</t>
    <phoneticPr fontId="18" type="noConversion"/>
  </si>
  <si>
    <t xml:space="preserve">21-22, Phase IV, Udyog Vihar, Sector 18, Gurugram, Haryana 122015 </t>
    <phoneticPr fontId="18" type="noConversion"/>
  </si>
  <si>
    <t>Binay Singh</t>
    <phoneticPr fontId="18" type="noConversion"/>
  </si>
  <si>
    <t>binay.singh@vnl.in</t>
    <phoneticPr fontId="18" type="noConversion"/>
  </si>
  <si>
    <t>Vihaan Networks Ltd.</t>
  </si>
  <si>
    <t>Plot No. 31, Sector 5 IMT Manesar GURGAON- 122050 Haryana</t>
  </si>
  <si>
    <t>Neeraj Singh</t>
  </si>
  <si>
    <t>+9910058842</t>
  </si>
  <si>
    <t>Vlan24</t>
  </si>
  <si>
    <t>경기도 안양시 동안구 시민대로 260,612</t>
    <phoneticPr fontId="18" type="noConversion"/>
  </si>
  <si>
    <t>지창환 이사님</t>
    <phoneticPr fontId="18" type="noConversion"/>
  </si>
  <si>
    <t>82 10 9269 8110</t>
    <phoneticPr fontId="18" type="noConversion"/>
  </si>
  <si>
    <t>daniel.ji@vlan24.com</t>
    <phoneticPr fontId="18" type="noConversion"/>
  </si>
  <si>
    <t>Histechs</t>
    <phoneticPr fontId="18" type="noConversion"/>
  </si>
  <si>
    <t>Wavelengh Opto-Electronic (S) Pte LTd</t>
  </si>
  <si>
    <t>2 Bukit Batok Street 24 #06-01, Skytech Building</t>
  </si>
  <si>
    <t>Jin</t>
  </si>
  <si>
    <t>65-6564-9624</t>
  </si>
  <si>
    <t>info@wavelength-tech.com</t>
  </si>
  <si>
    <t>WELFARE ELECTRONIC COMPONENT LIMITED</t>
  </si>
  <si>
    <t>Unit C, 4/F, Garment Centre, 576-586 Castle Peak Rd, Lai Chi Kok, Kowloon, Hong Kong</t>
    <phoneticPr fontId="29" type="noConversion"/>
  </si>
  <si>
    <t>Mr. Kelvin Lam</t>
    <phoneticPr fontId="29" type="noConversion"/>
  </si>
  <si>
    <t>+(852) 3182 0820</t>
    <phoneticPr fontId="29" type="noConversion"/>
  </si>
  <si>
    <t>kelvin.lam@wecl.com.hk</t>
    <phoneticPr fontId="18" type="noConversion"/>
  </si>
  <si>
    <t>Welfare(964876714)</t>
    <phoneticPr fontId="18" type="noConversion"/>
  </si>
  <si>
    <t>DHL</t>
    <phoneticPr fontId="22" type="noConversion"/>
  </si>
  <si>
    <t>ECCN(AIO320B): 6A993.a , 9Hz 표기</t>
    <phoneticPr fontId="22" type="noConversion"/>
  </si>
  <si>
    <t>Winwon</t>
  </si>
  <si>
    <t>Ms. Warrin</t>
    <phoneticPr fontId="18" type="noConversion"/>
  </si>
  <si>
    <t>warrin.lao@gmail.com</t>
  </si>
  <si>
    <t>WUHAN GLOBAL SENSOR TECHNOLOGY CO.,LTD</t>
  </si>
  <si>
    <t>No.6 ,Huanglong Shan South Road East Lake Development Zone,fov Wuhan ,Zip code:430205</t>
    <phoneticPr fontId="18" type="noConversion"/>
  </si>
  <si>
    <t>FANCY</t>
  </si>
  <si>
    <t>86-27-81298343</t>
    <phoneticPr fontId="18" type="noConversion"/>
  </si>
  <si>
    <t>fanqing@guide-infrared.com</t>
  </si>
  <si>
    <t>Youtech</t>
    <phoneticPr fontId="18" type="noConversion"/>
  </si>
  <si>
    <t>Ysly</t>
    <phoneticPr fontId="22" type="noConversion"/>
  </si>
  <si>
    <t>China</t>
    <phoneticPr fontId="22" type="noConversion"/>
  </si>
  <si>
    <t>Chen sen yao</t>
    <phoneticPr fontId="22" type="noConversion"/>
  </si>
  <si>
    <t>ysly6963@gmail.com</t>
    <phoneticPr fontId="22" type="noConversion"/>
  </si>
  <si>
    <t>가락고등학교</t>
  </si>
  <si>
    <t>서울특별시 송파구 송이로 42</t>
  </si>
  <si>
    <t>가락중학교</t>
  </si>
  <si>
    <t>서울특별시 송파구 송이로 45</t>
  </si>
  <si>
    <t>가산중학교</t>
  </si>
  <si>
    <t>서울특별시 금천구 시흥대로115길 48</t>
  </si>
  <si>
    <t>가수원중학교</t>
  </si>
  <si>
    <t>대전광역시 서구 가수원로 26</t>
  </si>
  <si>
    <t>가수원초등학교</t>
  </si>
  <si>
    <t>대전광역시 서구 벌곡로 1359</t>
  </si>
  <si>
    <t>가원중학교</t>
  </si>
  <si>
    <t>서울특별시 송파구 중대로10길 40-18</t>
  </si>
  <si>
    <t>가재울고등학교</t>
  </si>
  <si>
    <t>서울특별시 서대문구 수색로 100-35</t>
  </si>
  <si>
    <t>가재울중학교</t>
  </si>
  <si>
    <t>서울특별시 서대문구 수색로 100-75</t>
  </si>
  <si>
    <t>가천초등학교</t>
  </si>
  <si>
    <t>전라북도 완주군 경천면 경가천길 148-9</t>
  </si>
  <si>
    <t>가평초등학교</t>
  </si>
  <si>
    <t>전라북도 고창군 신림면 가평로 472</t>
  </si>
  <si>
    <t>간중초등학교</t>
  </si>
  <si>
    <t>전라북도 완주군 용진읍 간중길 39</t>
  </si>
  <si>
    <t>갈담초등학교</t>
  </si>
  <si>
    <t>전라북도 임실군 강진면 호국로 65</t>
  </si>
  <si>
    <t>갈마중학교</t>
  </si>
  <si>
    <t>대전광역시 서구 계룡로326번길 138</t>
  </si>
  <si>
    <t>감곡중학교</t>
  </si>
  <si>
    <t>전라북도 정읍시 감곡면 감곡동서로 330-2</t>
  </si>
  <si>
    <t>감곡초등학교</t>
  </si>
  <si>
    <t>전라북도 정읍시 감곡면 감곡동서로 355</t>
  </si>
  <si>
    <t>강남중학교</t>
    <phoneticPr fontId="18" type="noConversion"/>
  </si>
  <si>
    <t>서울특별시 동작구 대방동 15길 29</t>
    <phoneticPr fontId="18" type="noConversion"/>
  </si>
  <si>
    <t>최보라선생님</t>
    <phoneticPr fontId="18" type="noConversion"/>
  </si>
  <si>
    <t>010-9410-9569</t>
    <phoneticPr fontId="18" type="noConversion"/>
  </si>
  <si>
    <t>콕스 A/S번호 스티커 부착</t>
    <phoneticPr fontId="18" type="noConversion"/>
  </si>
  <si>
    <t>강동고등학교</t>
  </si>
  <si>
    <t>서울특별시 강동구 구천면로 572</t>
  </si>
  <si>
    <t>강동송파교육지원청 특수교육지원센터</t>
    <phoneticPr fontId="18" type="noConversion"/>
  </si>
  <si>
    <t>서울 송파구 송파대로 36길 8 서울중대초등학교 후관 1층</t>
    <phoneticPr fontId="18" type="noConversion"/>
  </si>
  <si>
    <t>전현숙님</t>
    <phoneticPr fontId="18" type="noConversion"/>
  </si>
  <si>
    <t>02-414-2634</t>
    <phoneticPr fontId="18" type="noConversion"/>
  </si>
  <si>
    <t>jj970503@sen.go.kr</t>
    <phoneticPr fontId="18" type="noConversion"/>
  </si>
  <si>
    <t>강동중학교</t>
    <phoneticPr fontId="18" type="noConversion"/>
  </si>
  <si>
    <t>서울특별시 강동구 풍산로 237</t>
  </si>
  <si>
    <t>정동식 담당자님</t>
    <phoneticPr fontId="18" type="noConversion"/>
  </si>
  <si>
    <t>010-2840-3157</t>
    <phoneticPr fontId="18" type="noConversion"/>
  </si>
  <si>
    <t>강명중학교</t>
  </si>
  <si>
    <t>서울특별시 강동구 상일로12길 56</t>
  </si>
  <si>
    <t>강북중학교</t>
  </si>
  <si>
    <t>서울특별시 강북구 한천로150길 67</t>
  </si>
  <si>
    <t>강서고등학교</t>
  </si>
  <si>
    <t>서울특별시 양천구 목동중앙남로 27</t>
  </si>
  <si>
    <t>강서공업고등학교</t>
  </si>
  <si>
    <t>서울특별시 강서구 방화대로47길 9</t>
  </si>
  <si>
    <t>강신중학교</t>
  </si>
  <si>
    <t>서울특별시 양천구 남부순환로 604</t>
  </si>
  <si>
    <t>강일고등학교</t>
    <phoneticPr fontId="18" type="noConversion"/>
  </si>
  <si>
    <t>서울특별시 강동구 아리수로 98길 40</t>
    <phoneticPr fontId="18" type="noConversion"/>
  </si>
  <si>
    <t>강정아 선생님</t>
    <phoneticPr fontId="18" type="noConversion"/>
  </si>
  <si>
    <t>010-2602-8939</t>
    <phoneticPr fontId="18" type="noConversion"/>
  </si>
  <si>
    <t>kangja19@sen.go.kr</t>
    <phoneticPr fontId="18" type="noConversion"/>
  </si>
  <si>
    <t>방문</t>
    <phoneticPr fontId="18" type="noConversion"/>
  </si>
  <si>
    <t>강일중학교</t>
  </si>
  <si>
    <t>서울특별시 강동구 고덕로27길 12</t>
  </si>
  <si>
    <t>강현중학교</t>
  </si>
  <si>
    <t>서울특별시 동작구 상도로13라길 22</t>
  </si>
  <si>
    <t>강호항공고등학교</t>
  </si>
  <si>
    <t>전라북도 고창군 고창읍 중거리당산로 78-22</t>
  </si>
  <si>
    <t>개봉중학교</t>
  </si>
  <si>
    <t>서울특별시 구로구 고척로21나길 68</t>
  </si>
  <si>
    <t>개야도초등학교</t>
  </si>
  <si>
    <t>전라북도 군산시 옥도면 개야도길 189-10</t>
  </si>
  <si>
    <t>개운중학교</t>
  </si>
  <si>
    <t>서울특별시 성북구 북악산로 935</t>
  </si>
  <si>
    <t>개웅중학교</t>
  </si>
  <si>
    <t>서울특별시 구로구 개봉로11길 81</t>
  </si>
  <si>
    <t>개원중학교</t>
  </si>
  <si>
    <t>서울특별시 강남구 영동대로 101</t>
  </si>
  <si>
    <t>개정초등학교</t>
  </si>
  <si>
    <t>전라북도 군산시 개정면 동정1길 5</t>
  </si>
  <si>
    <t>개포고등학교</t>
  </si>
  <si>
    <t>서울특별시 강남구 개포로 402</t>
  </si>
  <si>
    <t>거원중학교</t>
  </si>
  <si>
    <t>서울특별시 송파구 양산로2길 30</t>
  </si>
  <si>
    <t>거제공업고등학교</t>
  </si>
  <si>
    <t>경상남도 거제시 계룡로11길 63</t>
  </si>
  <si>
    <t>보건선생님</t>
  </si>
  <si>
    <t>010-3875-1437</t>
  </si>
  <si>
    <t>건국대학교사범대학부속고등학교</t>
  </si>
  <si>
    <t>서울특별시 광진구 능동로 120</t>
  </si>
  <si>
    <t>건국대학교사범대학부속중학교</t>
  </si>
  <si>
    <t>서울특별시 광진구 자양로 145-1</t>
  </si>
  <si>
    <t>격포초등학교</t>
  </si>
  <si>
    <t>전라북도 부안군 변산면 격포윗길 11</t>
  </si>
  <si>
    <t>경기고등학교</t>
  </si>
  <si>
    <t>서울특별시 강남구 영동대로 643</t>
  </si>
  <si>
    <t>경기기계공업고등학교</t>
  </si>
  <si>
    <t>서울특별시 노원구 공릉로 264</t>
  </si>
  <si>
    <t>경기도언어교육연수원</t>
    <phoneticPr fontId="18" type="noConversion"/>
  </si>
  <si>
    <t>경기 평택시 안중읍 안현로서1길 40</t>
    <phoneticPr fontId="18" type="noConversion"/>
  </si>
  <si>
    <t>담당자님</t>
    <phoneticPr fontId="18" type="noConversion"/>
  </si>
  <si>
    <t>031-680-3608</t>
    <phoneticPr fontId="18" type="noConversion"/>
  </si>
  <si>
    <t>경기도학생교육원</t>
    <phoneticPr fontId="18" type="noConversion"/>
  </si>
  <si>
    <t>인천광역시 강화군 불은면 고려왕릉로 419</t>
    <phoneticPr fontId="18" type="noConversion"/>
  </si>
  <si>
    <t>채혜신 선생님</t>
    <phoneticPr fontId="18" type="noConversion"/>
  </si>
  <si>
    <t>hyesini@goe.go.kr</t>
    <phoneticPr fontId="18" type="noConversion"/>
  </si>
  <si>
    <t>경기상업고등학교</t>
  </si>
  <si>
    <t>서울특별시 종로구 자하문로 136</t>
  </si>
  <si>
    <t>경기여자고등학교</t>
  </si>
  <si>
    <t>서울특별시 강남구 삼성로 29</t>
  </si>
  <si>
    <t>경기자동차과학고등학교</t>
    <phoneticPr fontId="18" type="noConversion"/>
  </si>
  <si>
    <t>경기도 시흥시 금오로 103 경기자동차과학고등학교</t>
    <phoneticPr fontId="18" type="noConversion"/>
  </si>
  <si>
    <t>배 진 한 선생님</t>
    <phoneticPr fontId="18" type="noConversion"/>
  </si>
  <si>
    <t>031-310-9000</t>
    <phoneticPr fontId="18" type="noConversion"/>
  </si>
  <si>
    <t>jinhanee@korea.kr</t>
    <phoneticPr fontId="18" type="noConversion"/>
  </si>
  <si>
    <t>cox</t>
    <phoneticPr fontId="18" type="noConversion"/>
  </si>
  <si>
    <t>경기초등학교</t>
  </si>
  <si>
    <t>서울특별시 서대문구 경기대로9길 10</t>
  </si>
  <si>
    <t>경동고등학교</t>
  </si>
  <si>
    <t>서울특별시 성북구 보문로29길 49</t>
  </si>
  <si>
    <t>경림이앤지</t>
    <phoneticPr fontId="18" type="noConversion"/>
  </si>
  <si>
    <t>서울특별시 마포구 동교로23길 32-8</t>
    <phoneticPr fontId="18" type="noConversion"/>
  </si>
  <si>
    <t>박형준 님</t>
    <phoneticPr fontId="18" type="noConversion"/>
  </si>
  <si>
    <t>hjpark@kleng.net</t>
    <phoneticPr fontId="18" type="noConversion"/>
  </si>
  <si>
    <t>5rangeroad98@naver.com</t>
    <phoneticPr fontId="18" type="noConversion"/>
  </si>
  <si>
    <t>경문고등학교</t>
  </si>
  <si>
    <t>서울특별시 동작구 동작대로 171</t>
  </si>
  <si>
    <t>경복고등학교</t>
  </si>
  <si>
    <t>서울특별시 종로구 자하문로28가길 9</t>
  </si>
  <si>
    <t>경복비즈니스고등학교</t>
  </si>
  <si>
    <t>서울특별시 강서구 화곡로 379</t>
  </si>
  <si>
    <t>경복여자고등학교</t>
  </si>
  <si>
    <t>서울특별시 강서구 화곡로63길 40</t>
  </si>
  <si>
    <t>경복초등학교</t>
  </si>
  <si>
    <t>서울특별시 광진구 천호대로130길 58</t>
  </si>
  <si>
    <t>경북씨엔에스</t>
  </si>
  <si>
    <t>광주시 서구 내방로 349 (화정동) 유탑유블레스 416호</t>
  </si>
  <si>
    <t>010-3765-1472</t>
  </si>
  <si>
    <t>경서중학교</t>
  </si>
  <si>
    <t>서울특별시 강서구 양천로59길 31</t>
  </si>
  <si>
    <t>경성고등학교</t>
  </si>
  <si>
    <t>서울특별시 마포구 성미산로 111</t>
  </si>
  <si>
    <t>경성중학교</t>
  </si>
  <si>
    <t>경수중학교</t>
  </si>
  <si>
    <t>서울특별시 성동구 뚝섬로13길 14</t>
  </si>
  <si>
    <t>경신고등학교</t>
  </si>
  <si>
    <t>서울특별시 종로구 혜화로 74</t>
  </si>
  <si>
    <t>경신중학교</t>
  </si>
  <si>
    <t>경원중학교</t>
  </si>
  <si>
    <t>서울특별시 서초구 신반포로33길 39</t>
  </si>
  <si>
    <t>경인고등학교</t>
  </si>
  <si>
    <t>서울특별시 구로구 경인로46길 31</t>
  </si>
  <si>
    <t>경인중학교</t>
  </si>
  <si>
    <t>서울특별시 구로구 경인로 301</t>
  </si>
  <si>
    <t>경희고등학교</t>
  </si>
  <si>
    <t>서울특별시 동대문구 경희대로 26</t>
  </si>
  <si>
    <t>경희여자고등학교</t>
  </si>
  <si>
    <t>경희여자중학교</t>
  </si>
  <si>
    <t>경희중학교</t>
  </si>
  <si>
    <t>경희초등학교</t>
  </si>
  <si>
    <t>계남중학교</t>
  </si>
  <si>
    <t>전라북도 장수군 계남면 계남중길 52</t>
  </si>
  <si>
    <t>계남초등학교</t>
  </si>
  <si>
    <t>전라북도 장수군 계남면 조곡길 1</t>
  </si>
  <si>
    <t>계룡디지텍고등학교</t>
  </si>
  <si>
    <t>대전광역시 동구 소랑길 64</t>
  </si>
  <si>
    <t>계북중학교</t>
  </si>
  <si>
    <t>전라북도 장수군 계북면 장무로 1005-12</t>
  </si>
  <si>
    <t>계북초등학교</t>
  </si>
  <si>
    <t>전라북도 장수군 계북면 문성길 7</t>
  </si>
  <si>
    <t>계성고등학교</t>
  </si>
  <si>
    <t>서울특별시 성북구 길음로 63</t>
  </si>
  <si>
    <t>계성초등학교</t>
  </si>
  <si>
    <t>서울특별시 서초구 신반포로19길 23</t>
  </si>
  <si>
    <t>계화중학교</t>
  </si>
  <si>
    <t>전라북도 부안군 계화면 창북중앙길 92</t>
  </si>
  <si>
    <t>계화초등학교</t>
  </si>
  <si>
    <t>전라북도 부안군 계화면 계화로 475</t>
  </si>
  <si>
    <t>고덕중학교</t>
  </si>
  <si>
    <t>서울특별시 강동구 동남로82길 94</t>
  </si>
  <si>
    <t>고려대학교사범대학부속고등학교</t>
  </si>
  <si>
    <t>서울특별시 성북구 정릉로 161</t>
  </si>
  <si>
    <t>고려대학교사범대학부속중학교</t>
  </si>
  <si>
    <t>고명외식고등학교</t>
  </si>
  <si>
    <t>서울특별시 성북구 북악산로 870</t>
  </si>
  <si>
    <t>고명중학교</t>
    <phoneticPr fontId="22" type="noConversion"/>
  </si>
  <si>
    <t>서울특별시 성북구 북악산로 870</t>
    <phoneticPr fontId="22" type="noConversion"/>
  </si>
  <si>
    <t>김 철 선생님</t>
    <phoneticPr fontId="22" type="noConversion"/>
  </si>
  <si>
    <t>02-926-2837</t>
    <phoneticPr fontId="22" type="noConversion"/>
  </si>
  <si>
    <t>고부중학교</t>
  </si>
  <si>
    <t>전라북도 정읍시 고부면 관청길 114</t>
  </si>
  <si>
    <t>고부초등학교</t>
  </si>
  <si>
    <t>전라북도 정읍시 고부면 교동3길 14</t>
  </si>
  <si>
    <t>고산고등학교</t>
  </si>
  <si>
    <t>전라북도 완주군 고산면 고산천로 551-23</t>
  </si>
  <si>
    <t>고산중학교</t>
  </si>
  <si>
    <t>전라북도 완주군 고산면 읍내3길 41</t>
  </si>
  <si>
    <t>고산초등학교</t>
  </si>
  <si>
    <t>전라북도 완주군 고산면 고산로 153</t>
  </si>
  <si>
    <t>고수초등학교</t>
  </si>
  <si>
    <t>전라북도 고창군 고수면 고수로 93</t>
  </si>
  <si>
    <t>고창고등학교</t>
  </si>
  <si>
    <t>전라북도 고창군 고창읍 모양성로 50</t>
  </si>
  <si>
    <t>고창남중학교</t>
  </si>
  <si>
    <t>전라북도 고창군 성송면 대성로 877</t>
  </si>
  <si>
    <t>고창남초등학교</t>
  </si>
  <si>
    <t>전라북도 고창군 고창읍 중거리당산로 111</t>
  </si>
  <si>
    <t>고창북고등학교</t>
  </si>
  <si>
    <t>전라북도 고창군 흥덕면 선운대로 3714-32</t>
  </si>
  <si>
    <t>고창북중학교</t>
  </si>
  <si>
    <t>전라북도 고창군 부안면 복분자로 788-141</t>
  </si>
  <si>
    <t>고창여자고등학교</t>
  </si>
  <si>
    <t>전라북도 고창군 고창읍 모양성로 95</t>
  </si>
  <si>
    <t>고창중학교</t>
  </si>
  <si>
    <t>전라북도 고창군 고창읍 보릿골로 35</t>
  </si>
  <si>
    <t>고창초등학교</t>
  </si>
  <si>
    <t>전라북도 고창군 고창읍 중앙로 259</t>
  </si>
  <si>
    <t>고척고등학교</t>
  </si>
  <si>
    <t>서울특별시 구로구 중앙로15길 162</t>
  </si>
  <si>
    <t>고척중학교</t>
  </si>
  <si>
    <t>서울특별시 구로구 중앙로3길 20</t>
  </si>
  <si>
    <t>곰소초등학교</t>
  </si>
  <si>
    <t>전라북도 부안군 진서면 작도길 7</t>
  </si>
  <si>
    <t>공덕초등학교</t>
  </si>
  <si>
    <t>전라북도 김제시 공덕면 공덕로 248</t>
  </si>
  <si>
    <t>공릉동도깨비시장</t>
    <phoneticPr fontId="18" type="noConversion"/>
  </si>
  <si>
    <t>서울시 노원구 동일로180길 53, 205호</t>
    <phoneticPr fontId="18" type="noConversion"/>
  </si>
  <si>
    <t>박다빈 전략팀장님</t>
    <phoneticPr fontId="18" type="noConversion"/>
  </si>
  <si>
    <t>010-9439-7995</t>
    <phoneticPr fontId="18" type="noConversion"/>
  </si>
  <si>
    <t>공릉중학교</t>
  </si>
  <si>
    <t>서울특별시 노원구 노원로1길 42</t>
  </si>
  <si>
    <t>공음중학교</t>
  </si>
  <si>
    <t>전라북도 고창군 공음면 공음길 74-6</t>
  </si>
  <si>
    <t>공음초등학교</t>
  </si>
  <si>
    <t>전라북도 고창군 공음면 공음길 20</t>
  </si>
  <si>
    <t>공항고등학교</t>
  </si>
  <si>
    <t>서울특별시 강서구 방화대로34길 43</t>
  </si>
  <si>
    <t>공항중학교</t>
  </si>
  <si>
    <t>서울특별시 강서구 방화대로 241</t>
  </si>
  <si>
    <t>관악고등학교</t>
  </si>
  <si>
    <t>서울특별시 영등포구 영등포로6길 26</t>
  </si>
  <si>
    <t>관악중학교</t>
  </si>
  <si>
    <t>서울특별시 관악구 남부순환로237길 60</t>
  </si>
  <si>
    <t>관촌중학교</t>
  </si>
  <si>
    <t>전라북도 임실군 관촌면 사선10길 23</t>
  </si>
  <si>
    <t>관촌초등학교</t>
  </si>
  <si>
    <t>전라북도 임실군 관촌면 사선6길 11</t>
  </si>
  <si>
    <t>광남고등학교</t>
  </si>
  <si>
    <t>서울특별시 광진구 아차산로70길 17-16</t>
  </si>
  <si>
    <t>광남중학교</t>
  </si>
  <si>
    <t>서울특별시 광진구 아차산로70길 17-62</t>
  </si>
  <si>
    <t>광성고등학교</t>
  </si>
  <si>
    <t>서울특별시 마포구 신수로8길 20</t>
  </si>
  <si>
    <t>광성중학교</t>
  </si>
  <si>
    <t>광신고등학교</t>
  </si>
  <si>
    <t>서울특별시 관악구 광신길 141</t>
  </si>
  <si>
    <t>광신방송예술고등학교</t>
  </si>
  <si>
    <t>광신중학교</t>
  </si>
  <si>
    <t>광양고등학교</t>
  </si>
  <si>
    <t>서울특별시 광진구 자양로3가길 31</t>
  </si>
  <si>
    <t>광양중학교</t>
  </si>
  <si>
    <t>서울특별시 광진구 자양로3길 7</t>
  </si>
  <si>
    <t>광영고등학교</t>
  </si>
  <si>
    <t>서울특별시 양천구 남부순환로30길 17</t>
  </si>
  <si>
    <t>광영여자고등학교</t>
  </si>
  <si>
    <t>광운전자공업고등학교</t>
  </si>
  <si>
    <t>서울특별시 노원구 광운로1길 24</t>
  </si>
  <si>
    <t>광운중학교</t>
  </si>
  <si>
    <t>광운초등학교</t>
  </si>
  <si>
    <t>서울특별시 성북구 한천로 694</t>
  </si>
  <si>
    <t>광진중학교</t>
  </si>
  <si>
    <t>서울특별시 광진구 뚝섬로64길 45</t>
  </si>
  <si>
    <t>광활초등학교</t>
  </si>
  <si>
    <t>전라북도 김제시 광활면 광활11길 37</t>
  </si>
  <si>
    <t>광희중학교</t>
  </si>
  <si>
    <t>서울특별시 성동구 독서당로62길 46</t>
  </si>
  <si>
    <t>괴목초등학교</t>
  </si>
  <si>
    <t>전라북도 무주군 적상면 괴목로 536-4</t>
  </si>
  <si>
    <t>교암초등학교</t>
  </si>
  <si>
    <t>전라북도 정읍시 정읍사로 179</t>
  </si>
  <si>
    <t>구로고등학교</t>
  </si>
  <si>
    <t>서울특별시 구로구 가마산로27길 45</t>
  </si>
  <si>
    <t>구로중학교</t>
  </si>
  <si>
    <t>서울특별시 구로구 구로중앙로 48</t>
  </si>
  <si>
    <t>구룡중학교</t>
  </si>
  <si>
    <t>서울특별시 강남구 선릉로 103</t>
  </si>
  <si>
    <t>구림중학교</t>
  </si>
  <si>
    <t>전라북도 순창군 구림면 방화로 6</t>
  </si>
  <si>
    <t>구림초등학교</t>
  </si>
  <si>
    <t>구산중학교</t>
  </si>
  <si>
    <t>서울특별시 은평구 갈현로15길 20-23</t>
  </si>
  <si>
    <t>구암고등학교</t>
  </si>
  <si>
    <t>서울특별시 관악구 성현로 57</t>
  </si>
  <si>
    <t>신하은 선생님</t>
    <phoneticPr fontId="22" type="noConversion"/>
  </si>
  <si>
    <t>0502-4178-0383</t>
    <phoneticPr fontId="22" type="noConversion"/>
  </si>
  <si>
    <t>구의중학교</t>
  </si>
  <si>
    <t>서울특별시 광진구 광나루로30길 80</t>
  </si>
  <si>
    <t>구이중학교</t>
  </si>
  <si>
    <t>전라북도 완주군 구이면 구이로 1505</t>
  </si>
  <si>
    <t>구이초등학교</t>
  </si>
  <si>
    <t>전라북도 완주군 구이면 구이로 1357</t>
  </si>
  <si>
    <t>구일고등학교</t>
  </si>
  <si>
    <t>서울특별시 구로구 구일로 90-51</t>
  </si>
  <si>
    <t>구일중학교</t>
  </si>
  <si>
    <t>서울특별시 구로구 구일로 90-133</t>
  </si>
  <si>
    <t>구즉초등학교</t>
  </si>
  <si>
    <t>대전광역시 유성구 구룡달전로 34</t>
  </si>
  <si>
    <t>구천초등학교</t>
  </si>
  <si>
    <t>전라북도 무주군 설천면 구천동로 898</t>
  </si>
  <si>
    <t>구현고등학교</t>
  </si>
  <si>
    <t>서울특별시 구로구 경인로53가길 17</t>
  </si>
  <si>
    <t>국립국악고등학교</t>
  </si>
  <si>
    <t>서울특별시 강남구 개포로22길 65</t>
  </si>
  <si>
    <t>국립국악중학교</t>
    <phoneticPr fontId="18" type="noConversion"/>
  </si>
  <si>
    <t xml:space="preserve">서울 강남구 개포로22길 65 </t>
    <phoneticPr fontId="18" type="noConversion"/>
  </si>
  <si>
    <t>길미애 선생님</t>
    <phoneticPr fontId="18" type="noConversion"/>
  </si>
  <si>
    <t>010-3207-8414</t>
    <phoneticPr fontId="18" type="noConversion"/>
  </si>
  <si>
    <t>wtd71@sen.go.kr</t>
    <phoneticPr fontId="18" type="noConversion"/>
  </si>
  <si>
    <t>국립전통예술고등학교</t>
  </si>
  <si>
    <t>서울특별시 금천구 시흥대로38길 62</t>
  </si>
  <si>
    <t>국사봉중학교</t>
  </si>
  <si>
    <t>서울특별시 동작구 양녕로20길 20</t>
  </si>
  <si>
    <t>군산경포초등학교</t>
  </si>
  <si>
    <t>전라북도 군산시 백릉로 75</t>
  </si>
  <si>
    <t>군산고등학교</t>
  </si>
  <si>
    <t>전라북도 군산시 팔마로 177</t>
  </si>
  <si>
    <t>군산구암초등학교</t>
  </si>
  <si>
    <t>전라북도 군산시 경암3길 64-1</t>
  </si>
  <si>
    <t>군산금강중학교</t>
  </si>
  <si>
    <t>전라북도 군산시 황룡2길 61</t>
  </si>
  <si>
    <t>군산금광초등학교</t>
  </si>
  <si>
    <t>전라북도 군산시 대학로 100</t>
  </si>
  <si>
    <t>군산기계공업고등학교</t>
  </si>
  <si>
    <t>전라북도 군산시 군중길 28</t>
  </si>
  <si>
    <t>군산나운초등학교</t>
  </si>
  <si>
    <t>전라북도 군산시 신설로 50</t>
  </si>
  <si>
    <t>군산남중학교</t>
  </si>
  <si>
    <t>전라북도 군산시 대학로 222</t>
  </si>
  <si>
    <t>군산남초등학교</t>
  </si>
  <si>
    <t>전라북도 군산시 삼학7길 4</t>
  </si>
  <si>
    <t>군산내흥초등학교</t>
  </si>
  <si>
    <t>전라북도 군산시 사옥2길 33-18</t>
  </si>
  <si>
    <t>군산대성중학교</t>
  </si>
  <si>
    <t>전라북도 군산시 임피면 임피향교길 44-6</t>
  </si>
  <si>
    <t>군산동고등학교</t>
  </si>
  <si>
    <t>전라북도 군산시 달여길 50</t>
  </si>
  <si>
    <t>군산동산중학교</t>
  </si>
  <si>
    <t>전라북도 군산시 구영신창길 60-6</t>
  </si>
  <si>
    <t>군산동원중학교</t>
  </si>
  <si>
    <t>전라북도 군산시 의료원로 146</t>
  </si>
  <si>
    <t>군산동초등학교</t>
  </si>
  <si>
    <t>전라북도 군산시 번영로 181</t>
  </si>
  <si>
    <t>군산문화초등학교</t>
  </si>
  <si>
    <t>전라북도 군산시 문화안길 51</t>
  </si>
  <si>
    <t>군산미성초등학교</t>
  </si>
  <si>
    <t>전라북도 군산시 칠성2길 27</t>
  </si>
  <si>
    <t>군산미장초등학교</t>
  </si>
  <si>
    <t>전라북도 군산시 미장안길 14</t>
  </si>
  <si>
    <t>군산산북중학교</t>
  </si>
  <si>
    <t>전라북도 군산시 동아로 109</t>
  </si>
  <si>
    <t>군산산북초등학교</t>
  </si>
  <si>
    <t>전라북도 군산시 원산북2길 29</t>
  </si>
  <si>
    <t xml:space="preserve">군산산업 고등학교 </t>
  </si>
  <si>
    <t>전라북도 군산시 석치1길 17 군산상업고등학교</t>
    <phoneticPr fontId="22" type="noConversion"/>
  </si>
  <si>
    <t>보건</t>
    <phoneticPr fontId="22" type="noConversion"/>
  </si>
  <si>
    <t>010-2654-7327</t>
    <phoneticPr fontId="22" type="noConversion"/>
  </si>
  <si>
    <t>limsu4u@naver.com</t>
  </si>
  <si>
    <t>군산상업고등학교</t>
  </si>
  <si>
    <t>전라북도 군산시 석치1길 17</t>
  </si>
  <si>
    <t>군산상업고등학교</t>
    <phoneticPr fontId="22" type="noConversion"/>
  </si>
  <si>
    <t>전라북도 군산시 석치1길 17</t>
    <phoneticPr fontId="22" type="noConversion"/>
  </si>
  <si>
    <t>군산서초등학교</t>
  </si>
  <si>
    <t>전라북도 군산시 중앙로 230</t>
  </si>
  <si>
    <t>군산서해초등학교</t>
  </si>
  <si>
    <t>전라북도 군산시 의료원로 162</t>
  </si>
  <si>
    <t>군산서흥중학교</t>
  </si>
  <si>
    <t>전라북도 군산시 축동로 129</t>
  </si>
  <si>
    <t>군산수송초등학교</t>
  </si>
  <si>
    <t>전라북도 군산시 월명로 312</t>
  </si>
  <si>
    <t>군산신풍초등학교</t>
  </si>
  <si>
    <t>전라북도 군산시 하나운3길 7</t>
  </si>
  <si>
    <t>군산신흥초등학교</t>
  </si>
  <si>
    <t>전라북도 군산시 백토로 129</t>
  </si>
  <si>
    <t>군산아리울초등학교</t>
  </si>
  <si>
    <t>전라북도 군산시 수송동로 90</t>
  </si>
  <si>
    <t>군산여자고등학교</t>
  </si>
  <si>
    <t>전라북도 군산시 월명1길 16</t>
  </si>
  <si>
    <t>군산여자상업고등학교</t>
  </si>
  <si>
    <t>전라북도 군산시 신지길 42-8</t>
  </si>
  <si>
    <t>군산영광여자고등학교</t>
    <phoneticPr fontId="18" type="noConversion"/>
  </si>
  <si>
    <t>전북 군산시 둔배미길 21</t>
    <phoneticPr fontId="18" type="noConversion"/>
  </si>
  <si>
    <t>김현희 선생님</t>
    <phoneticPr fontId="18" type="noConversion"/>
  </si>
  <si>
    <t>010-6890-3246</t>
    <phoneticPr fontId="18" type="noConversion"/>
  </si>
  <si>
    <t>군산영광중학교</t>
  </si>
  <si>
    <t>전라북도 군산시 둔배미길 21</t>
  </si>
  <si>
    <t>군산용문초등학교</t>
  </si>
  <si>
    <t>전라북도 군산시 미룡로 32-8</t>
  </si>
  <si>
    <t>군산월명중학교</t>
  </si>
  <si>
    <t>전라북도 군산시 설림5길 90</t>
  </si>
  <si>
    <t>군산월명초등학교</t>
  </si>
  <si>
    <t>전라북도 군산시 수송동로 24</t>
  </si>
  <si>
    <t>군산자양중학교</t>
  </si>
  <si>
    <t>전라북도 군산시 옥구읍 우치산3길 40</t>
  </si>
  <si>
    <t>군산제일고등학교</t>
  </si>
  <si>
    <t>전라북도 군산시 경기장로 142</t>
  </si>
  <si>
    <t>군산제일중학교</t>
    <phoneticPr fontId="22" type="noConversion"/>
  </si>
  <si>
    <t>전라북도 군산시 경기장로 142</t>
    <phoneticPr fontId="22" type="noConversion"/>
  </si>
  <si>
    <t>박재형 선생님</t>
    <phoneticPr fontId="22" type="noConversion"/>
  </si>
  <si>
    <t>010-2992-4422</t>
    <phoneticPr fontId="22" type="noConversion"/>
  </si>
  <si>
    <t>군산중앙고등학교</t>
  </si>
  <si>
    <t>전라북도 군산시 성산면 군장대길 13</t>
  </si>
  <si>
    <t>군산중앙여자고등학교</t>
  </si>
  <si>
    <t>전라북도 군산시 축동2길 27</t>
  </si>
  <si>
    <t>군산중앙중학교</t>
  </si>
  <si>
    <t>군산중앙초등학교</t>
  </si>
  <si>
    <t>전라북도 군산시 중앙로 91</t>
  </si>
  <si>
    <t>군산중학교</t>
  </si>
  <si>
    <t>전라북도 군산시 군중길 18</t>
  </si>
  <si>
    <t>군산지곡초등학교</t>
  </si>
  <si>
    <t>전라북도 군산시 신지길 26</t>
  </si>
  <si>
    <t>군산진포중학교</t>
  </si>
  <si>
    <t>전라북도 군산시 진포3길 66</t>
  </si>
  <si>
    <t>군산진포초등학교</t>
  </si>
  <si>
    <t>전라북도 군산시 나운안길 54</t>
  </si>
  <si>
    <t>군산초등학교</t>
  </si>
  <si>
    <t>전라북도 군산시 지곡로 68</t>
  </si>
  <si>
    <t>군산푸른솔초등학교</t>
  </si>
  <si>
    <t>전라북도 군산시 축동로 20</t>
  </si>
  <si>
    <t>군산풍문초등학교</t>
  </si>
  <si>
    <t>전라북도 군산시 풍마길 22</t>
  </si>
  <si>
    <t>군산흥남초등학교</t>
  </si>
  <si>
    <t>전라북도 군산시 서흥안2길 20</t>
  </si>
  <si>
    <t>금과초등학교</t>
  </si>
  <si>
    <t>전라북도 순창군 금과면 신매우1길 11</t>
  </si>
  <si>
    <t>금구중학교</t>
  </si>
  <si>
    <t>전라북도 김제시 금구면 금구로 40</t>
  </si>
  <si>
    <t>금구초등학교</t>
  </si>
  <si>
    <t>금남초등학교</t>
  </si>
  <si>
    <t>전라북도 김제시 금산면 송율길 239-8</t>
  </si>
  <si>
    <t>금마초등학교</t>
  </si>
  <si>
    <t>전라북도 익산시 금마면 금마4길 38</t>
  </si>
  <si>
    <t>금산초등학교</t>
  </si>
  <si>
    <t>전라북도 김제시 금산면 모악로 383</t>
  </si>
  <si>
    <t>금성여자중학교</t>
  </si>
  <si>
    <t>전라북도 김제시 금성5길 19</t>
  </si>
  <si>
    <t>금성초등학교</t>
  </si>
  <si>
    <t>서울특별시 중랑구 신내로21길 55</t>
  </si>
  <si>
    <t>금암초등학교</t>
  </si>
  <si>
    <t>전라북도 군산시 서수면 황등서로 351-8</t>
  </si>
  <si>
    <t>금옥여자고등학교</t>
    <phoneticPr fontId="18" type="noConversion"/>
  </si>
  <si>
    <t xml:space="preserve">서울 양천구 신정로 213 </t>
    <phoneticPr fontId="18" type="noConversion"/>
  </si>
  <si>
    <t>박용규 선생님</t>
    <phoneticPr fontId="18" type="noConversion"/>
  </si>
  <si>
    <t>010-7238-9944</t>
    <phoneticPr fontId="18" type="noConversion"/>
  </si>
  <si>
    <t>pisland0709@sen.go.kr</t>
    <phoneticPr fontId="18" type="noConversion"/>
  </si>
  <si>
    <t>금옥중학교</t>
  </si>
  <si>
    <t>서울특별시 양천구 신정로 213</t>
  </si>
  <si>
    <t>금지동초등학교</t>
  </si>
  <si>
    <t>전라북도 남원시 금지면 금지순환길 888-10</t>
  </si>
  <si>
    <t>금지중학교</t>
  </si>
  <si>
    <t>전라북도 남원시 금지면 요천로 443-9</t>
  </si>
  <si>
    <t>금지초등학교</t>
  </si>
  <si>
    <t>전라북도 남원시 금지면 택내길 36-37</t>
  </si>
  <si>
    <t>금천고등학교</t>
  </si>
  <si>
    <t>서울특별시 금천구 시흥대로38길 26</t>
  </si>
  <si>
    <t>금호고등학교</t>
  </si>
  <si>
    <t>서울특별시 성동구 금호로 118</t>
  </si>
  <si>
    <t>금호마린테크</t>
    <phoneticPr fontId="22" type="noConversion"/>
  </si>
  <si>
    <t>부산광역시 남구 지게골로 50</t>
    <phoneticPr fontId="22" type="noConversion"/>
  </si>
  <si>
    <t>백운식 대표님</t>
    <phoneticPr fontId="22" type="noConversion"/>
  </si>
  <si>
    <t>ggt8411@naver.com</t>
    <phoneticPr fontId="22" type="noConversion"/>
  </si>
  <si>
    <t>금호여자중학교</t>
  </si>
  <si>
    <t>서울특별시 중구 청구로 6</t>
  </si>
  <si>
    <t>기성중학교</t>
  </si>
  <si>
    <t>대전광역시 서구 장안로 54</t>
  </si>
  <si>
    <t>기성초등학교</t>
  </si>
  <si>
    <t>대전광역시 서구 기성초교길 42</t>
  </si>
  <si>
    <t>기성초등학교길헌분교장</t>
  </si>
  <si>
    <t>대전광역시 서구 당고개길 48</t>
  </si>
  <si>
    <t>길동초</t>
  </si>
  <si>
    <t>서울 강동구 양재대로116길 69 (길동, 길동초등학교)</t>
  </si>
  <si>
    <t>길음중학교</t>
  </si>
  <si>
    <t>서울특별시 성북구 길음로 144</t>
  </si>
  <si>
    <t>김제검산초등학교</t>
  </si>
  <si>
    <t>전라북도 김제시 도작로 122</t>
  </si>
  <si>
    <t>김제고등학교</t>
  </si>
  <si>
    <t>전라북도 김제시 남북2길 25</t>
  </si>
  <si>
    <t>김제농생명마이스터고등학교</t>
  </si>
  <si>
    <t>전라북도 김제시 남북9길 23</t>
  </si>
  <si>
    <t>김제동초등학교</t>
  </si>
  <si>
    <t>전라북도 김제시 중앙13길 18</t>
  </si>
  <si>
    <t>김제북초등학교</t>
  </si>
  <si>
    <t>전라북도 김제시 콩쥐팥쥐로 306-56</t>
  </si>
  <si>
    <t>김제서고등학교</t>
  </si>
  <si>
    <t>전라북도 김제시 죽산면 해학로 17</t>
  </si>
  <si>
    <t>김제여자고등학교</t>
  </si>
  <si>
    <t>전라북도 김제시 중앙로 193</t>
  </si>
  <si>
    <t>김제여자중학교</t>
  </si>
  <si>
    <t>전라북도 김제시 중앙로 137</t>
  </si>
  <si>
    <t>김제자영고등학교농업계공동실습소</t>
  </si>
  <si>
    <t>전라북도 김제시 백산면 상동로 109</t>
  </si>
  <si>
    <t>김제중앙중학교</t>
  </si>
  <si>
    <t>전라북도 김제시 남북9길 52</t>
  </si>
  <si>
    <t>김제중앙초등학교</t>
  </si>
  <si>
    <t>전라북도 김제시 동서로 193</t>
  </si>
  <si>
    <t>김제중학교</t>
  </si>
  <si>
    <t>전라북도 김제시 중앙로 274</t>
  </si>
  <si>
    <t>김제초등학교</t>
  </si>
  <si>
    <t>전라북도 김제시 서낭당길 31</t>
  </si>
  <si>
    <t>나눔세상</t>
    <phoneticPr fontId="18" type="noConversion"/>
  </si>
  <si>
    <t xml:space="preserve">광주광역시 북구 하서로 215 </t>
    <phoneticPr fontId="18" type="noConversion"/>
  </si>
  <si>
    <t>김누리 주임님</t>
    <phoneticPr fontId="18" type="noConversion"/>
  </si>
  <si>
    <t>010-5483-4484</t>
    <phoneticPr fontId="18" type="noConversion"/>
  </si>
  <si>
    <t>sales@naumworld.kr</t>
    <phoneticPr fontId="18" type="noConversion"/>
  </si>
  <si>
    <t>나포중학교</t>
  </si>
  <si>
    <t>전라북도 군산시 나포면 등동1길 6-5</t>
  </si>
  <si>
    <t>나포초등학교</t>
  </si>
  <si>
    <t>전라북도 군산시 나포면 교동1길 23</t>
  </si>
  <si>
    <t>난곡중학교</t>
  </si>
  <si>
    <t>서울특별시 금천구 문성로 67</t>
  </si>
  <si>
    <t>난산초등학교</t>
  </si>
  <si>
    <t>전라북도 김제시 백구면 금백로 1213</t>
  </si>
  <si>
    <t>난우중학교</t>
  </si>
  <si>
    <t>남강고등학교</t>
  </si>
  <si>
    <t>서울특별시 관악구 난곡로34길 80</t>
  </si>
  <si>
    <t>남강중학교</t>
  </si>
  <si>
    <t>남관초등학교</t>
  </si>
  <si>
    <t>전라북도 완주군 상관면 마자길 7</t>
  </si>
  <si>
    <t>남대문중학교</t>
  </si>
  <si>
    <t>서울특별시 성북구 한천로 660-30</t>
  </si>
  <si>
    <t>남대전고등학교</t>
  </si>
  <si>
    <t>대전광역시 중구 보문로 111번길 63</t>
  </si>
  <si>
    <t>남서울중학교</t>
  </si>
  <si>
    <t>서울특별시 관악구 남부순환로172길 97</t>
  </si>
  <si>
    <t>남선초등학교</t>
  </si>
  <si>
    <t>대전광역시 유성구 계백로93번길 277-29</t>
  </si>
  <si>
    <t>남성고등학교</t>
  </si>
  <si>
    <t>전라북도 익산시 동서로35길 41</t>
  </si>
  <si>
    <t>남성중학교</t>
  </si>
  <si>
    <t>서울특별시 동작구 남부순환로269길 166</t>
  </si>
  <si>
    <t>남양초등학교</t>
  </si>
  <si>
    <t>전라북도 김제시 황산면 남산로 366</t>
  </si>
  <si>
    <t>남원고등학교</t>
  </si>
  <si>
    <t>전라북도 남원시 만인로 43</t>
  </si>
  <si>
    <t>남원교룡초등학교</t>
  </si>
  <si>
    <t>전라북도 남원시 광천남길 654</t>
  </si>
  <si>
    <t>남원국악예술고등학교</t>
  </si>
  <si>
    <t>전라북도 남원시 용성로 323</t>
  </si>
  <si>
    <t>남원노암초등학교</t>
  </si>
  <si>
    <t>전라북도 남원시 여수길 14</t>
  </si>
  <si>
    <t>남원대산초등학교</t>
  </si>
  <si>
    <t>전라북도 남원시 대산면 운교1길 10</t>
  </si>
  <si>
    <t>남원도통초등학교</t>
  </si>
  <si>
    <t>전라북도 남원시 대교2길 22</t>
  </si>
  <si>
    <t>남원서원초등학교</t>
  </si>
  <si>
    <t>전라북도 남원시 대산면 남문로 109</t>
  </si>
  <si>
    <t>남원서진여자고등학교</t>
  </si>
  <si>
    <t>전라북도 남원시 낙현길 17-14</t>
  </si>
  <si>
    <t>남원여자고등학교</t>
  </si>
  <si>
    <t>전라북도 남원시 광천북길 229-11</t>
  </si>
  <si>
    <t>남원왕치초등학교</t>
  </si>
  <si>
    <t>전라북도 남원시 박달길 37</t>
  </si>
  <si>
    <t>남원용성고등학교</t>
  </si>
  <si>
    <t>전라북도 남원시 농고길 41</t>
  </si>
  <si>
    <t>남원용성중학교</t>
  </si>
  <si>
    <t>전라북도 남원시 춘향로 73</t>
  </si>
  <si>
    <t>남원용성초등학교</t>
  </si>
  <si>
    <t>전라북도 남원시 용성로 29</t>
  </si>
  <si>
    <t>남원월락초등학교</t>
  </si>
  <si>
    <t>전라북도 남원시 용성로 321</t>
  </si>
  <si>
    <t>남원제일고등학교</t>
  </si>
  <si>
    <t>전라북도 남원시 노송로 1206</t>
  </si>
  <si>
    <t>남원중앙초등학교</t>
  </si>
  <si>
    <t>전라북도 남원시 동림로 36</t>
  </si>
  <si>
    <t>남원중학교</t>
  </si>
  <si>
    <t>전라북도 남원시 만인로 41-51</t>
  </si>
  <si>
    <t>남원초등학교</t>
  </si>
  <si>
    <t>전라북도 남원시 가방뜰길 18</t>
  </si>
  <si>
    <t>남원하늘중학교</t>
  </si>
  <si>
    <t>전라북도 남원시 동헌길 75</t>
  </si>
  <si>
    <t>남원한빛중학교</t>
  </si>
  <si>
    <t>전라북도 남원시 용성로 299</t>
  </si>
  <si>
    <t>낭산초등학교</t>
  </si>
  <si>
    <t>전라북도 익산시 낭산면 우신길 142</t>
  </si>
  <si>
    <t>내곡중학교</t>
  </si>
  <si>
    <t>서울특별시 서초구 청계산로7길 9-20</t>
  </si>
  <si>
    <t>내장초등학교</t>
  </si>
  <si>
    <t>전라북도 정읍시 대석1길 13-4</t>
  </si>
  <si>
    <t>넘버에이스</t>
  </si>
  <si>
    <t>넷</t>
    <phoneticPr fontId="18" type="noConversion"/>
  </si>
  <si>
    <t>경기도 부천시 평천로 655 부천테크노파크 401동 703호</t>
    <phoneticPr fontId="18" type="noConversion"/>
  </si>
  <si>
    <t>김명우 팀장님</t>
    <phoneticPr fontId="18" type="noConversion"/>
  </si>
  <si>
    <t>010-9229-7623</t>
    <phoneticPr fontId="18" type="noConversion"/>
  </si>
  <si>
    <t>rawild@naver.com</t>
    <phoneticPr fontId="18" type="noConversion"/>
  </si>
  <si>
    <t>세븐전자에서 판매</t>
    <phoneticPr fontId="18" type="noConversion"/>
  </si>
  <si>
    <t>노곡중학교</t>
  </si>
  <si>
    <t>서울특별시 도봉구 노해로70길 95</t>
  </si>
  <si>
    <t>노원고등학교</t>
  </si>
  <si>
    <t>서울특별시 노원구 노원로 586</t>
  </si>
  <si>
    <t>노원중학교</t>
  </si>
  <si>
    <t>서울특별시 노원구 동일로213길 26</t>
  </si>
  <si>
    <t>노일중학교</t>
  </si>
  <si>
    <t>서울특별시 노원구 동일로231길 24</t>
  </si>
  <si>
    <t>노테그</t>
    <phoneticPr fontId="18" type="noConversion"/>
  </si>
  <si>
    <t>임지훈</t>
    <phoneticPr fontId="18" type="noConversion"/>
  </si>
  <si>
    <t>010-4730-9498</t>
    <phoneticPr fontId="18" type="noConversion"/>
  </si>
  <si>
    <t xml:space="preserve">bassianokr@gmail.com </t>
    <phoneticPr fontId="18" type="noConversion"/>
  </si>
  <si>
    <t>녹천중학교</t>
  </si>
  <si>
    <t>서울특별시 노원구 월계로 376</t>
  </si>
  <si>
    <t>녹천초등학교</t>
    <phoneticPr fontId="18" type="noConversion"/>
  </si>
  <si>
    <t>보건선생님</t>
    <phoneticPr fontId="18" type="noConversion"/>
  </si>
  <si>
    <t>누원고등학교</t>
  </si>
  <si>
    <t>서울특별시 도봉구 마들로 849</t>
  </si>
  <si>
    <t>능교초등학교</t>
  </si>
  <si>
    <t>전라북도 정읍시 산내면 능교3길 13-5</t>
  </si>
  <si>
    <t>다송초등학교</t>
  </si>
  <si>
    <t>전라북도 익산시 함열읍 익산대로 1351</t>
  </si>
  <si>
    <t>다알시스</t>
    <phoneticPr fontId="22" type="noConversion"/>
  </si>
  <si>
    <t>경기도 수원시 영통구 광교로 145, 에이동 13층 1324</t>
    <phoneticPr fontId="22" type="noConversion"/>
  </si>
  <si>
    <t>함재성 차장님</t>
  </si>
  <si>
    <t>010-9737-5458</t>
  </si>
  <si>
    <t>jasonplaying@naver.com</t>
  </si>
  <si>
    <t>다정</t>
    <phoneticPr fontId="18" type="noConversion"/>
  </si>
  <si>
    <t>김흥선 부사장님</t>
    <phoneticPr fontId="18" type="noConversion"/>
  </si>
  <si>
    <t>단국대학교부속소프트웨어고등학교</t>
  </si>
  <si>
    <t>서울특별시 강남구 도곡로64길 21</t>
  </si>
  <si>
    <t>단국대학교사범대학부속고등학교</t>
  </si>
  <si>
    <t>단국대학교사범대학부속중학교</t>
  </si>
  <si>
    <t>당곡고등학교</t>
  </si>
  <si>
    <t>서울특별시 관악구 봉천로21길 108</t>
  </si>
  <si>
    <t>당곡중학교</t>
  </si>
  <si>
    <t>서울특별시 관악구 봉천로13길 101</t>
  </si>
  <si>
    <t>당북초등학교</t>
  </si>
  <si>
    <t>전라북도 군산시 옥산면 백석로 40</t>
  </si>
  <si>
    <t>당산서중학교</t>
  </si>
  <si>
    <t>서울특별시 영등포구 당산로41길 12</t>
  </si>
  <si>
    <t>당산중학교</t>
  </si>
  <si>
    <t>서울특별시 영등포구 버드나루로 160</t>
  </si>
  <si>
    <t>대강중학교</t>
  </si>
  <si>
    <t>전라북도 남원시 대강면 금탄로 512-16</t>
  </si>
  <si>
    <t>대강초등학교</t>
  </si>
  <si>
    <t>전라북도 남원시 대강면 섬진로 852</t>
  </si>
  <si>
    <t>대경상업고등학교</t>
  </si>
  <si>
    <t>서울특별시 중구 매봉18길 111</t>
  </si>
  <si>
    <t>대경중학교</t>
  </si>
  <si>
    <t>대광고등학교</t>
  </si>
  <si>
    <t>서울특별시 동대문구 안암로 6</t>
  </si>
  <si>
    <t>대광중학교</t>
  </si>
  <si>
    <t>대광초등학교</t>
  </si>
  <si>
    <t>서울특별시 성북구 안암로 5</t>
  </si>
  <si>
    <t>대덕고등학교</t>
  </si>
  <si>
    <t>대전광역시 유성구 대덕대로556번길 158</t>
  </si>
  <si>
    <t>대덕소프트웨어마이스터고등학교</t>
  </si>
  <si>
    <t>대전광역시 유성구 가정북로 76</t>
  </si>
  <si>
    <t>대덕중학교</t>
  </si>
  <si>
    <t>대전광역시 유성구 대덕대로 515</t>
  </si>
  <si>
    <t>대덕초등학교</t>
  </si>
  <si>
    <t>전라북도 완주군 구이면 구이로 641</t>
  </si>
  <si>
    <t>대덕초등학교도룡분교장</t>
  </si>
  <si>
    <t>대전광역시 유성구 엑스포로97번길 100</t>
  </si>
  <si>
    <t>대동세무고등학교</t>
  </si>
  <si>
    <t>서울특별시 종로구 계동길 84-10</t>
  </si>
  <si>
    <t>대륭시스템즈</t>
  </si>
  <si>
    <t>경상남도 진주시 정촌면 진주대로 379번길27</t>
  </si>
  <si>
    <t>김민석 이사님</t>
  </si>
  <si>
    <t>010-4580-6262</t>
  </si>
  <si>
    <t>대리초등학교</t>
  </si>
  <si>
    <t>전라북도 임실군 신평면 대리로 187</t>
  </si>
  <si>
    <t>대림중학교</t>
  </si>
  <si>
    <t>서울특별시 영등포구 시흥대로185길 6</t>
  </si>
  <si>
    <t>대명중학교</t>
  </si>
  <si>
    <t>서울특별시 강남구 역삼로87길 26</t>
  </si>
  <si>
    <t>대방중학교</t>
  </si>
  <si>
    <t>서울특별시 동작구 여의대방로10길 24</t>
  </si>
  <si>
    <t>대산초등학교</t>
  </si>
  <si>
    <t>전라북도 고창군 대산면 장자산로 669</t>
  </si>
  <si>
    <t>대성고등학교</t>
  </si>
  <si>
    <t>서울특별시 은평구 갈현로29길 51-24</t>
  </si>
  <si>
    <t>대성중학교</t>
  </si>
  <si>
    <t>대신고등학교</t>
  </si>
  <si>
    <t>서울특별시 종로구 사직로 9</t>
  </si>
  <si>
    <t>대신과학상사</t>
    <phoneticPr fontId="18" type="noConversion"/>
  </si>
  <si>
    <t>대전광역시 대덕구 대화로 160 산업용재유통상가 8동 230호</t>
    <phoneticPr fontId="18" type="noConversion"/>
  </si>
  <si>
    <t>정지섭님</t>
    <phoneticPr fontId="18" type="noConversion"/>
  </si>
  <si>
    <t>010-5451-8788</t>
    <phoneticPr fontId="18" type="noConversion"/>
  </si>
  <si>
    <t>daeshin670@naver.com</t>
    <phoneticPr fontId="18" type="noConversion"/>
  </si>
  <si>
    <t>대신중학교</t>
  </si>
  <si>
    <t>대아초등학교</t>
  </si>
  <si>
    <t>전라북도 고창군 아산면 녹두로 776</t>
  </si>
  <si>
    <t>대야남초등학교</t>
  </si>
  <si>
    <t>전라북도 군산시 대야면 남군산로 116</t>
  </si>
  <si>
    <t>대야초등학교</t>
  </si>
  <si>
    <t>전라북도 군산시 대야면 대야관통로 141-13</t>
  </si>
  <si>
    <t>대야초등학교광산분교장</t>
  </si>
  <si>
    <t>전라북도 군산시 대야면 번영로 1421</t>
  </si>
  <si>
    <t>대영고등학교</t>
  </si>
  <si>
    <t>서울특별시 영등포구 도림로86길 16</t>
  </si>
  <si>
    <t>대영유비텍</t>
    <phoneticPr fontId="18" type="noConversion"/>
  </si>
  <si>
    <t>서울특별시 영등포구 문래동 3가 55-20</t>
    <phoneticPr fontId="18" type="noConversion"/>
  </si>
  <si>
    <t>김도원 부장님</t>
    <phoneticPr fontId="18" type="noConversion"/>
  </si>
  <si>
    <t>070-7432-3000</t>
    <phoneticPr fontId="18" type="noConversion"/>
  </si>
  <si>
    <t>powerfly123@daum.net</t>
    <phoneticPr fontId="18" type="noConversion"/>
  </si>
  <si>
    <t>설계업체, 후방중요시설 3차</t>
    <phoneticPr fontId="18" type="noConversion"/>
  </si>
  <si>
    <t>대영중학교</t>
  </si>
  <si>
    <t>서울특별시 영등포구 도림로80가길 14</t>
  </si>
  <si>
    <t>대왕중학교</t>
  </si>
  <si>
    <t>서울특별시 강남구 광평로20길 7</t>
  </si>
  <si>
    <t>대원고등학교</t>
  </si>
  <si>
    <t>서울특별시 광진구 용마산로22길 26</t>
  </si>
  <si>
    <t>대원국제중학교</t>
  </si>
  <si>
    <t>대원여자고등학교</t>
  </si>
  <si>
    <t>대원외국어고등학교</t>
  </si>
  <si>
    <t>대유플러스</t>
    <phoneticPr fontId="18" type="noConversion"/>
  </si>
  <si>
    <t>경기도 성남시 중원구 둔촌대로 509</t>
    <phoneticPr fontId="18" type="noConversion"/>
  </si>
  <si>
    <t>장성삼 부장</t>
    <phoneticPr fontId="18" type="noConversion"/>
  </si>
  <si>
    <t>031-737-7141</t>
    <phoneticPr fontId="18" type="noConversion"/>
  </si>
  <si>
    <t>jangha10@dayou.co.kr</t>
    <phoneticPr fontId="18" type="noConversion"/>
  </si>
  <si>
    <t>대은초등학교</t>
    <phoneticPr fontId="18" type="noConversion"/>
  </si>
  <si>
    <t>서울시 은평구 통일로 69길 12-15</t>
    <phoneticPr fontId="18" type="noConversion"/>
  </si>
  <si>
    <t>이수연 선생님</t>
    <phoneticPr fontId="18" type="noConversion"/>
  </si>
  <si>
    <t>02-388-0833-119</t>
    <phoneticPr fontId="18" type="noConversion"/>
  </si>
  <si>
    <t>대일고등학교</t>
  </si>
  <si>
    <t>서울특별시 강서구 등촌로 105</t>
  </si>
  <si>
    <t>대일관광고등학교</t>
  </si>
  <si>
    <t>서울특별시 양천구 신정이펜1로 11</t>
  </si>
  <si>
    <t>대일외국어고등학교</t>
  </si>
  <si>
    <t>서울특별시 성북구 서경로 116</t>
  </si>
  <si>
    <t>대장유치원</t>
    <phoneticPr fontId="18" type="noConversion"/>
  </si>
  <si>
    <t>hjlee1224@naver.com</t>
    <phoneticPr fontId="18" type="noConversion"/>
  </si>
  <si>
    <t>대전 교육지원청 시연</t>
  </si>
  <si>
    <t>대전가양중학교</t>
  </si>
  <si>
    <t>대전광역시 동구 비래서로62번길 100</t>
  </si>
  <si>
    <t>대전가양초등학교</t>
  </si>
  <si>
    <t>대전광역시 동구 가양로 61</t>
  </si>
  <si>
    <t>대전가오고등학교</t>
  </si>
  <si>
    <t>대전광역시 동구 신기로 71</t>
  </si>
  <si>
    <t>대전가오중학교</t>
  </si>
  <si>
    <t>대전광역시 동구 은어송로 79</t>
  </si>
  <si>
    <t>대전가오초등학교</t>
  </si>
  <si>
    <t>대전광역시 동구 신기로 112</t>
  </si>
  <si>
    <t>대전가장초등학교</t>
  </si>
  <si>
    <t>대전광역시 서구 가장로 150</t>
  </si>
  <si>
    <t>대전갈마초등학교</t>
  </si>
  <si>
    <t>대전광역시 서구 월평동로 2</t>
  </si>
  <si>
    <t>대전갑천중학교</t>
  </si>
  <si>
    <t>대전광역시 서구 월평동로 80</t>
  </si>
  <si>
    <t>대전갑천초등학교</t>
    <phoneticPr fontId="18" type="noConversion"/>
  </si>
  <si>
    <t>대전광역시 서구 월평동로 61</t>
    <phoneticPr fontId="18" type="noConversion"/>
  </si>
  <si>
    <t>보건 선생님</t>
    <phoneticPr fontId="18" type="noConversion"/>
  </si>
  <si>
    <t>010-8071-0618</t>
    <phoneticPr fontId="18" type="noConversion"/>
  </si>
  <si>
    <t>대전경덕중학교</t>
  </si>
  <si>
    <t>대전광역시 대덕구 동산초교로63번길 12</t>
  </si>
  <si>
    <t>대전계산초등학교</t>
  </si>
  <si>
    <t>대전광역시 유성구 학하서로 74</t>
  </si>
  <si>
    <t>대전고등학교</t>
  </si>
  <si>
    <t>대전광역시 중구 대흥로 110</t>
  </si>
  <si>
    <t>대전공업고등학교</t>
  </si>
  <si>
    <t>대전광역시 유성구 진잠로42번길 35</t>
  </si>
  <si>
    <t>대전과학고등학교</t>
  </si>
  <si>
    <t>대전광역시 유성구 과학로 46</t>
  </si>
  <si>
    <t>대전관저고등학교</t>
  </si>
  <si>
    <t>대전광역시 서구 관저북로 94</t>
  </si>
  <si>
    <t>대전관저중학교</t>
  </si>
  <si>
    <t>대전광역시 서구 관저동로 143</t>
  </si>
  <si>
    <t>대전관저초등학교</t>
  </si>
  <si>
    <t>대전광역시 서구 관저동로 161</t>
  </si>
  <si>
    <t>대전관평중학교</t>
  </si>
  <si>
    <t>대전광역시 유성구 테크노4로 132</t>
  </si>
  <si>
    <t>대전관평초등학교</t>
  </si>
  <si>
    <t>대전괴정고등학교</t>
  </si>
  <si>
    <t>대전광역시 서구 가장로 15</t>
  </si>
  <si>
    <t>대전괴정중학교</t>
  </si>
  <si>
    <t>대전교육청</t>
    <phoneticPr fontId="18" type="noConversion"/>
  </si>
  <si>
    <t>kksun1204@korea.kr</t>
    <phoneticPr fontId="18" type="noConversion"/>
  </si>
  <si>
    <t>대전교촌초등학교</t>
  </si>
  <si>
    <t>대전광역시 유성구 진잠로149번길 42</t>
  </si>
  <si>
    <t>대전구봉고등학교</t>
  </si>
  <si>
    <t>대전광역시 서구 관저서로 36</t>
  </si>
  <si>
    <t>대전구봉중학교</t>
  </si>
  <si>
    <t>대전광역시 서구 관저서로 86</t>
  </si>
  <si>
    <t>대전구봉초등학교</t>
    <phoneticPr fontId="18" type="noConversion"/>
  </si>
  <si>
    <t>대전광역시 서루 관저로 75</t>
    <phoneticPr fontId="18" type="noConversion"/>
  </si>
  <si>
    <t>오우진 선생님</t>
    <phoneticPr fontId="18" type="noConversion"/>
  </si>
  <si>
    <t>042-520-3803</t>
    <phoneticPr fontId="18" type="noConversion"/>
  </si>
  <si>
    <t>대전국제통상고등학교</t>
  </si>
  <si>
    <t>대전광역시 중구 서문로 47</t>
  </si>
  <si>
    <t>대전글꽃중학교</t>
  </si>
  <si>
    <t>대전광역시 중구 계룡로918번길 103</t>
  </si>
  <si>
    <t>대전글꽃초등학교</t>
  </si>
  <si>
    <t>대전광역시 중구 계룡로918번길 97</t>
  </si>
  <si>
    <t>대전금동초등학교</t>
  </si>
  <si>
    <t>대전광역시 서구 관저로 45</t>
  </si>
  <si>
    <t>보건 선생님</t>
    <phoneticPr fontId="22" type="noConversion"/>
  </si>
  <si>
    <t>010-2822-2192</t>
    <phoneticPr fontId="22" type="noConversion"/>
  </si>
  <si>
    <t>대전남선중학교</t>
  </si>
  <si>
    <t>대전광역시 서구 월평북로 41</t>
  </si>
  <si>
    <t>대전내동중학교</t>
  </si>
  <si>
    <t>대전광역시 서구 배재로 263</t>
  </si>
  <si>
    <t>대전내동초등학교</t>
  </si>
  <si>
    <t>대전광역시 서구 동서대로1063번길 13</t>
  </si>
  <si>
    <t>대전노은고등학교</t>
  </si>
  <si>
    <t>대전광역시 유성구 노은동로 99</t>
  </si>
  <si>
    <t>대전노은중학교</t>
  </si>
  <si>
    <t>대전광역시 유성구 노은동로 104</t>
  </si>
  <si>
    <t>대전노은초등학교</t>
  </si>
  <si>
    <t>대전광역시 유성구 노은동로99번길 35</t>
  </si>
  <si>
    <t>대전느리울중학교</t>
  </si>
  <si>
    <t>대전광역시 서구 관저중로64번길 84</t>
  </si>
  <si>
    <t>대전느리울초등학교</t>
  </si>
  <si>
    <t>대전광역시 서구 관저로 196</t>
  </si>
  <si>
    <t>대전대동초등학교</t>
  </si>
  <si>
    <t>대전광역시 동구 대동초등3길 21</t>
  </si>
  <si>
    <t>대전대룡초등학교</t>
  </si>
  <si>
    <t>대전광역시 동구 백룡로 123</t>
  </si>
  <si>
    <t>대전대문중학교</t>
  </si>
  <si>
    <t>대전광역시 중구 송리로 33</t>
  </si>
  <si>
    <t>대전대문초등학교</t>
  </si>
  <si>
    <t>대전광역시 중구 송리로 11</t>
  </si>
  <si>
    <t>대전대성고등학교</t>
  </si>
  <si>
    <t>대전광역시 중구 목동로 23</t>
  </si>
  <si>
    <t>대전대성여자고등학교</t>
  </si>
  <si>
    <t>대전광역시 동구 대성2길 20</t>
  </si>
  <si>
    <t>대전대성여자중학교</t>
  </si>
  <si>
    <t>대전대성중학교</t>
  </si>
  <si>
    <t>대전대신고등학교</t>
  </si>
  <si>
    <t>대전광역시 서구 오량1길 98</t>
  </si>
  <si>
    <t>대전대신중학교</t>
  </si>
  <si>
    <t>대전대신초등학교</t>
  </si>
  <si>
    <t>대전광역시 중구 솔밭로 16</t>
  </si>
  <si>
    <t>대전대암초등학교</t>
  </si>
  <si>
    <t>대전광역시 동구 동부로 55-61</t>
  </si>
  <si>
    <t>대전대양초등학교</t>
  </si>
  <si>
    <t>대전광역시 대덕구 송촌로 67</t>
  </si>
  <si>
    <t>대전대정초등학교</t>
  </si>
  <si>
    <t>대전광역시 유성구 대정로28번길 55</t>
  </si>
  <si>
    <t>대전대청중학교</t>
  </si>
  <si>
    <t>대전광역시 대덕구 신탄진동로 81</t>
  </si>
  <si>
    <t>대전대화중학교</t>
  </si>
  <si>
    <t>대전광역시 대덕구 대오길 9</t>
  </si>
  <si>
    <t>대전대화초등학교</t>
  </si>
  <si>
    <t>대전광역시 대덕구 대화로 242-36</t>
  </si>
  <si>
    <t>대전대흥초등학교</t>
  </si>
  <si>
    <t>대전광역시 중구 수도산로 12</t>
  </si>
  <si>
    <t>대전덕명중학교</t>
  </si>
  <si>
    <t>대전광역시 유성구 학하중앙로 61</t>
  </si>
  <si>
    <t>대전도마중학교</t>
  </si>
  <si>
    <t>대전광역시 서구 도솔2길 22</t>
  </si>
  <si>
    <t>대전도마초등학교</t>
  </si>
  <si>
    <t>대전광역시 서구 배재로172번길 23</t>
  </si>
  <si>
    <t>대전도솔초등학교</t>
  </si>
  <si>
    <t>대전광역시 서구 원도안로 80</t>
  </si>
  <si>
    <t>대전도안고등학교</t>
  </si>
  <si>
    <t>대전광역시 유성구 원신흥남로 51</t>
  </si>
  <si>
    <t>대전도안중학교</t>
    <phoneticPr fontId="18" type="noConversion"/>
  </si>
  <si>
    <t>대전광역시 서구 원도안로 160</t>
    <phoneticPr fontId="18" type="noConversion"/>
  </si>
  <si>
    <t>010-6687-1106</t>
    <phoneticPr fontId="18" type="noConversion"/>
  </si>
  <si>
    <t>대전도안초등학교</t>
  </si>
  <si>
    <t>대전광역시 서구 원도안로 200</t>
  </si>
  <si>
    <t>대전동광초등학교</t>
  </si>
  <si>
    <t>대전광역시 동구 백룡로11번길 20</t>
  </si>
  <si>
    <t>대전동도초등학교</t>
  </si>
  <si>
    <t>대전광역시 대덕구 한남로150번길 27</t>
  </si>
  <si>
    <t>대전동문초등학교</t>
  </si>
  <si>
    <t>대전광역시 중구 문화로 200</t>
  </si>
  <si>
    <t>대전동산고등학교</t>
  </si>
  <si>
    <t>대전광역시 중구 문화로 183</t>
  </si>
  <si>
    <t>대전동산중학교</t>
  </si>
  <si>
    <t>대전동산초등학교</t>
  </si>
  <si>
    <t>대전광역시 대덕구 동산초교로63번길 50</t>
  </si>
  <si>
    <t>대전동서초등학교</t>
  </si>
  <si>
    <t>대전광역시 동구 동서대로 1522</t>
  </si>
  <si>
    <t>대전동신과학고등학교</t>
  </si>
  <si>
    <t>대전광역시 동구 옥천로 423</t>
  </si>
  <si>
    <t>대전동화중학교</t>
  </si>
  <si>
    <t>대전광역시 유성구 관평2로 43</t>
  </si>
  <si>
    <t>대전동화초등학교</t>
  </si>
  <si>
    <t>설동수 선생님</t>
  </si>
  <si>
    <t>010-6530-5696</t>
  </si>
  <si>
    <t>대전두리중학교</t>
  </si>
  <si>
    <t>대전광역시 유성구 와룡로 37</t>
  </si>
  <si>
    <t>대전두리초등학교</t>
    <phoneticPr fontId="18" type="noConversion"/>
  </si>
  <si>
    <t>대전 유성구 와룡로 37</t>
    <phoneticPr fontId="18" type="noConversion"/>
  </si>
  <si>
    <t>손혜경 선생님</t>
    <phoneticPr fontId="18" type="noConversion"/>
  </si>
  <si>
    <t>010-2605-5915</t>
    <phoneticPr fontId="18" type="noConversion"/>
  </si>
  <si>
    <t>대전둔산여자고등학교</t>
  </si>
  <si>
    <t>대전광역시 서구 갈마역로 33</t>
  </si>
  <si>
    <t>대전둔산중학교</t>
  </si>
  <si>
    <t>대전광역시 서구 갈마역로25번길 70</t>
  </si>
  <si>
    <t>대전둔산초등학교</t>
  </si>
  <si>
    <t>대전광역시 서구 둔산로74번길 20</t>
  </si>
  <si>
    <t>대전둔원고등학교</t>
  </si>
  <si>
    <t>대전광역시 서구 대덕대로 101</t>
  </si>
  <si>
    <t>대전둔원중학교</t>
  </si>
  <si>
    <t>대전광역시 서구 괴정로11번길 73</t>
  </si>
  <si>
    <t>대전둔원초등학교</t>
  </si>
  <si>
    <t>대전광역시 서구 대덕대로112번길 10</t>
  </si>
  <si>
    <t>대전둔천초등학교</t>
  </si>
  <si>
    <t>대전광역시 서구 만년로 3</t>
  </si>
  <si>
    <t>대전만년고등학교</t>
  </si>
  <si>
    <t>대전광역시 서구 만년로 6</t>
  </si>
  <si>
    <t>정다영 선생님</t>
    <phoneticPr fontId="18" type="noConversion"/>
  </si>
  <si>
    <t>대전만년중학교</t>
  </si>
  <si>
    <t>대전광역시 서구 만년남로 17</t>
  </si>
  <si>
    <t>대전만년초등학교</t>
  </si>
  <si>
    <t>대전광역시 서구 만년남로 14</t>
  </si>
  <si>
    <t>대전매봉중학교</t>
  </si>
  <si>
    <t>대전광역시 대덕구 선비마을로 165</t>
  </si>
  <si>
    <t>대전매봉초등학교</t>
  </si>
  <si>
    <t>대전광역시 대덕구 선비마을로 155</t>
  </si>
  <si>
    <t>대전목동초등학교</t>
  </si>
  <si>
    <t>대전광역시 중구 목중로19번길 70</t>
  </si>
  <si>
    <t>대전목상초등학교</t>
  </si>
  <si>
    <t>대전광역시 대덕구 대덕대로1486번길 117</t>
  </si>
  <si>
    <t>대전목양초등학교</t>
  </si>
  <si>
    <t>대전광역시 중구 목동로 69</t>
  </si>
  <si>
    <t>대전문성초등학교</t>
  </si>
  <si>
    <t>대전광역시 중구 유등천동로292번길 89-14</t>
  </si>
  <si>
    <t>대전문정중학교</t>
  </si>
  <si>
    <t>대전광역시 서구 둔산북로 232-11</t>
  </si>
  <si>
    <t>대전문정초등학교</t>
  </si>
  <si>
    <t>대전광역시 서구 문정로 180</t>
  </si>
  <si>
    <t>대전문지중학교</t>
  </si>
  <si>
    <t>대전광역시 유성구 전민로 53</t>
  </si>
  <si>
    <t>대전문창초등학교</t>
  </si>
  <si>
    <t>대전광역시 중구 문창로 55</t>
  </si>
  <si>
    <t>대전문화여자중학교</t>
  </si>
  <si>
    <t>대전광역시 중구 문화로218번길 63</t>
  </si>
  <si>
    <t>대전문화초등학교</t>
  </si>
  <si>
    <t>대전광역시 중구 문화로78번안길 70</t>
  </si>
  <si>
    <t>대전반석고등학교</t>
  </si>
  <si>
    <t>대전광역시 유성구 지족로 332</t>
  </si>
  <si>
    <t>대전반석초등학교</t>
  </si>
  <si>
    <t>대전광역시 유성구 반석동로 30</t>
  </si>
  <si>
    <t>대전배울초등학교</t>
    <phoneticPr fontId="18" type="noConversion"/>
  </si>
  <si>
    <t>대전광역시 유성구 배울2로 8</t>
    <phoneticPr fontId="18" type="noConversion"/>
  </si>
  <si>
    <t>042-936-4323 (350)</t>
    <phoneticPr fontId="18" type="noConversion"/>
  </si>
  <si>
    <t>대전백운초등학교</t>
  </si>
  <si>
    <t>대전광역시 서구 계룡로576번길 56</t>
  </si>
  <si>
    <t>대전버드내중학교</t>
  </si>
  <si>
    <t>대전광역시 서구 유등로 285</t>
  </si>
  <si>
    <t>대전버드내초등학교</t>
  </si>
  <si>
    <t>대전광역시 중구 태평로 21</t>
  </si>
  <si>
    <t>대전법동중학교</t>
  </si>
  <si>
    <t>대전광역시 대덕구 쌍청당로 55</t>
  </si>
  <si>
    <t>대전법동초등학교</t>
  </si>
  <si>
    <t>대전광역시 대덕구 계족로664번길 74</t>
  </si>
  <si>
    <t>대전변동중학교</t>
  </si>
  <si>
    <t>대전광역시 서구 도산로181번길 39</t>
  </si>
  <si>
    <t>대전변동초등학교</t>
  </si>
  <si>
    <t>대전광역시 서구 유등로 373</t>
  </si>
  <si>
    <t>대전보성초등학교</t>
  </si>
  <si>
    <t>대전광역시 중구 보문산로141번길 34</t>
  </si>
  <si>
    <t>대전보운초등학교</t>
  </si>
  <si>
    <t>대전광역시 중구 대종로315번길 42</t>
  </si>
  <si>
    <t>대전복수고등학교</t>
  </si>
  <si>
    <t>대전광역시 서구 혜천로 66</t>
  </si>
  <si>
    <t>대전복수초등학교</t>
  </si>
  <si>
    <t>대전광역시 서구 복수중로34번길 29</t>
  </si>
  <si>
    <t>대전봉명중학교</t>
  </si>
  <si>
    <t>대전광역시 유성구 계룡로132번길 71</t>
  </si>
  <si>
    <t>대전봉명초등학교</t>
  </si>
  <si>
    <t>대전광역시 유성구 계룡로132번길 62</t>
  </si>
  <si>
    <t>대전봉산중학교</t>
  </si>
  <si>
    <t>대전광역시 서구 배재로262번길 60</t>
  </si>
  <si>
    <t>대전봉산초등학교</t>
  </si>
  <si>
    <t>대전광역시 서구 신갈마로141번길 45</t>
  </si>
  <si>
    <t>대전봉우중학교</t>
  </si>
  <si>
    <t>대전광역시 서구 관저로 102</t>
  </si>
  <si>
    <t>대전비래초등학교</t>
  </si>
  <si>
    <t>대전광역시 대덕구 우암로492번안길 65</t>
  </si>
  <si>
    <t>대전산성초등학교</t>
  </si>
  <si>
    <t>대전광역시 중구 대둔산로 332</t>
  </si>
  <si>
    <t>대전삼성초등학교</t>
  </si>
  <si>
    <t>대전광역시 동구 대전로867번길 12</t>
  </si>
  <si>
    <t>대전삼육중학교</t>
  </si>
  <si>
    <t>대전광역시 서구 도림1길 15</t>
  </si>
  <si>
    <t>대전삼육초등학교</t>
  </si>
  <si>
    <t>대전삼천중학교</t>
  </si>
  <si>
    <t>대전광역시 서구 문정로 271</t>
  </si>
  <si>
    <t>대전삼천초등학교</t>
  </si>
  <si>
    <t>대전광역시 서구 둔산북로 232-33</t>
  </si>
  <si>
    <t>대전상대초등학교</t>
  </si>
  <si>
    <t>대전광역시 유성구 월드컵대로 322</t>
  </si>
  <si>
    <t>대전상원초등학교</t>
  </si>
  <si>
    <t>대전광역시 유성구 상대서로 46</t>
  </si>
  <si>
    <t>대전상지초등학교</t>
    <phoneticPr fontId="18" type="noConversion"/>
  </si>
  <si>
    <t>대전광역시 유성구 노은동로 165</t>
  </si>
  <si>
    <t>허춘옥선생님</t>
    <phoneticPr fontId="18" type="noConversion"/>
  </si>
  <si>
    <t>010-2730-7576</t>
    <phoneticPr fontId="18" type="noConversion"/>
  </si>
  <si>
    <t>대전새미래중학교</t>
  </si>
  <si>
    <t>대전광역시 유성구 지족동로 55</t>
  </si>
  <si>
    <t>대전새미래초등학교</t>
  </si>
  <si>
    <t>대전광역시 유성구 지족로 168</t>
  </si>
  <si>
    <t>대전새여울초등학교</t>
  </si>
  <si>
    <t>대전광역시 대덕구 대덕대로 1585</t>
  </si>
  <si>
    <t>대전샘머리초등학교</t>
  </si>
  <si>
    <t>대전광역시 서구 유등로 879</t>
  </si>
  <si>
    <t>대전생활과학고등학교</t>
  </si>
  <si>
    <t>대전서부초등학교</t>
  </si>
  <si>
    <t>대전광역시 서구 동서대로 968</t>
  </si>
  <si>
    <t>대전서원초등학교</t>
  </si>
  <si>
    <t>대전광역시 서구 문정로 279</t>
  </si>
  <si>
    <t>대전서중학교</t>
  </si>
  <si>
    <t>대전광역시 서구 동서대로997번길 57</t>
  </si>
  <si>
    <t>대전석교초등학교</t>
  </si>
  <si>
    <t>대전광역시 중구 대종로204번길 12</t>
  </si>
  <si>
    <t>대전석봉초등학교</t>
  </si>
  <si>
    <t>대전광역시 대덕구 신탄진남로 20</t>
  </si>
  <si>
    <t>대전선암초등학교</t>
  </si>
  <si>
    <t>대전광역시 서구 관저중로 61</t>
  </si>
  <si>
    <t>대전선유초등학교</t>
  </si>
  <si>
    <t>대전광역시 서구 관저남로 60</t>
  </si>
  <si>
    <t>대전선화초등학교</t>
  </si>
  <si>
    <t>대전광역시 중구 선화로 159</t>
  </si>
  <si>
    <t>대전성남초등학교</t>
  </si>
  <si>
    <t>대전광역시 동구 성남로32번길 5</t>
  </si>
  <si>
    <t>대전성룡초등학교</t>
  </si>
  <si>
    <t>대전광역시 서구 갈마역로 125</t>
  </si>
  <si>
    <t>대전성모여자고등학교</t>
  </si>
  <si>
    <t>대전광역시 중구 대흥로 62</t>
  </si>
  <si>
    <t>대전성모초등학교</t>
  </si>
  <si>
    <t>대전성천초등학교</t>
  </si>
  <si>
    <t>대전광역시 서구 갈마역로 139</t>
  </si>
  <si>
    <t>대전송강중학교</t>
  </si>
  <si>
    <t>대전광역시 유성구 와룡로 122</t>
  </si>
  <si>
    <t>대전송강초등학교</t>
  </si>
  <si>
    <t>대전광역시 유성구 송강로42번길 6</t>
  </si>
  <si>
    <t>대전송림초등학교</t>
  </si>
  <si>
    <t>대전광역시 유성구 노은로410번길 123-14</t>
  </si>
  <si>
    <t>대전송촌고등학교</t>
  </si>
  <si>
    <t>대전광역시 대덕구 선비마을로23번길 11</t>
  </si>
  <si>
    <t>대전송촌중학교</t>
  </si>
  <si>
    <t>대전광역시 대덕구 계족산로 110</t>
  </si>
  <si>
    <t>대전송촌초등학교</t>
    <phoneticPr fontId="18" type="noConversion"/>
  </si>
  <si>
    <t>대전광역시 대덕구 동춘당로54번길 35</t>
    <phoneticPr fontId="18" type="noConversion"/>
  </si>
  <si>
    <t>임혜정 선생님</t>
    <phoneticPr fontId="18" type="noConversion"/>
  </si>
  <si>
    <t>010-3423-7302</t>
    <phoneticPr fontId="18" type="noConversion"/>
  </si>
  <si>
    <t>대전수미초등학교</t>
  </si>
  <si>
    <t>대전광역시 서구 괴곡길 42</t>
  </si>
  <si>
    <t>대전수정초등학교</t>
  </si>
  <si>
    <t>대전광역시 유성구 노은서로 62</t>
  </si>
  <si>
    <t>대전신계중학교</t>
  </si>
  <si>
    <t>대전광역시 서구 복수동로 40-30</t>
  </si>
  <si>
    <t>대전신계초등학교</t>
  </si>
  <si>
    <t>대전광역시 서구 복수동로 26</t>
  </si>
  <si>
    <t>대전신일여자고등학교</t>
  </si>
  <si>
    <t>대전광역시 중구 부사로 48</t>
  </si>
  <si>
    <t>대전신일여자중학교</t>
  </si>
  <si>
    <t>대전광역시 중구 부사로32번길 27</t>
  </si>
  <si>
    <t>대전신평초등학교</t>
  </si>
  <si>
    <t>대전광역시 중구 유등천동로 478</t>
  </si>
  <si>
    <t>대전신흥초등학교</t>
  </si>
  <si>
    <t>대전광역시 동구 동대전로46번길 76</t>
  </si>
  <si>
    <t>대전양지초등학교</t>
  </si>
  <si>
    <t>대전광역시 대덕구 쌍청당로 45</t>
  </si>
  <si>
    <t>대전어은중학교</t>
  </si>
  <si>
    <t>대전광역시 유성구 농대로 56</t>
  </si>
  <si>
    <t>대전어은초등학교</t>
  </si>
  <si>
    <t>대전광역시 유성구 농대로 46</t>
  </si>
  <si>
    <t>대전여자고등학교</t>
  </si>
  <si>
    <t>대전광역시 동구 용운로1번길 28-37</t>
  </si>
  <si>
    <t>대전여자상업고등학교</t>
  </si>
  <si>
    <t>대전광역시 중구 대종로550번길 31</t>
  </si>
  <si>
    <t>대전여자중학교</t>
  </si>
  <si>
    <t>대전광역시 중구 보문로230번길 69</t>
  </si>
  <si>
    <t>대전예술고등학교</t>
  </si>
  <si>
    <t>대전광역시 유성구 월드컵대로308번길 33</t>
  </si>
  <si>
    <t>대전오류초등학교</t>
  </si>
  <si>
    <t>대전광역시 중구 오류로 46</t>
  </si>
  <si>
    <t>대전옥계초등학교</t>
  </si>
  <si>
    <t>대전광역시 중구 모암로 35</t>
  </si>
  <si>
    <t>대전외국어고등학교</t>
  </si>
  <si>
    <t>대전광역시 서구 신갈마로 19</t>
  </si>
  <si>
    <t>대전외삼중학교</t>
  </si>
  <si>
    <t>대전광역시 유성구 반석동로 75</t>
  </si>
  <si>
    <t>대전용산고등학교</t>
  </si>
  <si>
    <t>대전광역시 유성구 용산2로 2-16</t>
  </si>
  <si>
    <t>서유리 선생님</t>
    <phoneticPr fontId="22" type="noConversion"/>
  </si>
  <si>
    <t>010-7926-6210</t>
    <phoneticPr fontId="22" type="noConversion"/>
  </si>
  <si>
    <t>대전용산초등학교</t>
  </si>
  <si>
    <t>대전광역시 유성구 배울2로 101</t>
  </si>
  <si>
    <t>대전용운중학교</t>
  </si>
  <si>
    <t>대전광역시 동구 용운로 208</t>
  </si>
  <si>
    <t>대전용운초등학교</t>
  </si>
  <si>
    <t>대전광역시 동구 용운로 204</t>
  </si>
  <si>
    <t>대전용전중학교</t>
  </si>
  <si>
    <t>대전광역시 대덕구 한밭대로1146번길 46</t>
  </si>
  <si>
    <t>대전용전초등학교</t>
  </si>
  <si>
    <t>대전광역시 동구 계족로505번길 49</t>
  </si>
  <si>
    <t>대전원신흥초등학교</t>
  </si>
  <si>
    <t>대전광역시 유성구 원신흥로55번길 37</t>
  </si>
  <si>
    <t>대전원앙초등학교</t>
  </si>
  <si>
    <t>대전광역시 서구 관저북로 97</t>
  </si>
  <si>
    <t>대전원평초등학교</t>
  </si>
  <si>
    <t>대전광역시 중구 계백로1615번길 46</t>
  </si>
  <si>
    <t>대전월평중학교</t>
  </si>
  <si>
    <t>대전광역시 서구 월평동로 21</t>
  </si>
  <si>
    <t>대전월평초등학교</t>
  </si>
  <si>
    <t>대전광역시 서구 월평서로 22</t>
  </si>
  <si>
    <t>대전유천초등학교</t>
  </si>
  <si>
    <t>대전광역시 서구 제비네6길 69</t>
  </si>
  <si>
    <t>대전유평초등학교</t>
  </si>
  <si>
    <t>대전광역시 중구 수침로 123</t>
  </si>
  <si>
    <t>대전은어송중학교</t>
  </si>
  <si>
    <t>대전광역시 동구 동구청로 26</t>
  </si>
  <si>
    <t>대전은어송초등학교</t>
  </si>
  <si>
    <t>대전광역시 동구 대전로 396</t>
  </si>
  <si>
    <t>대전이문고등학교</t>
  </si>
  <si>
    <t>대전광역시 대덕구 석봉로 15</t>
  </si>
  <si>
    <t>대전자양초등학교</t>
  </si>
  <si>
    <t>대전광역시 동구 계족로 184-55</t>
  </si>
  <si>
    <t>대전자운중학교</t>
  </si>
  <si>
    <t>대전광역시 유성구 자운로97번길 356</t>
  </si>
  <si>
    <t>대전자운초등학교</t>
  </si>
  <si>
    <t>대전광역시 유성구 자운로97번길 380</t>
  </si>
  <si>
    <t>대전장대중학교</t>
  </si>
  <si>
    <t>대전광역시 유성구 문화원로 26</t>
  </si>
  <si>
    <t>대전장대초등학교</t>
  </si>
  <si>
    <t>대전광역시 유성구 문화원로19번길 16</t>
  </si>
  <si>
    <t>대전전민고등학교</t>
    <phoneticPr fontId="18" type="noConversion"/>
  </si>
  <si>
    <t>대전광역시 유성구 전민로 63</t>
    <phoneticPr fontId="18" type="noConversion"/>
  </si>
  <si>
    <t>조원예 보건선생님</t>
    <phoneticPr fontId="18" type="noConversion"/>
  </si>
  <si>
    <t>010-5417-7755</t>
    <phoneticPr fontId="18" type="noConversion"/>
  </si>
  <si>
    <t>대전전민중학교</t>
  </si>
  <si>
    <t>대전광역시 유성구 엑스포로466번길 97</t>
  </si>
  <si>
    <t>대전전민초등학교</t>
  </si>
  <si>
    <t>대전광역시 유성구 엑스포로466번길 42</t>
  </si>
  <si>
    <t>대전전자디자인고등학교</t>
  </si>
  <si>
    <t>대전광역시 유성구 대덕대로 939</t>
  </si>
  <si>
    <t>대전정림중학교</t>
  </si>
  <si>
    <t>대전광역시 서구 괴곡길 70</t>
  </si>
  <si>
    <t>대전정림초등학교</t>
  </si>
  <si>
    <t>대전광역시 서구 정림로 32</t>
  </si>
  <si>
    <t>대전제일고등학교</t>
  </si>
  <si>
    <t>대전광역시 서구 배재로46번길 77</t>
  </si>
  <si>
    <t>대전죽동초등학교</t>
  </si>
  <si>
    <t>대전광역시 유성구 죽동로 52</t>
  </si>
  <si>
    <t>대전중리초등학교</t>
  </si>
  <si>
    <t>대전광역시 대덕구 중리북로 20</t>
  </si>
  <si>
    <t>대전중앙고등학교</t>
  </si>
  <si>
    <t>대전광역시 중구 대종로 634</t>
  </si>
  <si>
    <t>대전중앙중학교</t>
  </si>
  <si>
    <t>대전중앙초등학교</t>
  </si>
  <si>
    <t>대전광역시 중구 선화로43번길 99</t>
  </si>
  <si>
    <t>대전중원초등학교</t>
  </si>
  <si>
    <t>대전광역시 대덕구 중리로64번길 45</t>
  </si>
  <si>
    <t>대전중촌초등학교</t>
  </si>
  <si>
    <t>대전광역시 중구 대종로 684</t>
  </si>
  <si>
    <t>대전중학교</t>
  </si>
  <si>
    <t>대전광역시 중구 수도산로 9</t>
  </si>
  <si>
    <t>대전지족고등학교</t>
  </si>
  <si>
    <t>대전광역시 유성구 노은서로 202</t>
  </si>
  <si>
    <t>대전지족중학교</t>
  </si>
  <si>
    <t>대전광역시 유성구 노은동로 193</t>
  </si>
  <si>
    <t>대전지족초등학교</t>
  </si>
  <si>
    <t>대전광역시 유성구 노은서로 238</t>
  </si>
  <si>
    <t>대전천동초등학교</t>
  </si>
  <si>
    <t>대전광역시 동구 천동초등동길 60</t>
  </si>
  <si>
    <t>대전체육고등학교</t>
  </si>
  <si>
    <t>대전광역시 유성구 원신흥로40번길 6</t>
  </si>
  <si>
    <t>대전체육중학교</t>
  </si>
  <si>
    <t>대전탄방중학교</t>
  </si>
  <si>
    <t>대전광역시 서구 문정로 181</t>
  </si>
  <si>
    <t>대전탄방초등학교</t>
    <phoneticPr fontId="18" type="noConversion"/>
  </si>
  <si>
    <t>대전광역시 서구 탄방로 15</t>
    <phoneticPr fontId="18" type="noConversion"/>
  </si>
  <si>
    <t>담당 선생님</t>
    <phoneticPr fontId="18" type="noConversion"/>
  </si>
  <si>
    <t>010-2698-9287</t>
    <phoneticPr fontId="18" type="noConversion"/>
  </si>
  <si>
    <t>대전태평중학교</t>
  </si>
  <si>
    <t>대전광역시 중구 수침로111번길 12</t>
  </si>
  <si>
    <t>대전태평초등학교</t>
  </si>
  <si>
    <t>대전광역시 중구 유천로 117</t>
  </si>
  <si>
    <t>대전판암초등학교</t>
  </si>
  <si>
    <t>대전광역시 동구 옥천로180번길 32</t>
  </si>
  <si>
    <t>대전하기중학교</t>
  </si>
  <si>
    <t>대전광역시 유성구 송림로48번길 6-30</t>
  </si>
  <si>
    <t>대전하기초등학교</t>
  </si>
  <si>
    <t>대전광역시 유성구 송림로19번길 32</t>
  </si>
  <si>
    <t>대전한빛고등학교</t>
  </si>
  <si>
    <t>대전광역시 중구 대둔산로 119-37</t>
  </si>
  <si>
    <t>대전현암초등학교</t>
  </si>
  <si>
    <t>대전광역시 동구 현암로 19</t>
  </si>
  <si>
    <t>대전화정초등학교</t>
  </si>
  <si>
    <t>대전 대덕구 한밭대로1024번길 20</t>
  </si>
  <si>
    <t>대전흥룡초등학교</t>
  </si>
  <si>
    <t>대전광역시 동구 동대전로256번길 21</t>
  </si>
  <si>
    <t>대진고등학교</t>
  </si>
  <si>
    <t>서울특별시 노원구 공릉로62가길 47</t>
  </si>
  <si>
    <t>대진디자인고등학교</t>
  </si>
  <si>
    <t>서울특별시 강남구 광평로39길 93</t>
  </si>
  <si>
    <t>대진여자고등학교</t>
  </si>
  <si>
    <t>서울특별시 노원구 공릉로 438</t>
  </si>
  <si>
    <t>대청중학교</t>
  </si>
  <si>
    <t>서울특별시 강남구 양재천로 321</t>
  </si>
  <si>
    <t>대치중학교</t>
  </si>
  <si>
    <t>서울특별시 강남구 남부순환로378길 39</t>
  </si>
  <si>
    <t>대흥초등학교</t>
  </si>
  <si>
    <t>전라북도 정읍시 입암면 정읍남로 766</t>
  </si>
  <si>
    <t>덕과초등학교</t>
  </si>
  <si>
    <t>전라북도 남원시 덕과면 덕오로 298</t>
  </si>
  <si>
    <t>덕산중학교</t>
  </si>
  <si>
    <t>서울특별시 은평구 가좌로 400</t>
  </si>
  <si>
    <t>덕성여자고등학교</t>
  </si>
  <si>
    <t>서울특별시 종로구 율곡로3길 50</t>
  </si>
  <si>
    <t>덕성여자중학교</t>
  </si>
  <si>
    <t>서울특별시 종로구 율곡로3길 49</t>
  </si>
  <si>
    <t>덕송초등학교</t>
  </si>
  <si>
    <t>대전광역시 유성구 현충원로 265</t>
  </si>
  <si>
    <t>덕수고등학교</t>
  </si>
  <si>
    <t>서울특별시 성동구 왕십리로 199</t>
  </si>
  <si>
    <t>덕수중학교</t>
  </si>
  <si>
    <t>서울특별시 중구 마른내로9길 10</t>
  </si>
  <si>
    <t>덕수초등학교</t>
    <phoneticPr fontId="22" type="noConversion"/>
  </si>
  <si>
    <t>서울 중구 정동 1-76</t>
  </si>
  <si>
    <t>덕암고등학교</t>
  </si>
  <si>
    <t>전라북도 김제시 하공로 9</t>
  </si>
  <si>
    <t>덕암정보고등학교</t>
  </si>
  <si>
    <t>덕암중학교</t>
  </si>
  <si>
    <t>덕원여자고등학교</t>
  </si>
  <si>
    <t>서울특별시 강서구 강서로45길 91-44</t>
  </si>
  <si>
    <t>덕원예술고등학교</t>
  </si>
  <si>
    <t>덕원중학교</t>
  </si>
  <si>
    <t>덕일산업</t>
    <phoneticPr fontId="18" type="noConversion"/>
  </si>
  <si>
    <t>경기도 화성시 동탄산단 7길 146</t>
    <phoneticPr fontId="18" type="noConversion"/>
  </si>
  <si>
    <t>권효원</t>
    <phoneticPr fontId="18" type="noConversion"/>
  </si>
  <si>
    <t>010-4127-0400</t>
    <phoneticPr fontId="18" type="noConversion"/>
  </si>
  <si>
    <t>khw1037@duck-il.com</t>
    <phoneticPr fontId="18" type="noConversion"/>
  </si>
  <si>
    <t>덕일전자공업고등학교</t>
  </si>
  <si>
    <t>서울특별시 구로구 서해안로21길 5-12</t>
  </si>
  <si>
    <t>덕천초등학교</t>
  </si>
  <si>
    <t>전라북도 정읍시 덕천면 황토현로 831</t>
  </si>
  <si>
    <t>덕치초등학교</t>
  </si>
  <si>
    <t>전라북도 임실군 덕치면 인덕로 1217</t>
  </si>
  <si>
    <t>도곡중학교</t>
  </si>
  <si>
    <t>서울특별시 강남구 언주로57길 31</t>
  </si>
  <si>
    <t>도봉고등학교</t>
  </si>
  <si>
    <t>서울특별시 도봉구 도봉산길 27</t>
  </si>
  <si>
    <t>도봉중학교</t>
  </si>
  <si>
    <t>서울특별시 도봉구 마들로 671</t>
  </si>
  <si>
    <t>도선고등학교</t>
  </si>
  <si>
    <t>서울특별시 성동구 마장로 156</t>
  </si>
  <si>
    <t>도학초등학교</t>
  </si>
  <si>
    <t>전라북도 정읍시 덕천면 동학로 635</t>
  </si>
  <si>
    <t>독립문초등학교</t>
    <phoneticPr fontId="22" type="noConversion"/>
  </si>
  <si>
    <t>서울특별시 종로구 통일로 12길 23</t>
    <phoneticPr fontId="22" type="noConversion"/>
  </si>
  <si>
    <t>02-737-4684</t>
    <phoneticPr fontId="22" type="noConversion"/>
  </si>
  <si>
    <t xml:space="preserve"> cmy0928@sen.go.kr</t>
    <phoneticPr fontId="22" type="noConversion"/>
  </si>
  <si>
    <t>독산고등학교</t>
  </si>
  <si>
    <t>서울특별시 금천구 문성로 64</t>
  </si>
  <si>
    <t>동계고등학교</t>
  </si>
  <si>
    <t>전라북도 순창군 동계면 강동로 74</t>
  </si>
  <si>
    <t>동계중학교</t>
  </si>
  <si>
    <t>동계초등학교</t>
  </si>
  <si>
    <t>전라북도 순창군 동계면 동계로 35</t>
  </si>
  <si>
    <t>동광초등학교</t>
  </si>
  <si>
    <t>서울특별시 금천구 탑골로10길 45</t>
  </si>
  <si>
    <t>동구마케팅고등학교</t>
  </si>
  <si>
    <t>서울특별시 성북구 성북로8길 71</t>
  </si>
  <si>
    <t>동구여자중학교</t>
  </si>
  <si>
    <t>동국대부속여중</t>
    <phoneticPr fontId="18" type="noConversion"/>
  </si>
  <si>
    <t>서울특별시 광진구 광나루로36길 47</t>
    <phoneticPr fontId="18" type="noConversion"/>
  </si>
  <si>
    <t>임민영 선생님</t>
    <phoneticPr fontId="18" type="noConversion"/>
  </si>
  <si>
    <t>010-7477-2981</t>
  </si>
  <si>
    <t>동국대학교사범대학부속고등학교</t>
  </si>
  <si>
    <t>서울특별시 동대문구 장안벚꽃로 201</t>
  </si>
  <si>
    <t>동국대학교사범대학부속금산고등학교</t>
  </si>
  <si>
    <t>전라북도 김제시 금산면 모악로 47</t>
  </si>
  <si>
    <t>동국대학교사범대학부속금산중학교</t>
  </si>
  <si>
    <t>동국대학교사범대학부속여자고등학교</t>
  </si>
  <si>
    <t>서울특별시 광진구 광나루로36길 47</t>
  </si>
  <si>
    <t>동국대학교사범대학부속여자중학교</t>
  </si>
  <si>
    <t>동국대학교사범대학부속중학교</t>
  </si>
  <si>
    <t>동대문중학교</t>
  </si>
  <si>
    <t>서울특별시 동대문구 사가정로 59</t>
  </si>
  <si>
    <t>동대전고등학교</t>
  </si>
  <si>
    <t>대전광역시 대덕구 청림길 33</t>
  </si>
  <si>
    <t>동대전중학교</t>
  </si>
  <si>
    <t>대전광역시 동구 충정로 73-6</t>
  </si>
  <si>
    <t>동대전초등학교</t>
  </si>
  <si>
    <t>대전광역시 동구 비래서로62번길 60</t>
  </si>
  <si>
    <t>동덕여자고등학교</t>
  </si>
  <si>
    <t>서울특별시 서초구 효령로2길 123-5</t>
  </si>
  <si>
    <t>동덕여자중학교</t>
  </si>
  <si>
    <t>동도중학교</t>
  </si>
  <si>
    <t>서울특별시 마포구 백범로 139</t>
  </si>
  <si>
    <t>동마중학교</t>
  </si>
  <si>
    <t>서울특별시 성동구 마조로11길 18</t>
  </si>
  <si>
    <t>동명생활경영고등학교</t>
  </si>
  <si>
    <t>서울특별시 은평구 통일로 793</t>
  </si>
  <si>
    <t>동명여자고등학교</t>
  </si>
  <si>
    <t>동명여자중학교</t>
  </si>
  <si>
    <t>서울특별시 서대문구 독립문로 49</t>
  </si>
  <si>
    <t>동명중학교</t>
  </si>
  <si>
    <t>대전광역시 중구 사득로54번길 29</t>
  </si>
  <si>
    <t>동명초등학교</t>
  </si>
  <si>
    <t>대전광역시 동구 천개동로 16</t>
  </si>
  <si>
    <t>동방고등학교</t>
  </si>
  <si>
    <t>대전광역시 서구 계백로 1106</t>
  </si>
  <si>
    <t>동방여자중학교</t>
  </si>
  <si>
    <t>대전광역시 서구 복수중로 27</t>
  </si>
  <si>
    <t>동북고등학교</t>
  </si>
  <si>
    <t>서울특별시 강동구 강동대로 305</t>
  </si>
  <si>
    <t>동북중학교</t>
  </si>
  <si>
    <t>동북초등학교</t>
  </si>
  <si>
    <t>서울특별시 도봉구 시루봉로 53</t>
  </si>
  <si>
    <t>동산초등학교</t>
  </si>
  <si>
    <t>전라북도 순창군 복흥면 동산길 17</t>
  </si>
  <si>
    <t>동상초등학교</t>
  </si>
  <si>
    <t>전라북도 완주군 동상면 대아저수로 1525</t>
  </si>
  <si>
    <t>동성고등학교</t>
  </si>
  <si>
    <t>서울특별시 종로구 대학로 156</t>
  </si>
  <si>
    <t>동성중학교</t>
  </si>
  <si>
    <t>동신중학교</t>
  </si>
  <si>
    <t>대전광역시 동구 동부로 56-22</t>
  </si>
  <si>
    <t>동신초등학교</t>
  </si>
  <si>
    <t>전라북도 정읍시 상동중앙로 15</t>
  </si>
  <si>
    <t>동아마이스터고등학교</t>
  </si>
  <si>
    <t>대전광역시 동구 충정로 97</t>
  </si>
  <si>
    <t>동암고등학교</t>
  </si>
  <si>
    <t>전라북도 전주시 완산구 소태정4길 1</t>
  </si>
  <si>
    <t>동양고등학교</t>
  </si>
  <si>
    <t>서울특별시 강서구 허준로 50</t>
  </si>
  <si>
    <t>동양중학교</t>
  </si>
  <si>
    <t>서울특별시 동작구 흑석로9길 94</t>
  </si>
  <si>
    <t>동양초등학교</t>
  </si>
  <si>
    <t>전라북도 완주군 소양면 전진로 1059</t>
  </si>
  <si>
    <t>동원중학교</t>
    <phoneticPr fontId="18" type="noConversion"/>
  </si>
  <si>
    <t>서울특별시 중랑구 양원역로 32</t>
    <phoneticPr fontId="18" type="noConversion"/>
  </si>
  <si>
    <t xml:space="preserve">정윤희 </t>
    <phoneticPr fontId="18" type="noConversion"/>
  </si>
  <si>
    <t>yhrosa@sen.go.kr</t>
    <phoneticPr fontId="18" type="noConversion"/>
  </si>
  <si>
    <t>동일여자고등학교</t>
  </si>
  <si>
    <t>동일여자상업고등학교</t>
  </si>
  <si>
    <t>동일중학교</t>
  </si>
  <si>
    <t>동작고등학교</t>
  </si>
  <si>
    <t>서울특별시 동작구 솔밭로 51</t>
  </si>
  <si>
    <t>동작중학교</t>
  </si>
  <si>
    <t>서울특별시 동작구 동작대로39가길 83</t>
  </si>
  <si>
    <t>동진초등학교</t>
  </si>
  <si>
    <t>전라북도 부안군 동진면 동진로 145</t>
  </si>
  <si>
    <t>동향중학교</t>
  </si>
  <si>
    <t>전라북도 진안군 동향면 창촌길 41</t>
  </si>
  <si>
    <t>동향초등학교</t>
  </si>
  <si>
    <t>전라북도 진안군 동향면 하양지1길 5</t>
  </si>
  <si>
    <t>동호초등학교</t>
  </si>
  <si>
    <t>전라북도 고창군 해리면 신동호길 18</t>
  </si>
  <si>
    <t>둔촌고등학교</t>
  </si>
  <si>
    <t>서울특별시 강동구 명일로 140</t>
  </si>
  <si>
    <t>둔촌중학교</t>
  </si>
  <si>
    <t>서울특별시 강동구 진황도로61길 25-30</t>
  </si>
  <si>
    <t>등명중학교</t>
  </si>
  <si>
    <t>서울특별시 강서구 공항대로39길 39</t>
  </si>
  <si>
    <t>등원중학교</t>
  </si>
  <si>
    <t>서울특별시 강서구 화곡로65길 50</t>
  </si>
  <si>
    <t>등촌고등학교</t>
  </si>
  <si>
    <t>서울특별시 강서구 공항대로39길 115</t>
  </si>
  <si>
    <t>이경선 선생님</t>
    <phoneticPr fontId="22" type="noConversion"/>
  </si>
  <si>
    <t>0502-4231-7161</t>
    <phoneticPr fontId="22" type="noConversion"/>
  </si>
  <si>
    <t>등촌중학교</t>
  </si>
  <si>
    <t>서울특별시 강서구 공항대로 484-12</t>
  </si>
  <si>
    <t>디엘엠</t>
    <phoneticPr fontId="18" type="noConversion"/>
  </si>
  <si>
    <t>김완철</t>
    <phoneticPr fontId="18" type="noConversion"/>
  </si>
  <si>
    <t>램스</t>
    <phoneticPr fontId="18" type="noConversion"/>
  </si>
  <si>
    <t>경기도 화성시 동탄대로 635 SH 타임스퀘어 1 501호</t>
    <phoneticPr fontId="18" type="noConversion"/>
  </si>
  <si>
    <t>정원홍 대표님</t>
    <phoneticPr fontId="18" type="noConversion"/>
  </si>
  <si>
    <t>010-5505-9446</t>
    <phoneticPr fontId="18" type="noConversion"/>
  </si>
  <si>
    <t>wh.jung@lamscom.co.kr</t>
    <phoneticPr fontId="18" type="noConversion"/>
  </si>
  <si>
    <t>레이저쎌</t>
  </si>
  <si>
    <t>KOREA</t>
  </si>
  <si>
    <t>충남 아산시 배방읍 호서로 79번길 20 호서벤처밸리</t>
  </si>
  <si>
    <t>이규호</t>
  </si>
  <si>
    <t>010-7403-0295</t>
  </si>
  <si>
    <t>cox</t>
  </si>
  <si>
    <t>리라아트고등학교</t>
  </si>
  <si>
    <t>서울특별시 중구 소파로2길 24</t>
  </si>
  <si>
    <t>리라초등학교</t>
  </si>
  <si>
    <t>서울특별시 중구 소파로2길 7</t>
  </si>
  <si>
    <t>마곡중학교</t>
  </si>
  <si>
    <t>서울특별시 강서구 마곡중앙5로 58</t>
  </si>
  <si>
    <t>이지훈 선생님</t>
    <phoneticPr fontId="22" type="noConversion"/>
  </si>
  <si>
    <t>010-5488-7164</t>
    <phoneticPr fontId="22" type="noConversion"/>
  </si>
  <si>
    <t>jh9880@sen.go.kr</t>
    <phoneticPr fontId="22" type="noConversion"/>
  </si>
  <si>
    <t>마곡하늬중학교</t>
  </si>
  <si>
    <t>서울특별시 강서구 마곡서1로 16</t>
  </si>
  <si>
    <t>김재희 선생님</t>
    <phoneticPr fontId="18" type="noConversion"/>
  </si>
  <si>
    <t>010-2858-5318</t>
    <phoneticPr fontId="18" type="noConversion"/>
  </si>
  <si>
    <t>마령고등학교</t>
  </si>
  <si>
    <t>전라북도 진안군 마령면 임진로 2076</t>
  </si>
  <si>
    <t>마령중학교</t>
  </si>
  <si>
    <t>전라북도 진안군 마령면 임진로 2086</t>
  </si>
  <si>
    <t>마령초등학교</t>
  </si>
  <si>
    <t>전라북도 진안군 마령면 임진로 2122</t>
  </si>
  <si>
    <t>마룡초등학교</t>
  </si>
  <si>
    <t>전라북도 군산시 서수면 청룡로 123</t>
  </si>
  <si>
    <t>마사고등학교실습지</t>
  </si>
  <si>
    <t>전라북도 장수군 천천면 승마로 1005-31</t>
  </si>
  <si>
    <t>마암초등학교</t>
  </si>
  <si>
    <t>전라북도 임실군 운암면 마암2길 84</t>
  </si>
  <si>
    <t>마장중학교</t>
  </si>
  <si>
    <t>서울특별시 성동구 마장로35나길 31</t>
  </si>
  <si>
    <t>마포고등학교</t>
  </si>
  <si>
    <t>서울특별시 강서구 화곡로 403</t>
  </si>
  <si>
    <t>만경고등학교</t>
  </si>
  <si>
    <t>전라북도 김제시 만경읍 능제로 29</t>
  </si>
  <si>
    <t>만경여자고등학교</t>
  </si>
  <si>
    <t>전라북도 김제시 만경읍 만경로 823</t>
  </si>
  <si>
    <t>만경여자중학교</t>
  </si>
  <si>
    <t>만경중학교</t>
  </si>
  <si>
    <t>만경초등학교</t>
  </si>
  <si>
    <t>전라북도 김제시 만경읍 능제2길 2</t>
  </si>
  <si>
    <t>망성초등학교</t>
  </si>
  <si>
    <t>전라북도 익산시 망성면 여강로 903</t>
  </si>
  <si>
    <t>망우초등학교</t>
    <phoneticPr fontId="22" type="noConversion"/>
  </si>
  <si>
    <t>서울특별시 중랑구 망우로 72길 49</t>
    <phoneticPr fontId="22" type="noConversion"/>
  </si>
  <si>
    <t>박유진 선생님</t>
    <phoneticPr fontId="22" type="noConversion"/>
  </si>
  <si>
    <t>010-5878-6170</t>
    <phoneticPr fontId="22" type="noConversion"/>
  </si>
  <si>
    <t>매산초등학교</t>
  </si>
  <si>
    <t>전라북도 고창군 대산면 매산초등길 22</t>
  </si>
  <si>
    <t>매원초등학교</t>
  </si>
  <si>
    <t>멀티클래스</t>
    <phoneticPr fontId="18" type="noConversion"/>
  </si>
  <si>
    <t>광주광역시 북구 두촌마을길 19-23 (태령동 449)</t>
    <phoneticPr fontId="18" type="noConversion"/>
  </si>
  <si>
    <t>김창효 대표님</t>
    <phoneticPr fontId="18" type="noConversion"/>
  </si>
  <si>
    <t>010-7723-7901</t>
    <phoneticPr fontId="18" type="noConversion"/>
  </si>
  <si>
    <t>jangha2001@naver.com</t>
    <phoneticPr fontId="18" type="noConversion"/>
  </si>
  <si>
    <t>면목고등학교</t>
  </si>
  <si>
    <t>서울특별시 중랑구 용마산로72길 36-14</t>
  </si>
  <si>
    <t>면목중학교</t>
  </si>
  <si>
    <t>서울특별시 중랑구 용마산로70길 37</t>
  </si>
  <si>
    <t>명덕고등학교</t>
  </si>
  <si>
    <t>서울특별시 강서구 강서로47길 34-10</t>
  </si>
  <si>
    <t>명덕여자고등학교</t>
  </si>
  <si>
    <t>명덕여자중학교</t>
  </si>
  <si>
    <t>명석고등학교</t>
  </si>
  <si>
    <t>대전광역시 동구 우암로 380</t>
  </si>
  <si>
    <t>명일여자고등학교</t>
  </si>
  <si>
    <t>서울 강동구 명일로 350 명일여자고등학교</t>
  </si>
  <si>
    <t>유인숙 선생님</t>
  </si>
  <si>
    <t>010-3681-4481</t>
  </si>
  <si>
    <t>명일중학교</t>
  </si>
  <si>
    <t>서울특별시 강동구 양재대로156길 57</t>
  </si>
  <si>
    <t>명지고등학교</t>
  </si>
  <si>
    <t>서울특별시 서대문구 명지2길 56</t>
  </si>
  <si>
    <t>명지중학교</t>
  </si>
  <si>
    <t>명지초등학교</t>
  </si>
  <si>
    <t>서울특별시 서대문구 명지2길 32-20</t>
  </si>
  <si>
    <t>모닝캄솔트</t>
    <phoneticPr fontId="18" type="noConversion"/>
  </si>
  <si>
    <t>강원도 홍천군 홍천읍 능공단지길 17</t>
    <phoneticPr fontId="18" type="noConversion"/>
  </si>
  <si>
    <t>정동근 영업이사님</t>
    <phoneticPr fontId="18" type="noConversion"/>
  </si>
  <si>
    <t>010-9703-3888</t>
    <phoneticPr fontId="18" type="noConversion"/>
  </si>
  <si>
    <t>목동고등학교</t>
  </si>
  <si>
    <t>서울특별시 양천구 목동동로2길 68</t>
  </si>
  <si>
    <t>목동중학교</t>
  </si>
  <si>
    <t>서울특별시 양천구 목동동로 172</t>
  </si>
  <si>
    <t>목운중학교</t>
    <phoneticPr fontId="18" type="noConversion"/>
  </si>
  <si>
    <t>서울특별시 양천구 목동동로 235</t>
    <phoneticPr fontId="18" type="noConversion"/>
  </si>
  <si>
    <t>김영은 선생님</t>
    <phoneticPr fontId="18" type="noConversion"/>
  </si>
  <si>
    <t>kye0902@sen.go.kr</t>
    <phoneticPr fontId="18" type="noConversion"/>
  </si>
  <si>
    <t>목일중학교</t>
  </si>
  <si>
    <t>서울특별시 양천구 목동동로8길 70</t>
  </si>
  <si>
    <t>무녀도초등학교</t>
  </si>
  <si>
    <t>전라북도 군산시 옥도면 무녀도2길 33</t>
  </si>
  <si>
    <t>무장초등학교</t>
  </si>
  <si>
    <t>전라북도 고창군 무장면 무장초등길 24</t>
  </si>
  <si>
    <t>무주고등학교</t>
  </si>
  <si>
    <t>전라북도 무주군 무주읍 한수로 32</t>
  </si>
  <si>
    <t>무주중앙초등학교</t>
  </si>
  <si>
    <t>전라북도 무주군 무주읍 향학로 87</t>
  </si>
  <si>
    <t>무주중학교</t>
  </si>
  <si>
    <t>전라북도 무주군 무주읍 신교로 1</t>
  </si>
  <si>
    <t>무주초등학교</t>
  </si>
  <si>
    <t>전라북도 무주군 무주읍 향한로 43</t>
  </si>
  <si>
    <t>무풍고등학교</t>
  </si>
  <si>
    <t>전라북도 무주군 무풍면 대덕산로 914</t>
  </si>
  <si>
    <t>무풍중학교</t>
  </si>
  <si>
    <t>무풍초등학교</t>
  </si>
  <si>
    <t>전라북도 무주군 무풍면 대덕산로 926</t>
  </si>
  <si>
    <t>무학여자고등학교</t>
  </si>
  <si>
    <t>서울특별시 성동구 고산자로 197</t>
  </si>
  <si>
    <t>무학중학교</t>
  </si>
  <si>
    <t>서울특별시 성동구 행당로 120</t>
  </si>
  <si>
    <t>문래중학교</t>
  </si>
  <si>
    <t>서울특별시 영등포구 선유서로13길 6</t>
  </si>
  <si>
    <t>문래초등학교</t>
  </si>
  <si>
    <t>문성중학교</t>
  </si>
  <si>
    <t>서울특별시 금천구 독산로102길 78</t>
  </si>
  <si>
    <t>문일고등학교</t>
  </si>
  <si>
    <t>서울특별시 금천구 시흥대로47길 45</t>
  </si>
  <si>
    <t>문일중학교</t>
  </si>
  <si>
    <t>문정고등학교</t>
  </si>
  <si>
    <t>서울특별시 송파구 송이로34길 62</t>
  </si>
  <si>
    <t>문정중학교</t>
  </si>
  <si>
    <t>서울특별시 송파구 문정로 73</t>
  </si>
  <si>
    <t>문지초등학교</t>
  </si>
  <si>
    <t>대전광역시 유성구 전민로 41</t>
  </si>
  <si>
    <t>문창중학교</t>
  </si>
  <si>
    <t>서울특별시 동작구 여의대방로22나길 40</t>
  </si>
  <si>
    <t>문창초등학교</t>
  </si>
  <si>
    <t>전라북도 군산시 공항로 394</t>
  </si>
  <si>
    <t>문현고등학교</t>
  </si>
  <si>
    <t>서울특별시 송파구 충민로 115</t>
  </si>
  <si>
    <t>미래산업과학고등학교</t>
  </si>
  <si>
    <t>서울특별시 노원구 덕릉로82길 54</t>
  </si>
  <si>
    <t>미룡초등학교</t>
  </si>
  <si>
    <t>전라북도 군산시 대학로 498-10</t>
  </si>
  <si>
    <t>미륵초등학교</t>
  </si>
  <si>
    <t>전라북도 익산시 금마면 용순길 243</t>
  </si>
  <si>
    <t>미림여자고등학교</t>
  </si>
  <si>
    <t>서울특별시 관악구 호암로 546</t>
  </si>
  <si>
    <t>미림여자정보과학고등학교</t>
  </si>
  <si>
    <t>김가현 선생님</t>
    <phoneticPr fontId="18" type="noConversion"/>
  </si>
  <si>
    <t>010-9249-2650</t>
    <phoneticPr fontId="18" type="noConversion"/>
  </si>
  <si>
    <t>ghk1117@sen.go.kr</t>
    <phoneticPr fontId="18" type="noConversion"/>
  </si>
  <si>
    <t>미성중학교</t>
  </si>
  <si>
    <t>서울특별시 관악구 문성로16길 40</t>
  </si>
  <si>
    <t>미양고등학교</t>
  </si>
  <si>
    <t>서울특별시 강북구 인수봉로 39</t>
  </si>
  <si>
    <t>010-997-8632</t>
  </si>
  <si>
    <t>미양중학교</t>
  </si>
  <si>
    <t>반포고등학교</t>
  </si>
  <si>
    <t>서울특별시 서초구 고무래로 71</t>
  </si>
  <si>
    <t>반포중학교</t>
  </si>
  <si>
    <t>서울특별시 서초구 신반포로 67</t>
  </si>
  <si>
    <t>발산초등학교</t>
  </si>
  <si>
    <t>전라북도 군산시 개정면 바르메길 43</t>
  </si>
  <si>
    <t>방 대한 님</t>
    <phoneticPr fontId="18" type="noConversion"/>
  </si>
  <si>
    <t>gn7799@naver.com</t>
    <phoneticPr fontId="18" type="noConversion"/>
  </si>
  <si>
    <t>방배중학교</t>
  </si>
  <si>
    <t>서울특별시 서초구 동광로 144</t>
  </si>
  <si>
    <t>방산고등학교</t>
  </si>
  <si>
    <t>서울특별시 송파구 오금로27길 18</t>
  </si>
  <si>
    <t>방산중학교</t>
  </si>
  <si>
    <t>서울특별시 송파구 오금로29길 31</t>
  </si>
  <si>
    <t>방원중학교</t>
  </si>
  <si>
    <t>서울특별시 강서구 금낭화로 268</t>
  </si>
  <si>
    <t>방이중학교</t>
  </si>
  <si>
    <t>서울특별시 송파구 오금로11길 64</t>
  </si>
  <si>
    <t>방학중학교</t>
  </si>
  <si>
    <t>서울특별시 도봉구 시루봉로 188</t>
  </si>
  <si>
    <t>방화중학교</t>
    <phoneticPr fontId="18" type="noConversion"/>
  </si>
  <si>
    <t>서울특별시 강서구 개화동로27길 9</t>
    <phoneticPr fontId="18" type="noConversion"/>
  </si>
  <si>
    <t>행정실</t>
    <phoneticPr fontId="18" type="noConversion"/>
  </si>
  <si>
    <t>010-2243-7322</t>
    <phoneticPr fontId="18" type="noConversion"/>
  </si>
  <si>
    <t>방화초등학교</t>
    <phoneticPr fontId="22" type="noConversion"/>
  </si>
  <si>
    <t>서울특별시 강서구 양천로6길 92</t>
  </si>
  <si>
    <t>이수경 선생님</t>
    <phoneticPr fontId="22" type="noConversion"/>
  </si>
  <si>
    <t>010-9882-2429</t>
    <phoneticPr fontId="22" type="noConversion"/>
  </si>
  <si>
    <t>배가</t>
  </si>
  <si>
    <t>배명고등학교</t>
  </si>
  <si>
    <t>서울특별시 송파구 삼학사로 11</t>
  </si>
  <si>
    <t>배명중학교</t>
  </si>
  <si>
    <t>배문고등학교</t>
  </si>
  <si>
    <t>서울특별시 용산구 효창원로 258</t>
  </si>
  <si>
    <t>배문중학교</t>
  </si>
  <si>
    <t>배양초등학교</t>
    <phoneticPr fontId="18" type="noConversion"/>
  </si>
  <si>
    <t>010-9052-7611</t>
    <phoneticPr fontId="18" type="noConversion"/>
  </si>
  <si>
    <t>배영고등학교</t>
  </si>
  <si>
    <t>전라북도 정읍시 동학로 243</t>
  </si>
  <si>
    <t>배영중학교</t>
  </si>
  <si>
    <t>배재고등학교</t>
  </si>
  <si>
    <t>서울특별시 강동구 고덕로 227</t>
  </si>
  <si>
    <t>배재중학교</t>
  </si>
  <si>
    <t>배화여자고등학교</t>
  </si>
  <si>
    <t>서울특별시 종로구 필운대로1길 34</t>
  </si>
  <si>
    <t>배화여자중학교</t>
  </si>
  <si>
    <t>백구초등학교</t>
  </si>
  <si>
    <t>전라북도 김제시 백구면 석담2길 36</t>
  </si>
  <si>
    <t>백련초등학교</t>
  </si>
  <si>
    <t>전라북도 부안군 하서면 변산로 1203</t>
  </si>
  <si>
    <t>백룡초등학교</t>
  </si>
  <si>
    <t>전라북도 부안군 백산면 시기길 15</t>
  </si>
  <si>
    <t>백산고등학교</t>
  </si>
  <si>
    <t>전라북도 부안군 백산면 백산로 379</t>
  </si>
  <si>
    <t>백산중학교</t>
  </si>
  <si>
    <t>백석중학교</t>
  </si>
  <si>
    <t>서울특별시 강서구 등촌로51나길 35</t>
  </si>
  <si>
    <t>백암고등학교</t>
    <phoneticPr fontId="18" type="noConversion"/>
  </si>
  <si>
    <t>김보중 선생님</t>
    <phoneticPr fontId="18" type="noConversion"/>
  </si>
  <si>
    <t>010-2766-1662</t>
    <phoneticPr fontId="18" type="noConversion"/>
  </si>
  <si>
    <t>paekahm@gamil.com</t>
    <phoneticPr fontId="18" type="noConversion"/>
  </si>
  <si>
    <t>백암초등학교</t>
  </si>
  <si>
    <t>전라북도 정읍시 칠보면 암축길 17</t>
  </si>
  <si>
    <t>백운중학교</t>
  </si>
  <si>
    <t>서울특별시 도봉구 도봉로129길 50</t>
  </si>
  <si>
    <t>백운초등학교</t>
  </si>
  <si>
    <t>전라북도 진안군 백운면 임진로 1340-8</t>
  </si>
  <si>
    <t>백화여자고등학교</t>
  </si>
  <si>
    <t>전라북도 장수군 장계면 백화로 4-31</t>
  </si>
  <si>
    <t>번동중학교</t>
  </si>
  <si>
    <t>서울특별시 강북구 오현로35길 87</t>
  </si>
  <si>
    <t>번암중학교</t>
  </si>
  <si>
    <t>전라북도 장수군 번암면 지지로 28-12</t>
  </si>
  <si>
    <t>번암초등학교</t>
  </si>
  <si>
    <t>전라북도 장수군 번암면 동강길 21</t>
  </si>
  <si>
    <t>번암초등학교동화분교장</t>
  </si>
  <si>
    <t>전라북도 장수군 번암면 지지로 610</t>
  </si>
  <si>
    <t>베스트넷</t>
    <phoneticPr fontId="22" type="noConversion"/>
  </si>
  <si>
    <t>김종현 차장님</t>
    <phoneticPr fontId="22" type="noConversion"/>
  </si>
  <si>
    <t>010-4392-1008</t>
    <phoneticPr fontId="22" type="noConversion"/>
  </si>
  <si>
    <t>jhkim@bestnets.co.kr</t>
    <phoneticPr fontId="22" type="noConversion"/>
  </si>
  <si>
    <t>벽량초등학교</t>
  </si>
  <si>
    <t>전라북도 김제시 부량면 대평2길 99</t>
  </si>
  <si>
    <t>변산서중학교</t>
  </si>
  <si>
    <t>전라북도 부안군 변산면 지서로 139</t>
  </si>
  <si>
    <t>변산중학교</t>
  </si>
  <si>
    <t>전라북도 부안군 진서면 청자로 921</t>
  </si>
  <si>
    <t>변산초등학교</t>
  </si>
  <si>
    <t>전라북도 부안군 변산면 지서1길 11</t>
  </si>
  <si>
    <t>보문고등학교</t>
  </si>
  <si>
    <t>대전광역시 동구 우암로 57, 보문고등학교 (삼성동, 보문고등학교,보문중학교)</t>
  </si>
  <si>
    <t>보문중학교</t>
  </si>
  <si>
    <t>대전광역시 동구 우암로 57</t>
  </si>
  <si>
    <t>보성고등학교</t>
  </si>
  <si>
    <t>서울특별시 송파구 양재대로 1278</t>
  </si>
  <si>
    <t>보성여자고등학교</t>
  </si>
  <si>
    <t>서울특별시 용산구 신흥로3가길 66</t>
  </si>
  <si>
    <t>보성여자중학교</t>
  </si>
  <si>
    <t>010-7114-2622</t>
  </si>
  <si>
    <t>보성중학교</t>
    <phoneticPr fontId="18" type="noConversion"/>
  </si>
  <si>
    <t>서울특별시 송파구 양재대로 1278</t>
    <phoneticPr fontId="18" type="noConversion"/>
  </si>
  <si>
    <t>이달우 선생님</t>
  </si>
  <si>
    <t>010-9264-8397</t>
    <phoneticPr fontId="18" type="noConversion"/>
  </si>
  <si>
    <t>행정실 방역</t>
    <phoneticPr fontId="18" type="noConversion"/>
  </si>
  <si>
    <t>보성초등학교</t>
  </si>
  <si>
    <t>전라북도 정읍시 북면 연지길 38-27</t>
  </si>
  <si>
    <t>보안중학교</t>
  </si>
  <si>
    <t>전라북도 부안군 보안면 영전길 37</t>
  </si>
  <si>
    <t>보인고등학교</t>
  </si>
  <si>
    <t>서울특별시 송파구 오금로49길 18</t>
  </si>
  <si>
    <t>보인중학교</t>
  </si>
  <si>
    <t>보절중학교</t>
  </si>
  <si>
    <t>전라북도 남원시 보절면 보산로 909-14</t>
  </si>
  <si>
    <t>보절초등학교</t>
  </si>
  <si>
    <t>전라북도 남원시 보절면 신흥2길 5</t>
  </si>
  <si>
    <t>복흥중학교</t>
  </si>
  <si>
    <t>전라북도 순창군 복흥면 금월로 33-4</t>
  </si>
  <si>
    <t>복흥초등학교</t>
  </si>
  <si>
    <t>전라북도 순창군 복흥면 정산로 12</t>
  </si>
  <si>
    <t>봉남중학교</t>
  </si>
  <si>
    <t>전라북도 김제시 봉남면 남주1길 26</t>
  </si>
  <si>
    <t>봉남초등학교</t>
  </si>
  <si>
    <t>전라북도 김제시 봉남면 조양1길 11</t>
  </si>
  <si>
    <t>봉동초등학교</t>
  </si>
  <si>
    <t>전라북도 완주군 봉동읍 봉동동서로 105</t>
  </si>
  <si>
    <t>봉동초등학교양화분교장</t>
  </si>
  <si>
    <t>전라북도 완주군 고산면 양화로 181-7</t>
  </si>
  <si>
    <t>봉림중학교</t>
  </si>
  <si>
    <t>서울특별시 관악구 장군봉길 72</t>
  </si>
  <si>
    <t>봉서중학교</t>
  </si>
  <si>
    <t>전라북도 완주군 봉동읍 둔산3로 131</t>
  </si>
  <si>
    <t>봉서초등학교</t>
  </si>
  <si>
    <t>전라북도 완주군 봉동읍 원둔산6길 5</t>
  </si>
  <si>
    <t>봉성초등학교</t>
  </si>
  <si>
    <t>전라북도 완주군 봉동읍 신덕성덕길 58-17</t>
  </si>
  <si>
    <t>봉암초등학교</t>
  </si>
  <si>
    <t>전라북도 고창군 부안면 인촌로 505</t>
  </si>
  <si>
    <t>봉영여자중학교</t>
  </si>
  <si>
    <t>봉원중학교</t>
  </si>
  <si>
    <t>서울특별시 관악구 관악로24가길 15</t>
  </si>
  <si>
    <t>봉은중학교</t>
  </si>
  <si>
    <t>서울특별시 강남구 영동대로128길 59</t>
  </si>
  <si>
    <t>봉화중학교</t>
  </si>
  <si>
    <t>서울특별시 중랑구 망우로70길 89</t>
  </si>
  <si>
    <t>부귀중학교</t>
  </si>
  <si>
    <t>전라북도 진안군 부귀면 상거석길 14-7</t>
  </si>
  <si>
    <t>부귀초등학교</t>
  </si>
  <si>
    <t>전라북도 진안군 부귀면 부귀로 313-9</t>
  </si>
  <si>
    <t>부남중학교</t>
  </si>
  <si>
    <t>전라북도 무주군 부남면 대소길 10</t>
  </si>
  <si>
    <t>부남초등학교</t>
  </si>
  <si>
    <t>부당초등학교</t>
  </si>
  <si>
    <t>전라북도 무주군 부남면 부남로 1785</t>
  </si>
  <si>
    <t>부안고등학교</t>
  </si>
  <si>
    <t>전라북도 부안군 부안읍 문정로 32</t>
  </si>
  <si>
    <t>부안남초등학교</t>
  </si>
  <si>
    <t>전라북도 부안군 부안읍 연곡로 7</t>
  </si>
  <si>
    <t>부안동초등학교</t>
  </si>
  <si>
    <t>전라북도 부안군 부안읍 석정로 313</t>
  </si>
  <si>
    <t>부안여자고등학교</t>
  </si>
  <si>
    <t>전라북도 부안군 부안읍 교동1길 54</t>
  </si>
  <si>
    <t>부안여자중학교</t>
  </si>
  <si>
    <t>전라북도 부안군 부안읍 교동2길 42(봉덕리 부안여자중학교)</t>
  </si>
  <si>
    <t>부안제일고등학교</t>
  </si>
  <si>
    <t>전라북도 부안군 행안면 춘헌길 1</t>
  </si>
  <si>
    <t>부안중학교</t>
  </si>
  <si>
    <t>전라북도 부안군 부안읍 당산로 1</t>
  </si>
  <si>
    <t>부안초등학교</t>
  </si>
  <si>
    <t>전라북도 부안군 부안읍 부풍로 29</t>
  </si>
  <si>
    <t>부용초등학교</t>
  </si>
  <si>
    <t>전라북도 김제시 백구면 황토로 1030</t>
  </si>
  <si>
    <t>부천종합운동장</t>
  </si>
  <si>
    <t>북면초등학교</t>
  </si>
  <si>
    <t>전라북도 정읍시 북면 화평길 31</t>
  </si>
  <si>
    <t>북서울중학교</t>
  </si>
  <si>
    <t>서울특별시 도봉구 도봉로169가길 33</t>
  </si>
  <si>
    <t>북성초등학교</t>
    <phoneticPr fontId="18" type="noConversion"/>
  </si>
  <si>
    <t>서울특별시 서대문구 북아현로1나길</t>
  </si>
  <si>
    <t>010-7642-0007</t>
    <phoneticPr fontId="18" type="noConversion"/>
  </si>
  <si>
    <t>북악중학교</t>
  </si>
  <si>
    <t>서울특별시 성북구 정릉로12길 41</t>
  </si>
  <si>
    <t>불광중학교</t>
  </si>
  <si>
    <t>서울특별시 은평구 불광로 180</t>
  </si>
  <si>
    <t>불광초</t>
  </si>
  <si>
    <t>서울 은평구 불광로 51</t>
  </si>
  <si>
    <t>박성환선생님</t>
  </si>
  <si>
    <t>010-7918-2931</t>
  </si>
  <si>
    <t>불암고등학교</t>
  </si>
  <si>
    <t>서울특별시 노원구 중계로 155</t>
  </si>
  <si>
    <t>불암중학교</t>
  </si>
  <si>
    <t>서울특별시 노원구 한글비석로5길 45</t>
  </si>
  <si>
    <t>뷰닉스</t>
    <phoneticPr fontId="18" type="noConversion"/>
  </si>
  <si>
    <t>(우)500706 광주광역시 북구 첨단과기로 333 광주테크노파크 사업화 4동 102호 (주)뷰닉스</t>
    <phoneticPr fontId="18" type="noConversion"/>
  </si>
  <si>
    <t>062-602-7637</t>
    <phoneticPr fontId="18" type="noConversion"/>
  </si>
  <si>
    <t xml:space="preserve">hjkstar66@naver.com  </t>
    <phoneticPr fontId="18" type="noConversion"/>
  </si>
  <si>
    <t>Vunix, 휴대폰번호: 010-3633-7554/ 차두환 박사님 010-7373-3275
Fax: 062-602-7639</t>
    <phoneticPr fontId="18" type="noConversion"/>
  </si>
  <si>
    <t>비룡초등학교</t>
  </si>
  <si>
    <t>전라북도 김제시 용지면 금백로 845-7</t>
  </si>
  <si>
    <t>비봉초등학교</t>
  </si>
  <si>
    <t>전라북도 완주군 비봉면 비봉소농길 40</t>
  </si>
  <si>
    <t>비손테크</t>
    <phoneticPr fontId="18" type="noConversion"/>
  </si>
  <si>
    <t>박종운 님</t>
    <phoneticPr fontId="18" type="noConversion"/>
  </si>
  <si>
    <t>010-9894-991</t>
    <phoneticPr fontId="18" type="noConversion"/>
  </si>
  <si>
    <t>jbs1281@hanmail.net</t>
    <phoneticPr fontId="18" type="noConversion"/>
  </si>
  <si>
    <t>비전정보통신</t>
    <phoneticPr fontId="18" type="noConversion"/>
  </si>
  <si>
    <t>비즈패스</t>
    <phoneticPr fontId="18" type="noConversion"/>
  </si>
  <si>
    <t xml:space="preserve">경기도 성남 분당구 황설로6 </t>
    <phoneticPr fontId="18" type="noConversion"/>
  </si>
  <si>
    <t>이창길님</t>
    <phoneticPr fontId="18" type="noConversion"/>
  </si>
  <si>
    <t>010-6313-4860</t>
    <phoneticPr fontId="18" type="noConversion"/>
  </si>
  <si>
    <t>holalee@bizpass.net</t>
    <phoneticPr fontId="18" type="noConversion"/>
  </si>
  <si>
    <t>비투코리아</t>
  </si>
  <si>
    <t>대전광역시 유성구 노은동 555-1(왕가봉로24번길 2-0) 201호</t>
  </si>
  <si>
    <t>김준식 사원님</t>
  </si>
  <si>
    <t>010-9068-3844</t>
  </si>
  <si>
    <t xml:space="preserve">경기도 수원시 영통구 대학로56 리치프라자 1차 605호 </t>
  </si>
  <si>
    <t>빅하트크리스찬스쿨</t>
    <phoneticPr fontId="18" type="noConversion"/>
  </si>
  <si>
    <t>경기도 용인시 기흥구 죽현로80번길 53</t>
    <phoneticPr fontId="18" type="noConversion"/>
  </si>
  <si>
    <t xml:space="preserve">권성림 담당자님 </t>
    <phoneticPr fontId="18" type="noConversion"/>
  </si>
  <si>
    <t>010-9169-1680</t>
    <phoneticPr fontId="18" type="noConversion"/>
  </si>
  <si>
    <t>사당중학교</t>
  </si>
  <si>
    <t>서울특별시 동작구 사당로9가길 58</t>
  </si>
  <si>
    <t>사랑의교회</t>
    <phoneticPr fontId="18" type="noConversion"/>
  </si>
  <si>
    <t>서울시 서초구 반포대로 121 사랑의교회 드림센터(s) 1206호</t>
    <phoneticPr fontId="18" type="noConversion"/>
  </si>
  <si>
    <t>조동황 간사님</t>
    <phoneticPr fontId="18" type="noConversion"/>
  </si>
  <si>
    <t>011-205-0557</t>
    <phoneticPr fontId="18" type="noConversion"/>
  </si>
  <si>
    <t>zzamjang79@sarang.org</t>
    <phoneticPr fontId="18" type="noConversion"/>
  </si>
  <si>
    <t>사매초등학교</t>
  </si>
  <si>
    <t>전라북도 남원시 사매면 오신2길 7</t>
  </si>
  <si>
    <t>사장님 긴급 오더</t>
    <phoneticPr fontId="22" type="noConversion"/>
  </si>
  <si>
    <t>산내중학교</t>
  </si>
  <si>
    <t>전라북도 남원시 산내면 천왕봉로 673-8</t>
  </si>
  <si>
    <t>산내초등학교</t>
  </si>
  <si>
    <t>대전광역시 동구 산내로 1292</t>
  </si>
  <si>
    <t>산동초등학교</t>
  </si>
  <si>
    <t>전라북도 남원시 산동면 요천로 2929</t>
  </si>
  <si>
    <t>산서고등학교</t>
  </si>
  <si>
    <t>전라북도 장수군 산서면 보산로 1852-6</t>
  </si>
  <si>
    <t>산서중학교</t>
  </si>
  <si>
    <t>산서초등학교</t>
  </si>
  <si>
    <t>대전광역시 중구 남달미로 87</t>
  </si>
  <si>
    <t>산외중학교</t>
  </si>
  <si>
    <t>전라북도 정읍시 산외면 평사3길 25</t>
  </si>
  <si>
    <t>산외초등학교</t>
  </si>
  <si>
    <t>전라북도 정읍시 산외면 운전2길 7</t>
  </si>
  <si>
    <t>산흥초등학교</t>
  </si>
  <si>
    <t>대전광역시 동구 산내로 509</t>
  </si>
  <si>
    <t>삼각산고등학교</t>
  </si>
  <si>
    <t>서울특별시 강북구 삼양로19길 40</t>
  </si>
  <si>
    <t>삼각산중학교</t>
  </si>
  <si>
    <t>서울특별시 강북구 삼양로19길 141</t>
  </si>
  <si>
    <t>삼계중학교</t>
  </si>
  <si>
    <t>전라북도 임실군 삼계면 삼계2길 16</t>
  </si>
  <si>
    <t>삼계초등학교</t>
  </si>
  <si>
    <t>전라북도 임실군 삼계면 삼계1길 20-3</t>
  </si>
  <si>
    <t>삼기중학교</t>
  </si>
  <si>
    <t>전라북도 익산시 삼기면 황금로 499</t>
  </si>
  <si>
    <t>삼기초등학교</t>
  </si>
  <si>
    <t>전라북도 익산시 삼기면 황금로 523</t>
  </si>
  <si>
    <t>삼남중학교</t>
  </si>
  <si>
    <t>전라북도 부안군 부안읍 용계길 29</t>
  </si>
  <si>
    <t>삼례동초등학교</t>
  </si>
  <si>
    <t>전라북도 완주군 삼례읍 구와로 13</t>
  </si>
  <si>
    <t>삼례중앙초등학교</t>
  </si>
  <si>
    <t>전라북도 완주군 삼례읍 웃삼례길 17-10</t>
  </si>
  <si>
    <t>삼례중학교</t>
  </si>
  <si>
    <t>전라북도 완주군 삼례읍 신금로 53-23</t>
  </si>
  <si>
    <t>삼례초등학교</t>
  </si>
  <si>
    <t>전라북도 완주군 삼례읍 후정로 30</t>
  </si>
  <si>
    <t>삼보하이테크</t>
    <phoneticPr fontId="18" type="noConversion"/>
  </si>
  <si>
    <t>인천 남동구 석정로 469</t>
    <phoneticPr fontId="18" type="noConversion"/>
  </si>
  <si>
    <t>김 화 대리님</t>
    <phoneticPr fontId="18" type="noConversion"/>
  </si>
  <si>
    <t>032-863-3300</t>
    <phoneticPr fontId="18" type="noConversion"/>
  </si>
  <si>
    <t>sambo9@sbcctv.co.kr</t>
    <phoneticPr fontId="18" type="noConversion"/>
  </si>
  <si>
    <t>삼선중학교</t>
  </si>
  <si>
    <t>서울특별시 성북구 동소문로3길 69</t>
  </si>
  <si>
    <t>삼성고등학교</t>
  </si>
  <si>
    <t>서울특별시 관악구 신림로 41</t>
  </si>
  <si>
    <t>삼성중학교</t>
  </si>
  <si>
    <t>서울특별시 관악구 신림로3가길 39-24</t>
  </si>
  <si>
    <t>삼우중학교</t>
  </si>
  <si>
    <t>전라북도 완주군 이서면 반교로 34-9</t>
  </si>
  <si>
    <t>삼우초등학교</t>
  </si>
  <si>
    <t>전라북도 완주군 고산면 천호로 27-16</t>
  </si>
  <si>
    <t>삼정중학교</t>
  </si>
  <si>
    <t>서울특별시 강서구 금낭화로 210</t>
  </si>
  <si>
    <t>삼천초등학교</t>
    <phoneticPr fontId="18" type="noConversion"/>
  </si>
  <si>
    <t>kms9430@sen.go.kr</t>
    <phoneticPr fontId="18" type="noConversion"/>
  </si>
  <si>
    <t>상경중학교</t>
  </si>
  <si>
    <t>서울특별시 노원구 동일로227길 61</t>
  </si>
  <si>
    <t>상계고등학교</t>
  </si>
  <si>
    <t>서울특별시 노원구 노해로 432</t>
  </si>
  <si>
    <t>상계제일중학교</t>
  </si>
  <si>
    <t>서울특별시 노원구 덕릉로86길 29-15</t>
  </si>
  <si>
    <t>상계중학교</t>
  </si>
  <si>
    <t>서울특별시 노원구 노원로 398</t>
  </si>
  <si>
    <t>상관중학교</t>
  </si>
  <si>
    <t>전라북도 완주군 상관면 신리로 111</t>
  </si>
  <si>
    <t>상관초등학교</t>
  </si>
  <si>
    <t>전라북도 완주군 상관면 신리로 115</t>
  </si>
  <si>
    <t>상도중학교</t>
  </si>
  <si>
    <t>서울특별시 동작구 사당로2가길 72</t>
  </si>
  <si>
    <t>상명고등학교</t>
  </si>
  <si>
    <t>서울특별시 노원구 덕릉로 553</t>
  </si>
  <si>
    <t>상명대학교사범대학부속여자고등학교</t>
  </si>
  <si>
    <t>서울특별시 종로구 홍지문2길 20</t>
  </si>
  <si>
    <t>상명대학교사범대학부속여자중학교</t>
  </si>
  <si>
    <t>상명대학교사범대학부속초등학교</t>
  </si>
  <si>
    <t>서울특별시 종로구 홍지문2길 1</t>
  </si>
  <si>
    <t>상명사대부속초등학교</t>
    <phoneticPr fontId="18" type="noConversion"/>
  </si>
  <si>
    <t>서울특별시 종로구 홍지문2길 1</t>
    <phoneticPr fontId="18" type="noConversion"/>
  </si>
  <si>
    <t>김주연 선생님</t>
    <phoneticPr fontId="18" type="noConversion"/>
  </si>
  <si>
    <t>02-395-0676</t>
    <phoneticPr fontId="18" type="noConversion"/>
  </si>
  <si>
    <t>상명중학교</t>
  </si>
  <si>
    <t>상명초등학교</t>
  </si>
  <si>
    <t>서울특별시 노원구 덕릉로 541</t>
  </si>
  <si>
    <t>상문고등학교</t>
  </si>
  <si>
    <t>서울특별시 서초구 명달로 45</t>
  </si>
  <si>
    <t>상봉중학교</t>
  </si>
  <si>
    <t>서울특별시 중랑구 상봉중앙로8나길 28</t>
  </si>
  <si>
    <t>상산고등학교</t>
  </si>
  <si>
    <t>전라북도 전주시 완산구 거마평로 130</t>
  </si>
  <si>
    <t>상서중학교</t>
  </si>
  <si>
    <t>전라북도 부안군 상서면 고인돌로 17</t>
  </si>
  <si>
    <t>상서초등학교</t>
  </si>
  <si>
    <t>전라북도 부안군 상서면 고인돌로 314</t>
  </si>
  <si>
    <t>상신중학교</t>
  </si>
  <si>
    <t>서울특별시 은평구 증산로15길 61</t>
  </si>
  <si>
    <t>상암고등학교</t>
  </si>
  <si>
    <t>서울특별시 마포구 월드컵북로 445</t>
  </si>
  <si>
    <t>상암중학교</t>
  </si>
  <si>
    <t>서울특별시 마포구 상암산로1길 26</t>
  </si>
  <si>
    <t>상원중학교</t>
  </si>
  <si>
    <t>서울특별시 노원구 수락산로 182</t>
  </si>
  <si>
    <t>상일미디어고등학교</t>
    <phoneticPr fontId="18" type="noConversion"/>
  </si>
  <si>
    <t>서울특별시 강동구 천호대로 219길 61</t>
    <phoneticPr fontId="18" type="noConversion"/>
  </si>
  <si>
    <t>정재훈 선생님</t>
    <phoneticPr fontId="18" type="noConversion"/>
  </si>
  <si>
    <t>010-9215-3599</t>
    <phoneticPr fontId="18" type="noConversion"/>
  </si>
  <si>
    <t>상일여자고등학교</t>
    <phoneticPr fontId="18" type="noConversion"/>
  </si>
  <si>
    <t>서울특별시 강동구 천호대로219길 61</t>
    <phoneticPr fontId="18" type="noConversion"/>
  </si>
  <si>
    <t>유범선 담당자님</t>
    <phoneticPr fontId="18" type="noConversion"/>
  </si>
  <si>
    <t>010-3831-9620</t>
    <phoneticPr fontId="18" type="noConversion"/>
  </si>
  <si>
    <t>상일여자중학교</t>
  </si>
  <si>
    <t>서울특별시 강동구 천호대로219길 61</t>
  </si>
  <si>
    <t>상하중학교</t>
  </si>
  <si>
    <t>전라북도 고창군 상하면 상하1길 34</t>
  </si>
  <si>
    <t>상하초등학교</t>
  </si>
  <si>
    <t>전라북도 고창군 상하면 상하1길 36</t>
  </si>
  <si>
    <t>상현중학교</t>
  </si>
  <si>
    <t>서울특별시 동작구 사당로2길 2-19</t>
  </si>
  <si>
    <t>새론S&amp;I</t>
    <phoneticPr fontId="18" type="noConversion"/>
  </si>
  <si>
    <t>대전 유성구 문지로 281-25 (문지동) 3층 새론 S&amp;I 새론에스엔아이㈜34050</t>
    <phoneticPr fontId="18" type="noConversion"/>
  </si>
  <si>
    <t>최승완 주임</t>
    <phoneticPr fontId="18" type="noConversion"/>
  </si>
  <si>
    <t>070-7708-3977</t>
    <phoneticPr fontId="18" type="noConversion"/>
  </si>
  <si>
    <t>swchoi@aseronsni@com</t>
    <phoneticPr fontId="18" type="noConversion"/>
  </si>
  <si>
    <t>새만금초등학교</t>
  </si>
  <si>
    <t>전라북도 군산시 요죽5길 42</t>
  </si>
  <si>
    <t>새일초등학교</t>
  </si>
  <si>
    <t>대전광역시 대덕구 덕암로125번길 15</t>
  </si>
  <si>
    <t>샤프통신</t>
    <phoneticPr fontId="22" type="noConversion"/>
  </si>
  <si>
    <t>강원 강릉시 강릉대로 495</t>
    <phoneticPr fontId="22" type="noConversion"/>
  </si>
  <si>
    <t>김엄석 대표님</t>
    <phoneticPr fontId="22" type="noConversion"/>
  </si>
  <si>
    <t>010-5376-9007</t>
    <phoneticPr fontId="22" type="noConversion"/>
  </si>
  <si>
    <t>sharpjeep@gmail.com</t>
    <phoneticPr fontId="22" type="noConversion"/>
  </si>
  <si>
    <t>서교정보통신</t>
    <phoneticPr fontId="18" type="noConversion"/>
  </si>
  <si>
    <t>한경준 님</t>
    <phoneticPr fontId="18" type="noConversion"/>
  </si>
  <si>
    <t>010-9257-7849</t>
    <phoneticPr fontId="18" type="noConversion"/>
  </si>
  <si>
    <t>유빈스 통해 납품</t>
    <phoneticPr fontId="18" type="noConversion"/>
  </si>
  <si>
    <t>서대전고등학교</t>
  </si>
  <si>
    <t>대전광역시 서구 월평동 월평동로 60 서대전고등학교 (월평동 307)</t>
  </si>
  <si>
    <t>서대전여자고등학교</t>
  </si>
  <si>
    <t>대전광역시 서구 배재로197번길 20</t>
  </si>
  <si>
    <t>서대전초등학교</t>
  </si>
  <si>
    <t>대전광역시 중구 선화로 17</t>
  </si>
  <si>
    <t>서라벌고등학교</t>
  </si>
  <si>
    <t>서울특별시 노원구 한글비석로5길 18</t>
  </si>
  <si>
    <t>서라벌중학교</t>
  </si>
  <si>
    <t>서울특별시 강북구 삼양로155길 37-9</t>
  </si>
  <si>
    <t>방천일 선생님</t>
  </si>
  <si>
    <t>010-8748-7174</t>
  </si>
  <si>
    <t>서림고등학교</t>
  </si>
  <si>
    <t>전라북도 부안군 부안읍 용암로 70-5</t>
  </si>
  <si>
    <t>서문여자고등학교</t>
  </si>
  <si>
    <t>서울특별시 서초구 동광로12길 84</t>
  </si>
  <si>
    <t>서문여자중학교</t>
  </si>
  <si>
    <t>서서울생활과학고등학교</t>
  </si>
  <si>
    <t>서울특별시 구로구 오리로 1355-10</t>
  </si>
  <si>
    <t>서수초등학교</t>
  </si>
  <si>
    <t>전라북도 군산시 서수면 항쟁로 199</t>
  </si>
  <si>
    <t>서신초등학교</t>
  </si>
  <si>
    <t>전라북도 정읍시 소성상평로 401-5</t>
  </si>
  <si>
    <t>서연중학교</t>
  </si>
  <si>
    <t>서울특별시 서대문구 연희로11마길 9-6</t>
  </si>
  <si>
    <t>서영여자고등학교</t>
  </si>
  <si>
    <t>전라북도 정읍시 명덕1길 66-10</t>
  </si>
  <si>
    <t>서운중학교</t>
  </si>
  <si>
    <t>서울특별시 서초구 서운로 115</t>
  </si>
  <si>
    <t>서울 고원초등학교</t>
    <phoneticPr fontId="18" type="noConversion"/>
  </si>
  <si>
    <t>현장설치</t>
    <phoneticPr fontId="18" type="noConversion"/>
  </si>
  <si>
    <t>서울 교동초등학교</t>
  </si>
  <si>
    <t>서울특별시 종로구 삼일대로 446</t>
  </si>
  <si>
    <t>010-2386-7493</t>
  </si>
  <si>
    <t>서울 금호초등학교</t>
  </si>
  <si>
    <t>서울특별시 성동구 무수막길 69 보건실</t>
  </si>
  <si>
    <t>02-2237-7495</t>
  </si>
  <si>
    <t>서울 녹천초등학교</t>
  </si>
  <si>
    <t>서울시 노원구 마들로3길 34, 서울녹천초등학교 보건실</t>
  </si>
  <si>
    <t>보건 선생님</t>
  </si>
  <si>
    <t>02-977-0670</t>
  </si>
  <si>
    <t>서울 도성초등학교</t>
    <phoneticPr fontId="18" type="noConversion"/>
  </si>
  <si>
    <t>010-2974-2072</t>
    <phoneticPr fontId="18" type="noConversion"/>
  </si>
  <si>
    <t>서울 보라매초등학교</t>
    <phoneticPr fontId="18" type="noConversion"/>
  </si>
  <si>
    <t>010-9017-8099</t>
    <phoneticPr fontId="18" type="noConversion"/>
  </si>
  <si>
    <t>서울 신흥초등학교</t>
    <phoneticPr fontId="18" type="noConversion"/>
  </si>
  <si>
    <t xml:space="preserve">서울 금천구 독산로36나길 21 </t>
    <phoneticPr fontId="18" type="noConversion"/>
  </si>
  <si>
    <t>이지원 행정실장님</t>
    <phoneticPr fontId="18" type="noConversion"/>
  </si>
  <si>
    <t>sinh5149@sen.go.kr</t>
    <phoneticPr fontId="18" type="noConversion"/>
  </si>
  <si>
    <t>서울 중원중학교</t>
    <phoneticPr fontId="18" type="noConversion"/>
  </si>
  <si>
    <t>조아라 보건선생님</t>
    <phoneticPr fontId="18" type="noConversion"/>
  </si>
  <si>
    <t>cheukiko@sen.go.kr</t>
    <phoneticPr fontId="18" type="noConversion"/>
  </si>
  <si>
    <t>서울가곡초등학교</t>
  </si>
  <si>
    <t>서울특별시 강서구 공항대로36길 74</t>
  </si>
  <si>
    <t>서울가동초등학교</t>
  </si>
  <si>
    <t>서울특별시 송파구 중대로20길 47</t>
  </si>
  <si>
    <t>서울가락초등학교</t>
    <phoneticPr fontId="18" type="noConversion"/>
  </si>
  <si>
    <t>서울특별시 송파구 송파대로37길 45</t>
    <phoneticPr fontId="18" type="noConversion"/>
  </si>
  <si>
    <t>김윤미 선생님</t>
    <phoneticPr fontId="18" type="noConversion"/>
  </si>
  <si>
    <t>010-4267-9925</t>
    <phoneticPr fontId="18" type="noConversion"/>
  </si>
  <si>
    <t>서울가산초등학교</t>
  </si>
  <si>
    <t>서울특별시 금천구 남부순환로 1304-11</t>
  </si>
  <si>
    <t>서울가양초등학교</t>
    <phoneticPr fontId="18" type="noConversion"/>
  </si>
  <si>
    <t>서울특별시 강서구 허준로 186</t>
    <phoneticPr fontId="18" type="noConversion"/>
  </si>
  <si>
    <t>강선욱 선생님</t>
    <phoneticPr fontId="18" type="noConversion"/>
  </si>
  <si>
    <t>010-7934-3693</t>
    <phoneticPr fontId="18" type="noConversion"/>
  </si>
  <si>
    <t>queen2@sen.go.kr</t>
    <phoneticPr fontId="18" type="noConversion"/>
  </si>
  <si>
    <t>서울가원초등학교</t>
  </si>
  <si>
    <t>서울특별시 송파구 중대로4길 8</t>
  </si>
  <si>
    <t>서울가인초등학교</t>
  </si>
  <si>
    <t>서울특별시 도봉구 도봉로136다길 4</t>
  </si>
  <si>
    <t>서울가재울초등학교</t>
  </si>
  <si>
    <t>서울특별시 서대문구 모래내로15길 61</t>
  </si>
  <si>
    <t>서울가주초등학교</t>
  </si>
  <si>
    <t>서울특별시 송파구 오금로40길 37</t>
  </si>
  <si>
    <t>서울갈산초등학교</t>
  </si>
  <si>
    <t>서울특별시 양천구 목동로 31</t>
  </si>
  <si>
    <t>서울갈현초등학교</t>
  </si>
  <si>
    <t>서울특별시 은평구 연서로29길 31</t>
  </si>
  <si>
    <t>서울강남초등학교</t>
  </si>
  <si>
    <t>서울특별시 동작구 강남초등길 15</t>
  </si>
  <si>
    <t>서울강덕초등학교</t>
  </si>
  <si>
    <t>서울특별시 강동구 동남로82길 94-54</t>
  </si>
  <si>
    <t>서울강동초등학교</t>
  </si>
  <si>
    <t>서울특별시 강동구 상암로14길 77</t>
  </si>
  <si>
    <t>서울강명초등학교</t>
    <phoneticPr fontId="18" type="noConversion"/>
  </si>
  <si>
    <t>서울특별시 강동구 상일로 74-1</t>
  </si>
  <si>
    <t>강명규 선생님</t>
    <phoneticPr fontId="18" type="noConversion"/>
  </si>
  <si>
    <t>010-2974-8527</t>
    <phoneticPr fontId="18" type="noConversion"/>
  </si>
  <si>
    <t>서울강빛초등학교</t>
  </si>
  <si>
    <t>서울특별시 강동구 아리수로93다길 1 (강일동, 강빛초중통합학교)</t>
  </si>
  <si>
    <t>서울강서초등학교</t>
  </si>
  <si>
    <t>서울특별시 양천구 오목로 31</t>
  </si>
  <si>
    <t>서울강솔초등학교</t>
    <phoneticPr fontId="18" type="noConversion"/>
  </si>
  <si>
    <t>서울특별시 강동구 고덕로97길 80</t>
    <phoneticPr fontId="18" type="noConversion"/>
  </si>
  <si>
    <t>전상민 선생님</t>
    <phoneticPr fontId="18" type="noConversion"/>
  </si>
  <si>
    <t>010-8888-9830</t>
    <phoneticPr fontId="18" type="noConversion"/>
  </si>
  <si>
    <t>서울강신초등학교</t>
    <phoneticPr fontId="18" type="noConversion"/>
  </si>
  <si>
    <t>서울특별시 양천구 월정로 280</t>
    <phoneticPr fontId="18" type="noConversion"/>
  </si>
  <si>
    <t>김수진 선생님</t>
    <phoneticPr fontId="18" type="noConversion"/>
  </si>
  <si>
    <t>010-4538-0488</t>
    <phoneticPr fontId="18" type="noConversion"/>
  </si>
  <si>
    <t>서울강월초등학교</t>
  </si>
  <si>
    <t>서울특별시 양천구 신월로 97</t>
  </si>
  <si>
    <t>서울강일초등학교</t>
  </si>
  <si>
    <t>서울특별시 강동구 아리수로98길 24</t>
  </si>
  <si>
    <t>서울개롱초등학교</t>
  </si>
  <si>
    <t>서울특별시 송파구 문정로 211</t>
  </si>
  <si>
    <t>서울개명초등학교</t>
  </si>
  <si>
    <t>서울특별시 구로구 개봉로1다길 16-9</t>
  </si>
  <si>
    <t>서울개봉초등학교</t>
  </si>
  <si>
    <t>서울특별시 구로구 개봉로16길 30-11</t>
  </si>
  <si>
    <t>서울개운초등학교</t>
  </si>
  <si>
    <t>서울특별시 성북구 정릉로48길 52</t>
  </si>
  <si>
    <t>서울개웅초등학교</t>
  </si>
  <si>
    <t>서울특별시 구로구 개봉로11길 98</t>
  </si>
  <si>
    <t>서울개일초등학교</t>
    <phoneticPr fontId="18" type="noConversion"/>
  </si>
  <si>
    <t>서울특별시 강남구 개포로 401</t>
    <phoneticPr fontId="18" type="noConversion"/>
  </si>
  <si>
    <t>010-4724-4996</t>
    <phoneticPr fontId="18" type="noConversion"/>
  </si>
  <si>
    <t>서울개화초등학교</t>
  </si>
  <si>
    <t>서울특별시 강서구 양천로 11</t>
  </si>
  <si>
    <t>서울거여초등학교</t>
  </si>
  <si>
    <t>서울특별시 송파구 마천로25길 18</t>
  </si>
  <si>
    <t>서울거원초등학교</t>
  </si>
  <si>
    <t>서울특별시 송파구 양산로2길 26</t>
  </si>
  <si>
    <t>서울경동초등학교</t>
  </si>
  <si>
    <t>서울특별시 성동구 성수일로 34</t>
  </si>
  <si>
    <t>서울경수초등학교</t>
  </si>
  <si>
    <t>서울특별시 성동구 뚝섬로13길 22</t>
  </si>
  <si>
    <t>서울경인초등학교</t>
    <phoneticPr fontId="18" type="noConversion"/>
  </si>
  <si>
    <t>서울특별시 양천구 안양천로 1009</t>
  </si>
  <si>
    <t>010-2394-0375</t>
    <phoneticPr fontId="18" type="noConversion"/>
  </si>
  <si>
    <t>서울경일고등학교</t>
    <phoneticPr fontId="18" type="noConversion"/>
  </si>
  <si>
    <t>서울특별시 성동구 성수일로 27</t>
    <phoneticPr fontId="18" type="noConversion"/>
  </si>
  <si>
    <t>박채영 선생님</t>
    <phoneticPr fontId="18" type="noConversion"/>
  </si>
  <si>
    <t>010-3859-7108</t>
    <phoneticPr fontId="18" type="noConversion"/>
  </si>
  <si>
    <t>서울경일중학교</t>
    <phoneticPr fontId="18" type="noConversion"/>
  </si>
  <si>
    <t>서울특별시 성동구 성수일로 27</t>
  </si>
  <si>
    <t>서울경일초등학교</t>
  </si>
  <si>
    <t>서울특별시 성동구 뚝섬로 332</t>
  </si>
  <si>
    <t>서울계남초등학교</t>
    <phoneticPr fontId="18" type="noConversion"/>
  </si>
  <si>
    <t>서울특별시 양천구 목동동로2길 54</t>
    <phoneticPr fontId="18" type="noConversion"/>
  </si>
  <si>
    <t>송영재 교무부장님</t>
    <phoneticPr fontId="18" type="noConversion"/>
  </si>
  <si>
    <t>010-7229-7784</t>
    <phoneticPr fontId="18" type="noConversion"/>
  </si>
  <si>
    <t>서울계상초등학교</t>
  </si>
  <si>
    <t>서울특별시 노원구 한글비석로41가길 24</t>
  </si>
  <si>
    <t>서울계성고등학교</t>
    <phoneticPr fontId="18" type="noConversion"/>
  </si>
  <si>
    <t xml:space="preserve">서울특별시 성북구 길음로 63 </t>
    <phoneticPr fontId="18" type="noConversion"/>
  </si>
  <si>
    <t>조민희 선생님</t>
    <phoneticPr fontId="18" type="noConversion"/>
  </si>
  <si>
    <t>010-36645-4234</t>
    <phoneticPr fontId="18" type="noConversion"/>
  </si>
  <si>
    <t>서울고덕초등학교</t>
  </si>
  <si>
    <t>서울특별시 강동구 아리수로82길 42</t>
  </si>
  <si>
    <t>서울고등학교</t>
  </si>
  <si>
    <t>서울특별시 서초구 효령로 197</t>
  </si>
  <si>
    <t>서울고명초등학교</t>
    <phoneticPr fontId="18" type="noConversion"/>
  </si>
  <si>
    <t>서울특별시 강동구 고덕로46길 53</t>
    <phoneticPr fontId="18" type="noConversion"/>
  </si>
  <si>
    <t>송현지 선생님</t>
    <phoneticPr fontId="18" type="noConversion"/>
  </si>
  <si>
    <t>rnshj@naver.com</t>
    <phoneticPr fontId="18" type="noConversion"/>
  </si>
  <si>
    <t>서울고산초등학교</t>
  </si>
  <si>
    <t>서울특별시 구로구 중앙로 6</t>
  </si>
  <si>
    <t>서울고원초등학교</t>
  </si>
  <si>
    <t>서울특별시 구로구 경인로46길 13</t>
  </si>
  <si>
    <t>서울고은초등학교</t>
  </si>
  <si>
    <t>서울특별시 서대문구 모래내로 441</t>
  </si>
  <si>
    <t>서울고일초등학교</t>
  </si>
  <si>
    <t>서울특별시 강동구 구천면로93길 20</t>
  </si>
  <si>
    <t>서울고척초등학교</t>
  </si>
  <si>
    <t>서울특별시 구로구 경서로 31</t>
  </si>
  <si>
    <t>서울고현초등학교</t>
  </si>
  <si>
    <t>서울특별시 강동구 상일로11길 110</t>
  </si>
  <si>
    <t>서울공덕초등학교</t>
  </si>
  <si>
    <t>서울특별시 마포구 만리재옛길 13</t>
  </si>
  <si>
    <t>서울공릉초등학교</t>
  </si>
  <si>
    <t>서울특별시 노원구 동일로173길 12</t>
  </si>
  <si>
    <t>서울공업고등학교</t>
    <phoneticPr fontId="18" type="noConversion"/>
  </si>
  <si>
    <t>서울특별시 동작구 대방동1길 46</t>
    <phoneticPr fontId="18" type="noConversion"/>
  </si>
  <si>
    <t>탁재호 선생님</t>
    <phoneticPr fontId="18" type="noConversion"/>
  </si>
  <si>
    <t>010-4751-4180</t>
    <phoneticPr fontId="18" type="noConversion"/>
  </si>
  <si>
    <t>targetangr@sen.go.kr</t>
    <phoneticPr fontId="18" type="noConversion"/>
  </si>
  <si>
    <t>서울공연예술고등학교</t>
  </si>
  <si>
    <t>서울특별시 구로구 오리로22나길 16-26</t>
  </si>
  <si>
    <t>서울공연초등학교</t>
  </si>
  <si>
    <t>서울특별시 노원구 동일로192가길 16</t>
  </si>
  <si>
    <t>서울공진초등학교</t>
    <phoneticPr fontId="18" type="noConversion"/>
  </si>
  <si>
    <t>서울특별시 강서구 마곡서로 33</t>
    <phoneticPr fontId="18" type="noConversion"/>
  </si>
  <si>
    <t>02-2661-0304</t>
    <phoneticPr fontId="18" type="noConversion"/>
  </si>
  <si>
    <t>서울공항초등학교</t>
    <phoneticPr fontId="18" type="noConversion"/>
  </si>
  <si>
    <t>서울특별시 중구 마른내로9길 10</t>
    <phoneticPr fontId="18" type="noConversion"/>
  </si>
  <si>
    <t>이선미 선생님</t>
    <phoneticPr fontId="18" type="noConversion"/>
  </si>
  <si>
    <t>010-3185-2342</t>
    <phoneticPr fontId="18" type="noConversion"/>
  </si>
  <si>
    <t>health100@sen.go.kr</t>
    <phoneticPr fontId="18" type="noConversion"/>
  </si>
  <si>
    <t>서울과학고등학교</t>
  </si>
  <si>
    <t>서울특별시 종로구 혜화로 63</t>
  </si>
  <si>
    <t>서울관광고등학교</t>
  </si>
  <si>
    <t>서울특별시 관악구 은천로15길 25</t>
  </si>
  <si>
    <t>서울관악초등학교</t>
  </si>
  <si>
    <t>서울특별시 관악구 청룡4길 49</t>
  </si>
  <si>
    <t>서울광남고등학교</t>
    <phoneticPr fontId="18" type="noConversion"/>
  </si>
  <si>
    <t>서울 광진구 아차산로70길 17-16</t>
    <phoneticPr fontId="18" type="noConversion"/>
  </si>
  <si>
    <t>010-9623-6469</t>
    <phoneticPr fontId="18" type="noConversion"/>
  </si>
  <si>
    <t>서울광남초등학교</t>
  </si>
  <si>
    <t>서울특별시 광진구 아차산로70길 35</t>
  </si>
  <si>
    <t>서울광문고등학교</t>
    <phoneticPr fontId="18" type="noConversion"/>
  </si>
  <si>
    <t>서울특별시 강동구 동남로 968</t>
    <phoneticPr fontId="18" type="noConversion"/>
  </si>
  <si>
    <t>광문고등학교</t>
    <phoneticPr fontId="18" type="noConversion"/>
  </si>
  <si>
    <t>02-427-2871</t>
    <phoneticPr fontId="18" type="noConversion"/>
  </si>
  <si>
    <t>서울광장중학교</t>
    <phoneticPr fontId="18" type="noConversion"/>
  </si>
  <si>
    <t>서울특별시 광진구 광장로1길 1</t>
    <phoneticPr fontId="18" type="noConversion"/>
  </si>
  <si>
    <t>문소현 보건선생님</t>
    <phoneticPr fontId="18" type="noConversion"/>
  </si>
  <si>
    <t>070-8650-8368</t>
    <phoneticPr fontId="18" type="noConversion"/>
  </si>
  <si>
    <t>서울광장초등학교</t>
  </si>
  <si>
    <t>서울특별시 광진구 광장로1길 27</t>
  </si>
  <si>
    <t>서울광진초등학교</t>
  </si>
  <si>
    <t>서울특별시 광진구 자양로40길 41</t>
  </si>
  <si>
    <t>서울광희초등학교</t>
  </si>
  <si>
    <t>서울특별시 중구 다산로 269</t>
  </si>
  <si>
    <t>서울교동초등학교</t>
    <phoneticPr fontId="18" type="noConversion"/>
  </si>
  <si>
    <t>서울 종로구 삼일대로 446</t>
    <phoneticPr fontId="18" type="noConversion"/>
  </si>
  <si>
    <t>노미린 선생님</t>
    <phoneticPr fontId="18" type="noConversion"/>
  </si>
  <si>
    <t>010-5180-2105</t>
    <phoneticPr fontId="18" type="noConversion"/>
  </si>
  <si>
    <t>퀵</t>
    <phoneticPr fontId="18" type="noConversion"/>
  </si>
  <si>
    <t>서울교육대학교부설초등학교</t>
  </si>
  <si>
    <t>서울특별시 서초구 서초중앙로 96</t>
  </si>
  <si>
    <t>서울구남초등학교</t>
    <phoneticPr fontId="18" type="noConversion"/>
  </si>
  <si>
    <t>서울특별시 광진구 구의강변로 69</t>
    <phoneticPr fontId="18" type="noConversion"/>
  </si>
  <si>
    <t>황지혜 선생님</t>
    <phoneticPr fontId="18" type="noConversion"/>
  </si>
  <si>
    <t>010-9551-0365</t>
    <phoneticPr fontId="18" type="noConversion"/>
  </si>
  <si>
    <t>서울구로남초등학교</t>
  </si>
  <si>
    <t>서울특별시 구로구 디지털로27길 76</t>
  </si>
  <si>
    <t>서울구로초등학교</t>
  </si>
  <si>
    <t>서울특별시 구로구 구로중앙로27나길 9</t>
  </si>
  <si>
    <t>서울구룡초등학교</t>
  </si>
  <si>
    <t>서울특별시 강남구 개포로 263</t>
  </si>
  <si>
    <t>서울구산초등학교</t>
    <phoneticPr fontId="18" type="noConversion"/>
  </si>
  <si>
    <t>서울특별시 은평구 서오릉로15길 16</t>
    <phoneticPr fontId="18" type="noConversion"/>
  </si>
  <si>
    <t>고은미 보건선생님</t>
    <phoneticPr fontId="18" type="noConversion"/>
  </si>
  <si>
    <t>010-2350-8505</t>
    <phoneticPr fontId="18" type="noConversion"/>
  </si>
  <si>
    <t>서울구암중학교</t>
    <phoneticPr fontId="18" type="noConversion"/>
  </si>
  <si>
    <t>서울특별시 관악구 성현로 53</t>
    <phoneticPr fontId="18" type="noConversion"/>
  </si>
  <si>
    <t>윤종필 부장님</t>
  </si>
  <si>
    <t>010-3823-4765</t>
  </si>
  <si>
    <t>서울구암초등학교</t>
  </si>
  <si>
    <t>서울특별시 관악구 구암길 1</t>
  </si>
  <si>
    <t>서울구의초등학교</t>
  </si>
  <si>
    <t>서울특별시 광진구 광나루로30길 49</t>
  </si>
  <si>
    <t>서울구일초등학교</t>
    <phoneticPr fontId="18" type="noConversion"/>
  </si>
  <si>
    <t>서울특별시 구로구 구일로 68</t>
    <phoneticPr fontId="18" type="noConversion"/>
  </si>
  <si>
    <t>박명국 선생님</t>
    <phoneticPr fontId="18" type="noConversion"/>
  </si>
  <si>
    <t>010-5028-3394</t>
    <phoneticPr fontId="18" type="noConversion"/>
  </si>
  <si>
    <t>서울구현초등학교</t>
  </si>
  <si>
    <t>서울특별시 은평구 갈현로15길 51</t>
  </si>
  <si>
    <t>윤현자 선생님</t>
    <phoneticPr fontId="22" type="noConversion"/>
  </si>
  <si>
    <t>010-2328-9861</t>
    <phoneticPr fontId="22" type="noConversion"/>
  </si>
  <si>
    <t>서울국제고등학교</t>
  </si>
  <si>
    <t>서울특별시 종로구 성균관로13길 40</t>
  </si>
  <si>
    <t>서울군자초등학교</t>
    <phoneticPr fontId="18" type="noConversion"/>
  </si>
  <si>
    <t>서울특별시 동대문구 한천로6길 21</t>
  </si>
  <si>
    <t>교무부장님</t>
    <phoneticPr fontId="18" type="noConversion"/>
  </si>
  <si>
    <t>010-2205-9635</t>
    <phoneticPr fontId="18" type="noConversion"/>
  </si>
  <si>
    <t>서울금나래초등학교</t>
  </si>
  <si>
    <t>서울특별시 금천구 시흥대로79길 37</t>
  </si>
  <si>
    <t>서울금동초등학교</t>
  </si>
  <si>
    <t>서울특별시 금천구 금하로30길 53</t>
  </si>
  <si>
    <t>서울금북초등학교</t>
  </si>
  <si>
    <t>서울특별시 성동구 행당로1길 13</t>
  </si>
  <si>
    <t>서울금산초등학교</t>
  </si>
  <si>
    <t>서울특별시 금천구 시흥대로24길 57</t>
  </si>
  <si>
    <t>서울금양초등학교</t>
  </si>
  <si>
    <t>서울특별시 용산구 효창원로 137</t>
  </si>
  <si>
    <t>서울금옥초등학교</t>
  </si>
  <si>
    <t>서울특별시 성동구 독서당로 251</t>
  </si>
  <si>
    <t>서울금융고등학교</t>
    <phoneticPr fontId="18" type="noConversion"/>
  </si>
  <si>
    <t xml:space="preserve">서울특별시 양천구 가로공원로61길 19 </t>
    <phoneticPr fontId="18" type="noConversion"/>
  </si>
  <si>
    <t>최하영 선생님</t>
    <phoneticPr fontId="18" type="noConversion"/>
  </si>
  <si>
    <t>070-4908-1798</t>
    <phoneticPr fontId="18" type="noConversion"/>
  </si>
  <si>
    <t>서울금천초등학교</t>
  </si>
  <si>
    <t>서울특별시 금천구 탑골로5길 60</t>
  </si>
  <si>
    <t>서울금호초등학교</t>
  </si>
  <si>
    <t>서울특별시 성동구 무수막길 69</t>
  </si>
  <si>
    <t>02-2237-7495</t>
    <phoneticPr fontId="18" type="noConversion"/>
  </si>
  <si>
    <t>서울금화초등학교</t>
  </si>
  <si>
    <t>서울특별시 서대문구 통일로 165</t>
  </si>
  <si>
    <t>서울길동초등학교</t>
  </si>
  <si>
    <t>서울특별시 강동구 양재대로116길 69</t>
  </si>
  <si>
    <t>김정현 선생님</t>
    <phoneticPr fontId="22" type="noConversion"/>
  </si>
  <si>
    <t>010-2157-0308</t>
    <phoneticPr fontId="22" type="noConversion"/>
  </si>
  <si>
    <t>서울길원초등학교</t>
    <phoneticPr fontId="18" type="noConversion"/>
  </si>
  <si>
    <t>서울특별시 성북구 길음로15길 55</t>
    <phoneticPr fontId="18" type="noConversion"/>
  </si>
  <si>
    <t>이남희 담당자님</t>
    <phoneticPr fontId="18" type="noConversion"/>
  </si>
  <si>
    <t>010-3667-6016</t>
    <phoneticPr fontId="18" type="noConversion"/>
  </si>
  <si>
    <t>서울길음초등학교</t>
  </si>
  <si>
    <t>서울특별시 성북구 길음로 142</t>
  </si>
  <si>
    <t>서울난곡초등학교</t>
  </si>
  <si>
    <t>서울특별시 관악구 난곡로35길 102</t>
  </si>
  <si>
    <t>서울난우초등학교</t>
    <phoneticPr fontId="18" type="noConversion"/>
  </si>
  <si>
    <t>서울특별시 관악구 난우길 40</t>
    <phoneticPr fontId="18" type="noConversion"/>
  </si>
  <si>
    <t>최동원 선생님</t>
    <phoneticPr fontId="18" type="noConversion"/>
  </si>
  <si>
    <t>010-2613-7687</t>
    <phoneticPr fontId="18" type="noConversion"/>
  </si>
  <si>
    <t>서울난향초등학교</t>
  </si>
  <si>
    <t>서울특별시 관악구 난향길 9</t>
  </si>
  <si>
    <t>서울남명초등학교</t>
  </si>
  <si>
    <t>서울특별시 양천구 중앙로23길 3</t>
  </si>
  <si>
    <t>서울남부초등학교</t>
  </si>
  <si>
    <t>서울특별시 관악구 남부순환로163길 14</t>
  </si>
  <si>
    <t>김정아 선생님</t>
    <phoneticPr fontId="22" type="noConversion"/>
  </si>
  <si>
    <t>010-7156-3077</t>
    <phoneticPr fontId="22" type="noConversion"/>
  </si>
  <si>
    <t>보건실</t>
    <phoneticPr fontId="22" type="noConversion"/>
  </si>
  <si>
    <t>서울남사초등학교</t>
  </si>
  <si>
    <t>서울특별시 동작구 동작대로13길 22</t>
  </si>
  <si>
    <t>서울남산초등학교</t>
  </si>
  <si>
    <t>서울특별시 중구 퇴계로22길 17</t>
  </si>
  <si>
    <t>서울남서울중학교</t>
    <phoneticPr fontId="18" type="noConversion"/>
  </si>
  <si>
    <t xml:space="preserve">서울 관악구 남부순환로172길 97 </t>
    <phoneticPr fontId="18" type="noConversion"/>
  </si>
  <si>
    <t>고남경 선생님</t>
    <phoneticPr fontId="18" type="noConversion"/>
  </si>
  <si>
    <t>010-3212-3586</t>
    <phoneticPr fontId="18" type="noConversion"/>
  </si>
  <si>
    <t>서울남성초등학교</t>
  </si>
  <si>
    <t>서울특별시 동작구 사당로23길 57-14</t>
  </si>
  <si>
    <t>서울남정초등학교</t>
  </si>
  <si>
    <t>서울특별시 용산구 원효로64길 17-10</t>
  </si>
  <si>
    <t>서울남천초등학교</t>
  </si>
  <si>
    <t>서울특별시 송파구 성내천로 207</t>
  </si>
  <si>
    <t>서울내발산초등학교</t>
  </si>
  <si>
    <t>서울특별시 강서구 강서로46길 23</t>
  </si>
  <si>
    <t>서울노량진초등학교</t>
    <phoneticPr fontId="18" type="noConversion"/>
  </si>
  <si>
    <t>서울 동작구 장승배기로 160 서울노량진초등학교</t>
    <phoneticPr fontId="18" type="noConversion"/>
  </si>
  <si>
    <t>02-815-1274</t>
    <phoneticPr fontId="18" type="noConversion"/>
  </si>
  <si>
    <t>서울노원초등학교</t>
  </si>
  <si>
    <t>서울특별시 노원구 동일로230나길 32</t>
  </si>
  <si>
    <t>서울노일초등학교</t>
  </si>
  <si>
    <t>서울특별시 노원구 동일로 1625</t>
  </si>
  <si>
    <t>서울녹번초등학교</t>
  </si>
  <si>
    <t>서울특별시 은평구 녹번로1길 1</t>
  </si>
  <si>
    <t>서울녹천초등학교</t>
  </si>
  <si>
    <t>서울특별시 노원구 마들로3길 34</t>
  </si>
  <si>
    <t>서울논현초등학교</t>
  </si>
  <si>
    <t>서울특별시 강남구 강남대로120길 33</t>
  </si>
  <si>
    <t>서울농학교</t>
    <phoneticPr fontId="18" type="noConversion"/>
  </si>
  <si>
    <t>서울특별시 종로구 필운대로 103</t>
    <phoneticPr fontId="18" type="noConversion"/>
  </si>
  <si>
    <t>국립청각장애교육지원센터</t>
    <phoneticPr fontId="18" type="noConversion"/>
  </si>
  <si>
    <t>02-724-7946</t>
    <phoneticPr fontId="18" type="noConversion"/>
  </si>
  <si>
    <t>wishsun@sen.go.kr</t>
    <phoneticPr fontId="18" type="noConversion"/>
  </si>
  <si>
    <t>서울누원초등학교</t>
  </si>
  <si>
    <t>서울특별시 도봉구 마들로 859-44</t>
  </si>
  <si>
    <t>서울답십리초등학교</t>
  </si>
  <si>
    <t>서울특별시 동대문구 전농로3길 23</t>
  </si>
  <si>
    <t>서울당곡중학교</t>
    <phoneticPr fontId="18" type="noConversion"/>
  </si>
  <si>
    <t>서울특별시 관악구 봉천로13길 101 본관1층 체육안전부</t>
    <phoneticPr fontId="18" type="noConversion"/>
  </si>
  <si>
    <t>이재훈 선생님</t>
    <phoneticPr fontId="18" type="noConversion"/>
  </si>
  <si>
    <t>010-8743-2513</t>
    <phoneticPr fontId="18" type="noConversion"/>
  </si>
  <si>
    <t>서울당곡초등학교</t>
  </si>
  <si>
    <t>서울특별시 관악구 보라매로2길 23</t>
  </si>
  <si>
    <t>서울당산초등학교</t>
  </si>
  <si>
    <t>서울특별시 영등포구 선유로55길 32</t>
  </si>
  <si>
    <t>서울당서초등학교</t>
  </si>
  <si>
    <t>서울특별시 영등포구 당산로 187</t>
  </si>
  <si>
    <t>서울당중초등학교</t>
  </si>
  <si>
    <t>서울특별시 영등포구 선유로 131</t>
  </si>
  <si>
    <t>서울당현초등학교</t>
    <phoneticPr fontId="18" type="noConversion"/>
  </si>
  <si>
    <t>서울특별시 노원구 동일로213길 52</t>
    <phoneticPr fontId="18" type="noConversion"/>
  </si>
  <si>
    <t>이혜영 보건선생님</t>
    <phoneticPr fontId="18" type="noConversion"/>
  </si>
  <si>
    <t>010-8701-4528</t>
    <phoneticPr fontId="18" type="noConversion"/>
  </si>
  <si>
    <t>서울대곡초등학교</t>
    <phoneticPr fontId="18" type="noConversion"/>
  </si>
  <si>
    <t>서울특별시 강남구 남부순환로 3022</t>
    <phoneticPr fontId="18" type="noConversion"/>
  </si>
  <si>
    <t>김유진 선생님</t>
    <phoneticPr fontId="18" type="noConversion"/>
  </si>
  <si>
    <t>02-565-1941-119</t>
    <phoneticPr fontId="18" type="noConversion"/>
  </si>
  <si>
    <t>서울대길초등학교</t>
  </si>
  <si>
    <t>서울특별시 영등포구 대방천로 206</t>
  </si>
  <si>
    <t>서울대도초등학교</t>
    <phoneticPr fontId="18" type="noConversion"/>
  </si>
  <si>
    <t>서울특별시 강남구 선릉로 209</t>
    <phoneticPr fontId="18" type="noConversion"/>
  </si>
  <si>
    <t>이시현 선생님</t>
    <phoneticPr fontId="18" type="noConversion"/>
  </si>
  <si>
    <t>010-8983-5618</t>
    <phoneticPr fontId="18" type="noConversion"/>
  </si>
  <si>
    <t>hyeon5618@sen.go.kr</t>
    <phoneticPr fontId="18" type="noConversion"/>
  </si>
  <si>
    <t>서울대동초등학교</t>
  </si>
  <si>
    <t>서울특별시 영등포구 대림로21길 6</t>
  </si>
  <si>
    <t>서울대림초등학교</t>
  </si>
  <si>
    <t>서울특별시 동작구 대방동1길 22</t>
  </si>
  <si>
    <t>서울대명초등학교</t>
  </si>
  <si>
    <t>서울특별시 강동구 상암로 271</t>
  </si>
  <si>
    <t>서울대모초등학교</t>
  </si>
  <si>
    <t>서울특별시 강남구 광평로20길 27</t>
  </si>
  <si>
    <t>서울대방초등학교</t>
  </si>
  <si>
    <t>서울특별시 영등포구 여의대방로35길 14</t>
  </si>
  <si>
    <t>서울대신초등학교</t>
  </si>
  <si>
    <t>서울특별시 서대문구 이화여대2길 27</t>
  </si>
  <si>
    <t>서울대영초등학교</t>
  </si>
  <si>
    <t>서울특별시 영등포구 신길로23길 43</t>
  </si>
  <si>
    <t>서울대왕초등학교</t>
    <phoneticPr fontId="18" type="noConversion"/>
  </si>
  <si>
    <t>서울 강남구 헌릉로618길 8</t>
    <phoneticPr fontId="18" type="noConversion"/>
  </si>
  <si>
    <t>김지영 선생님</t>
    <phoneticPr fontId="18" type="noConversion"/>
  </si>
  <si>
    <t>010-8707-7260</t>
    <phoneticPr fontId="18" type="noConversion"/>
  </si>
  <si>
    <t>서울대원고등학교</t>
    <phoneticPr fontId="18" type="noConversion"/>
  </si>
  <si>
    <t>서울 광진구 용마산로22길 26 보건실</t>
    <phoneticPr fontId="18" type="noConversion"/>
  </si>
  <si>
    <t>문다영 선생님</t>
    <phoneticPr fontId="18" type="noConversion"/>
  </si>
  <si>
    <t>010-9666-8070</t>
    <phoneticPr fontId="18" type="noConversion"/>
  </si>
  <si>
    <t>서울대은초등학교</t>
  </si>
  <si>
    <t>서울특별시 은평구 통일로69길 12-15</t>
  </si>
  <si>
    <t>서울대조초등학교</t>
  </si>
  <si>
    <t>서울특별시 은평구 연서로18길 17</t>
  </si>
  <si>
    <t>서울대진초등학교</t>
  </si>
  <si>
    <t>서울특별시 강남구 개포로109길 74</t>
  </si>
  <si>
    <t>서울대청초등학교</t>
    <phoneticPr fontId="18" type="noConversion"/>
  </si>
  <si>
    <t>서울특별시 강남구 양재대로55길 28</t>
    <phoneticPr fontId="18" type="noConversion"/>
  </si>
  <si>
    <t>김민지 선생님</t>
    <phoneticPr fontId="18" type="noConversion"/>
  </si>
  <si>
    <t>0507-1774-5917</t>
    <phoneticPr fontId="18" type="noConversion"/>
  </si>
  <si>
    <t>서울대치초등학교</t>
  </si>
  <si>
    <t>서울특별시 강남구 양재천로 363</t>
  </si>
  <si>
    <t>02-555-2455</t>
  </si>
  <si>
    <t>서울대학교사범대학부설고등학교</t>
  </si>
  <si>
    <t>서울특별시 성북구 월곡로 6</t>
  </si>
  <si>
    <t>서울대학교사범대학부설여자중학교</t>
  </si>
  <si>
    <t>서울특별시 종로구 대학로 64</t>
  </si>
  <si>
    <t>서울대학교사범대학부설중학교</t>
  </si>
  <si>
    <t>서울특별시 성북구 월곡로 36</t>
  </si>
  <si>
    <t>서울대학교사범대학부설초등학교</t>
  </si>
  <si>
    <t>서울대현초등학교</t>
    <phoneticPr fontId="18" type="noConversion"/>
  </si>
  <si>
    <t>서울특별시 강남구 역삼로98길 16</t>
  </si>
  <si>
    <t>박소영 선생님</t>
    <phoneticPr fontId="18" type="noConversion"/>
  </si>
  <si>
    <t>010-9633-2315</t>
    <phoneticPr fontId="18" type="noConversion"/>
  </si>
  <si>
    <t>서울덕수중학교</t>
  </si>
  <si>
    <t>서울 중구 마른내길 9길 10</t>
  </si>
  <si>
    <t>황선아선생님</t>
    <phoneticPr fontId="22" type="noConversion"/>
  </si>
  <si>
    <t>010-3397-1823</t>
    <phoneticPr fontId="22" type="noConversion"/>
  </si>
  <si>
    <t>서울덕수초등학교</t>
    <phoneticPr fontId="18" type="noConversion"/>
  </si>
  <si>
    <t>서울특별시 중구 덕수궁길 140 (중구 정동 1-76)</t>
    <phoneticPr fontId="18" type="noConversion"/>
  </si>
  <si>
    <t>최수진 보건선생님</t>
    <phoneticPr fontId="18" type="noConversion"/>
  </si>
  <si>
    <t>010-3650-5440</t>
    <phoneticPr fontId="18" type="noConversion"/>
  </si>
  <si>
    <t>서울덕암초등학교</t>
  </si>
  <si>
    <t>서울특별시 노원구 덕릉로112길 68</t>
  </si>
  <si>
    <t>서울덕의초등학교</t>
  </si>
  <si>
    <t>서울특별시 구로구 고척로 213</t>
  </si>
  <si>
    <t>서울도곡초등학교</t>
  </si>
  <si>
    <t>서울특별시 강남구 선릉로64길 33</t>
  </si>
  <si>
    <t>서울도림초등학교</t>
  </si>
  <si>
    <t>서울특별시 영등포구 가마산로65길 22</t>
  </si>
  <si>
    <t>서울도봉초등학교</t>
  </si>
  <si>
    <t>서울특별시 도봉구 도봉로173길 96</t>
  </si>
  <si>
    <t>서울도성초등학교</t>
  </si>
  <si>
    <t>서울특별시 강남구 역삼로 313</t>
  </si>
  <si>
    <t>서울도시과학기술고등학교</t>
  </si>
  <si>
    <t>서울특별시 성북구 종암로 196</t>
  </si>
  <si>
    <t>서울도신초등학교</t>
  </si>
  <si>
    <t>서울특별시 영등포구 도림로53길 32-9</t>
  </si>
  <si>
    <t>서울독립문초등학교</t>
    <phoneticPr fontId="18" type="noConversion"/>
  </si>
  <si>
    <t>서울특별시 종로구 통일로12길 23</t>
    <phoneticPr fontId="18" type="noConversion"/>
  </si>
  <si>
    <t>서울독산초등학교</t>
  </si>
  <si>
    <t>서울특별시 금천구 시흥대로104길 31</t>
  </si>
  <si>
    <t>서울돈암초등학교</t>
  </si>
  <si>
    <t>서울특별시 성북구 동소문로13길 38</t>
  </si>
  <si>
    <t>서울동교초등학교</t>
  </si>
  <si>
    <t>서울특별시 마포구 월드컵로25길 86</t>
  </si>
  <si>
    <t>서울동구로초등학교</t>
  </si>
  <si>
    <t>서울특별시 구로구 구로중앙로14길 43</t>
  </si>
  <si>
    <t>서울동답초등학교</t>
  </si>
  <si>
    <t>서울특별시 동대문구 답십리로60길 12</t>
  </si>
  <si>
    <t>서울동명초등학교</t>
  </si>
  <si>
    <t>서울특별시 성동구 마장로29길 29</t>
  </si>
  <si>
    <t>김소은 선생님</t>
  </si>
  <si>
    <t>010-2566-1052</t>
  </si>
  <si>
    <t>서울동북중학교</t>
    <phoneticPr fontId="18" type="noConversion"/>
  </si>
  <si>
    <t>서울특별시 강동구 강동대로 305 보건실</t>
    <phoneticPr fontId="18" type="noConversion"/>
  </si>
  <si>
    <t>010-9782-8766</t>
    <phoneticPr fontId="18" type="noConversion"/>
  </si>
  <si>
    <t>서울동산고등학교</t>
  </si>
  <si>
    <t>서울특별시 노원구 공릉로 257</t>
  </si>
  <si>
    <t>서울동신초등학교</t>
  </si>
  <si>
    <t>서울특별시 성북구 보문사길 50</t>
  </si>
  <si>
    <t>서울동원초등학교</t>
  </si>
  <si>
    <t>서울특별시 중랑구 송림길 114</t>
  </si>
  <si>
    <t>서울동의초등학교</t>
  </si>
  <si>
    <t>서울특별시 광진구 영화사로 111</t>
  </si>
  <si>
    <t>서울동일초등학교</t>
  </si>
  <si>
    <t>서울특별시 노원구 한글비석로 566</t>
  </si>
  <si>
    <t>서울동자초등학교</t>
  </si>
  <si>
    <t>서울특별시 광진구 뚝섬로 561</t>
  </si>
  <si>
    <t>김은경 선생님</t>
    <phoneticPr fontId="22" type="noConversion"/>
  </si>
  <si>
    <t>010-6312-4561</t>
    <phoneticPr fontId="22" type="noConversion"/>
  </si>
  <si>
    <t>서울동작초등학교</t>
  </si>
  <si>
    <t>서울특별시 동작구 동작대로29길 214</t>
  </si>
  <si>
    <t>서울동호초등학교</t>
    <phoneticPr fontId="18" type="noConversion"/>
  </si>
  <si>
    <t>서울특별시 성동구 동호로5길 133</t>
    <phoneticPr fontId="18" type="noConversion"/>
  </si>
  <si>
    <t>김현철 담당자님</t>
    <phoneticPr fontId="18" type="noConversion"/>
  </si>
  <si>
    <t>010-8928-9516</t>
    <phoneticPr fontId="18" type="noConversion"/>
  </si>
  <si>
    <t>서울두산초등학교</t>
  </si>
  <si>
    <t>서울특별시 금천구 범안로11길 3</t>
  </si>
  <si>
    <t>서울등마초등학교</t>
  </si>
  <si>
    <t>서울특별시 강서구 등촌로35길 12</t>
  </si>
  <si>
    <t>서울등명초등학교</t>
  </si>
  <si>
    <t>서울특별시 강서구 강서로56나길 34</t>
  </si>
  <si>
    <t>서울등서초등학교</t>
  </si>
  <si>
    <t>서울특별시 강서구 화곡로58길 86</t>
  </si>
  <si>
    <t>정혜정 선생님</t>
    <phoneticPr fontId="22" type="noConversion"/>
  </si>
  <si>
    <t>010-9247-5691</t>
    <phoneticPr fontId="22" type="noConversion"/>
  </si>
  <si>
    <t>서울등양초등학교</t>
  </si>
  <si>
    <t>서울특별시 강서구 강서로56나길 140</t>
  </si>
  <si>
    <t>정한철 선생님</t>
    <phoneticPr fontId="22" type="noConversion"/>
  </si>
  <si>
    <t>010-8941-9678</t>
    <phoneticPr fontId="22" type="noConversion"/>
  </si>
  <si>
    <t>서울등원초등학교</t>
  </si>
  <si>
    <t>서울특별시 강서구 화곡로65길 90</t>
  </si>
  <si>
    <t>서울등촌초등학교</t>
  </si>
  <si>
    <t>서울특별시 강서구 등촌로39길 71</t>
  </si>
  <si>
    <t>02-2653-9374</t>
  </si>
  <si>
    <t>서울등현초등학교</t>
  </si>
  <si>
    <t>서울특별시 강서구 화곡로65길 124</t>
  </si>
  <si>
    <t>서울디자인고등학교</t>
  </si>
  <si>
    <t>서울디지텍고등학교</t>
  </si>
  <si>
    <t>서울특별시 용산구 회나무로12길 27</t>
  </si>
  <si>
    <t>서울로봇고등학교</t>
  </si>
  <si>
    <t>서울특별시 강남구 광평로20길 63</t>
  </si>
  <si>
    <t>서울마장초등학교</t>
  </si>
  <si>
    <t>서울마천초등학교</t>
  </si>
  <si>
    <t>서울특별시 송파구 마천로61다길 24</t>
  </si>
  <si>
    <t>서울마포중학교</t>
    <phoneticPr fontId="18" type="noConversion"/>
  </si>
  <si>
    <t>서울특별시 강서구 화곡로 403</t>
    <phoneticPr fontId="18" type="noConversion"/>
  </si>
  <si>
    <t>김주라 보건선생님</t>
    <phoneticPr fontId="18" type="noConversion"/>
  </si>
  <si>
    <t>010-9705-1850</t>
    <phoneticPr fontId="18" type="noConversion"/>
  </si>
  <si>
    <t>서울마포초등학교</t>
  </si>
  <si>
    <t>서울특별시 마포구 도화2길 64</t>
  </si>
  <si>
    <t>서울망우초등학교</t>
  </si>
  <si>
    <t>서울특별시 중랑구 망우로72길 49</t>
  </si>
  <si>
    <t>서울망원초등학교</t>
  </si>
  <si>
    <t>서울특별시 마포구 방울내로5길 28</t>
  </si>
  <si>
    <t>서울매동초등학교</t>
  </si>
  <si>
    <t>서울특별시 종로구 사직로9길 19</t>
  </si>
  <si>
    <t>서울매봉초등학교</t>
  </si>
  <si>
    <t>서울특별시 구로구 고척로21길 55</t>
  </si>
  <si>
    <t>서울매헌초등학교</t>
    <phoneticPr fontId="18" type="noConversion"/>
  </si>
  <si>
    <t>서울특별시 서초구 언남길 8</t>
    <phoneticPr fontId="18" type="noConversion"/>
  </si>
  <si>
    <t>010-8627-2628</t>
    <phoneticPr fontId="18" type="noConversion"/>
  </si>
  <si>
    <t>서울면남초등학교</t>
  </si>
  <si>
    <t>서울특별시 중랑구 면목로30나길 38</t>
  </si>
  <si>
    <t>서울면동초등학교</t>
  </si>
  <si>
    <t>서울특별시 중랑구 면목로57길 32</t>
  </si>
  <si>
    <t>채현숙 선생님</t>
  </si>
  <si>
    <t>010-4207-3472</t>
  </si>
  <si>
    <t>서울면목초등학교</t>
  </si>
  <si>
    <t>서울특별시 중랑구 면목로 434</t>
  </si>
  <si>
    <t>서울면북초등학교</t>
  </si>
  <si>
    <t>서울특별시 중랑구 용마공원로5길 32</t>
  </si>
  <si>
    <t>서울면일초등학교</t>
  </si>
  <si>
    <t>서울특별시 중랑구 용마산로100길 13</t>
  </si>
  <si>
    <t>서울면중초등학교</t>
  </si>
  <si>
    <t>서울특별시 중랑구 용마산로70길 43</t>
  </si>
  <si>
    <t>서울명덕외국어고등학교</t>
    <phoneticPr fontId="18" type="noConversion"/>
  </si>
  <si>
    <t>서울특별시 강서구 강서로47길 34-10</t>
    <phoneticPr fontId="18" type="noConversion"/>
  </si>
  <si>
    <t>cm207@sen.go.kr</t>
    <phoneticPr fontId="18" type="noConversion"/>
  </si>
  <si>
    <t>서울명덕초등학교</t>
  </si>
  <si>
    <t>서울특별시 강동구 양재대로156길 11</t>
  </si>
  <si>
    <t>서울명신초등학교</t>
  </si>
  <si>
    <t>서울특별시 종로구 낙산길 250</t>
  </si>
  <si>
    <t>서울명원초등학교</t>
  </si>
  <si>
    <t>서울특별시 강동구 명일로 364</t>
  </si>
  <si>
    <t>서울명일초등학교</t>
  </si>
  <si>
    <t>서울특별시 강동구 고덕로38길 8</t>
  </si>
  <si>
    <t>서울목동초등학교</t>
  </si>
  <si>
    <t>서울특별시 양천구 목동동로12길 12</t>
  </si>
  <si>
    <t>서울목원초등학교</t>
  </si>
  <si>
    <t>서울특별시 양천구 목동중앙로 204</t>
  </si>
  <si>
    <t>서울목일중학교</t>
    <phoneticPr fontId="18" type="noConversion"/>
  </si>
  <si>
    <t>서울특별시 양천구 모동동로8길 70</t>
    <phoneticPr fontId="18" type="noConversion"/>
  </si>
  <si>
    <t>010-0243-0867</t>
    <phoneticPr fontId="18" type="noConversion"/>
  </si>
  <si>
    <t>서울묘곡초등학교</t>
    <phoneticPr fontId="18" type="noConversion"/>
  </si>
  <si>
    <t>서울특별시 강동구 동남로79길 46</t>
    <phoneticPr fontId="18" type="noConversion"/>
  </si>
  <si>
    <t>정유진 보건선생님</t>
    <phoneticPr fontId="18" type="noConversion"/>
  </si>
  <si>
    <t>010-2822-3207</t>
    <phoneticPr fontId="18" type="noConversion"/>
  </si>
  <si>
    <t>서울무학중학교</t>
    <phoneticPr fontId="18" type="noConversion"/>
  </si>
  <si>
    <t>최윤희 선생님</t>
    <phoneticPr fontId="18" type="noConversion"/>
  </si>
  <si>
    <t>010-2745-0907</t>
    <phoneticPr fontId="18" type="noConversion"/>
  </si>
  <si>
    <t>서울무학초등학교</t>
    <phoneticPr fontId="18" type="noConversion"/>
  </si>
  <si>
    <t>서울특별시 성동구 무학봉15길 21</t>
    <phoneticPr fontId="18" type="noConversion"/>
  </si>
  <si>
    <t>이동춘 선생님</t>
    <phoneticPr fontId="18" type="noConversion"/>
  </si>
  <si>
    <t>010-8647-1651</t>
    <phoneticPr fontId="18" type="noConversion"/>
  </si>
  <si>
    <t>서울묵동초등학교</t>
  </si>
  <si>
    <t>서울특별시 중랑구 동일로138길 27</t>
  </si>
  <si>
    <t>김미성 선생님</t>
    <phoneticPr fontId="22" type="noConversion"/>
  </si>
  <si>
    <t>010-8987-6322</t>
    <phoneticPr fontId="22" type="noConversion"/>
  </si>
  <si>
    <t>서울묵현초등학교</t>
  </si>
  <si>
    <t>서울특별시 중랑구 동일로157길 75</t>
  </si>
  <si>
    <t>서울문교초등학교</t>
  </si>
  <si>
    <t>서울특별시 금천구 독산로54길 102</t>
  </si>
  <si>
    <t>서울문덕초등학교</t>
  </si>
  <si>
    <t>서울특별시 송파구 송이로34길 60</t>
  </si>
  <si>
    <t>서울문래초등학교</t>
    <phoneticPr fontId="18" type="noConversion"/>
  </si>
  <si>
    <t>서울특별시 영등포구 문래로 104</t>
    <phoneticPr fontId="18" type="noConversion"/>
  </si>
  <si>
    <t>전산담당선생님</t>
    <phoneticPr fontId="18" type="noConversion"/>
  </si>
  <si>
    <t>010-9921-0826</t>
    <phoneticPr fontId="18" type="noConversion"/>
  </si>
  <si>
    <t>서울문백초등학교</t>
    <phoneticPr fontId="18" type="noConversion"/>
  </si>
  <si>
    <t>서울특별시 금천구 시흥대로 47길 43-1</t>
    <phoneticPr fontId="18" type="noConversion"/>
  </si>
  <si>
    <t xml:space="preserve">박찬규 </t>
    <phoneticPr fontId="18" type="noConversion"/>
  </si>
  <si>
    <t>02-803-4155(내선240)</t>
    <phoneticPr fontId="18" type="noConversion"/>
  </si>
  <si>
    <t>ifox311@sen.go.kr</t>
    <phoneticPr fontId="18" type="noConversion"/>
  </si>
  <si>
    <t>서울문성초등학교</t>
  </si>
  <si>
    <t>서울특별시 금천구 시흥대로 460</t>
  </si>
  <si>
    <t>서울문영여자고등학교</t>
  </si>
  <si>
    <t>서울특별시 관악구 관악로 85</t>
  </si>
  <si>
    <t>서울문영여자중학교</t>
  </si>
  <si>
    <t>서울문정초등학교</t>
    <phoneticPr fontId="18" type="noConversion"/>
  </si>
  <si>
    <t>서울특별시 송파구 문정로5길 20</t>
  </si>
  <si>
    <t>소혜숙 선생님</t>
    <phoneticPr fontId="18" type="noConversion"/>
  </si>
  <si>
    <t>010-7242-0969</t>
    <phoneticPr fontId="18" type="noConversion"/>
  </si>
  <si>
    <t>서울문창초등학교</t>
  </si>
  <si>
    <t>서울특별시 동작구 신대방2길 14</t>
  </si>
  <si>
    <t>서울문현중학교</t>
    <phoneticPr fontId="18" type="noConversion"/>
  </si>
  <si>
    <t>서울특별시 송파구 충민로 99</t>
    <phoneticPr fontId="18" type="noConversion"/>
  </si>
  <si>
    <t>유석천 담당자님</t>
    <phoneticPr fontId="18" type="noConversion"/>
  </si>
  <si>
    <t>010-3814-9672</t>
    <phoneticPr fontId="18" type="noConversion"/>
  </si>
  <si>
    <t>서울문현초등학교</t>
  </si>
  <si>
    <t>서울특별시 송파구 충민로 137</t>
  </si>
  <si>
    <t>서울문화고등학교</t>
  </si>
  <si>
    <t>서울특별시 도봉구 마들로 598</t>
  </si>
  <si>
    <t>서울미동초등학교</t>
  </si>
  <si>
    <t>서울특별시 서대문구 충정로 52</t>
  </si>
  <si>
    <t>한정미 선생님</t>
  </si>
  <si>
    <t>010-2483-8665</t>
  </si>
  <si>
    <t>서울미래초등학교</t>
  </si>
  <si>
    <t>서울특별시 구로구 새말로 73</t>
  </si>
  <si>
    <t>서울미성초등학교</t>
    <phoneticPr fontId="18" type="noConversion"/>
  </si>
  <si>
    <t>서울특별시 관악구 문성로 79 교무실</t>
    <phoneticPr fontId="18" type="noConversion"/>
  </si>
  <si>
    <t>류승미 선생님</t>
    <phoneticPr fontId="18" type="noConversion"/>
  </si>
  <si>
    <t>010-9766-2739</t>
    <phoneticPr fontId="18" type="noConversion"/>
  </si>
  <si>
    <t>서울미술고등학교</t>
  </si>
  <si>
    <t>서울특별시 관악구 남부순환로247길 26</t>
  </si>
  <si>
    <t>서울미아초등학교</t>
  </si>
  <si>
    <t>서울특별시 성북구 삼양로 77</t>
  </si>
  <si>
    <t>서울미양초등학교</t>
  </si>
  <si>
    <t>서울특별시 강북구 솔샘로 195</t>
  </si>
  <si>
    <t>서울밀알학교</t>
    <phoneticPr fontId="18" type="noConversion"/>
  </si>
  <si>
    <t>서울시 강남구 일원로 90</t>
    <phoneticPr fontId="18" type="noConversion"/>
  </si>
  <si>
    <t>김종석 선생님</t>
    <phoneticPr fontId="18" type="noConversion"/>
  </si>
  <si>
    <t>010-7256-8486</t>
    <phoneticPr fontId="18" type="noConversion"/>
  </si>
  <si>
    <t>서울반원초등학교</t>
  </si>
  <si>
    <t>서울특별시 서초구 잠원로3길 28</t>
  </si>
  <si>
    <t>서울반포초등학교</t>
  </si>
  <si>
    <t>서울특별시 서초구 신반포로 55-4</t>
  </si>
  <si>
    <t>서울발산초등학교</t>
    <phoneticPr fontId="18" type="noConversion"/>
  </si>
  <si>
    <t>서울특별시 강서구 강서로45길 113</t>
  </si>
  <si>
    <t>김해순 선생님</t>
    <phoneticPr fontId="18" type="noConversion"/>
  </si>
  <si>
    <t>010-2973-6030</t>
    <phoneticPr fontId="18" type="noConversion"/>
  </si>
  <si>
    <t>서울방배초등학교</t>
  </si>
  <si>
    <t>서울특별시 서초구 방배중앙로13길 26</t>
  </si>
  <si>
    <t>서울방산중학교</t>
    <phoneticPr fontId="18" type="noConversion"/>
  </si>
  <si>
    <t xml:space="preserve"> 서울특별시 송파구 오금로29길 31 보건실</t>
    <phoneticPr fontId="18" type="noConversion"/>
  </si>
  <si>
    <t>박지인 선생님</t>
    <phoneticPr fontId="18" type="noConversion"/>
  </si>
  <si>
    <t>010-2109-7443</t>
    <phoneticPr fontId="18" type="noConversion"/>
  </si>
  <si>
    <t>서울방산초등학교</t>
    <phoneticPr fontId="18" type="noConversion"/>
  </si>
  <si>
    <t>서울특별시 송파구 오금로27길 42</t>
    <phoneticPr fontId="18" type="noConversion"/>
  </si>
  <si>
    <t>손유랑 선생님</t>
    <phoneticPr fontId="18" type="noConversion"/>
  </si>
  <si>
    <t>010-4185-2619</t>
    <phoneticPr fontId="18" type="noConversion"/>
  </si>
  <si>
    <t>서울방송고등학교</t>
  </si>
  <si>
    <t>서울특별시 성동구 동호로5길 131</t>
  </si>
  <si>
    <t>skyejm08@sen.go.kr</t>
    <phoneticPr fontId="22" type="noConversion"/>
  </si>
  <si>
    <t>서울방이초등학교</t>
  </si>
  <si>
    <t>서울특별시 송파구 위례성대로10길 4</t>
  </si>
  <si>
    <t>서울방일초등학교</t>
  </si>
  <si>
    <t>서울특별시 서초구 방배로18길 52</t>
  </si>
  <si>
    <t>서울방학초등학교</t>
  </si>
  <si>
    <t>서울특별시 도봉구 도당로9길 34</t>
  </si>
  <si>
    <t>서울방현초등학교</t>
  </si>
  <si>
    <t>서울특별시 서초구 효령로4길 58</t>
  </si>
  <si>
    <t>서울방화초등학교</t>
  </si>
  <si>
    <t xml:space="preserve">서울특별시 강서구 양천로 6길 92 </t>
  </si>
  <si>
    <t>정준수 선생님</t>
  </si>
  <si>
    <t>010-2549-6479</t>
  </si>
  <si>
    <t>서울배봉초등학교</t>
  </si>
  <si>
    <t>서울특별시 동대문구 사가정로 193</t>
  </si>
  <si>
    <t>서울배양초등학교</t>
  </si>
  <si>
    <t>경기도 화성시 융건로 90</t>
  </si>
  <si>
    <t>010-9052-7611</t>
  </si>
  <si>
    <t>서울백산초등학교</t>
  </si>
  <si>
    <t>서울특별시 금천구 시흥대로38길 78</t>
  </si>
  <si>
    <t>김완호 선생님</t>
    <phoneticPr fontId="22" type="noConversion"/>
  </si>
  <si>
    <t>010-3925-7080</t>
    <phoneticPr fontId="22" type="noConversion"/>
  </si>
  <si>
    <t>서울백석초등학교</t>
    <phoneticPr fontId="18" type="noConversion"/>
  </si>
  <si>
    <t>서울특별시 강서구 공항대로 491</t>
    <phoneticPr fontId="18" type="noConversion"/>
  </si>
  <si>
    <t>임보라 선생님</t>
    <phoneticPr fontId="18" type="noConversion"/>
  </si>
  <si>
    <t>010-5090-6573</t>
    <phoneticPr fontId="18" type="noConversion"/>
  </si>
  <si>
    <t>ldr6573@naver.com</t>
    <phoneticPr fontId="18" type="noConversion"/>
  </si>
  <si>
    <t>서울백암고등학교</t>
  </si>
  <si>
    <t>서울특별시 양천구 신정로13길 16 백암고등학교</t>
  </si>
  <si>
    <t>담당자님</t>
  </si>
  <si>
    <t>010-3752-0985</t>
  </si>
  <si>
    <t>서울백운초등학교</t>
    <phoneticPr fontId="18" type="noConversion"/>
  </si>
  <si>
    <t>서울특별시 도봉구 삼양로146길 17</t>
    <phoneticPr fontId="18" type="noConversion"/>
  </si>
  <si>
    <t>유혜진 보건선생님</t>
    <phoneticPr fontId="18" type="noConversion"/>
  </si>
  <si>
    <t>010-6523-7945</t>
    <phoneticPr fontId="18" type="noConversion"/>
  </si>
  <si>
    <t>서울버들초등학교</t>
    <phoneticPr fontId="18" type="noConversion"/>
  </si>
  <si>
    <t>서울특별시 송파구 석촌호수로 81,</t>
    <phoneticPr fontId="18" type="noConversion"/>
  </si>
  <si>
    <t>010-9949-4695</t>
    <phoneticPr fontId="18" type="noConversion"/>
  </si>
  <si>
    <t>서울번동초등학교</t>
  </si>
  <si>
    <t>서울특별시 강북구 오현로 204</t>
  </si>
  <si>
    <t>서울보광초등학교</t>
  </si>
  <si>
    <t>서울특별시 용산구 우사단로 20</t>
  </si>
  <si>
    <t>서울보라매초등학교</t>
    <phoneticPr fontId="18" type="noConversion"/>
  </si>
  <si>
    <t>서울특별시 동작구 여의대방로 16길 30</t>
    <phoneticPr fontId="18" type="noConversion"/>
  </si>
  <si>
    <t>최태경 선생님</t>
    <phoneticPr fontId="18" type="noConversion"/>
  </si>
  <si>
    <t>bdtiger@sen.go.kr</t>
    <phoneticPr fontId="18" type="noConversion"/>
  </si>
  <si>
    <t>서울보성여자중학교</t>
    <phoneticPr fontId="18" type="noConversion"/>
  </si>
  <si>
    <t>서울특별시 용산구 신흥로3가길 66 보건실</t>
    <phoneticPr fontId="18" type="noConversion"/>
  </si>
  <si>
    <t>석하미 선생님</t>
    <phoneticPr fontId="18" type="noConversion"/>
  </si>
  <si>
    <t>010-7114-2622</t>
    <phoneticPr fontId="18" type="noConversion"/>
  </si>
  <si>
    <t>서울본동초등학교</t>
    <phoneticPr fontId="18" type="noConversion"/>
  </si>
  <si>
    <t>서울봉래초등학교</t>
  </si>
  <si>
    <t>서울특별시 중구 손기정로 73</t>
  </si>
  <si>
    <t>서울봉은초등학교</t>
  </si>
  <si>
    <t>서울특별시 강남구 학동로 610</t>
  </si>
  <si>
    <t>서울봉천초등학교</t>
    <phoneticPr fontId="18" type="noConversion"/>
  </si>
  <si>
    <t>서울특별시 관악구 행운1라길 17</t>
    <phoneticPr fontId="18" type="noConversion"/>
  </si>
  <si>
    <t>김순귀 선생님</t>
    <phoneticPr fontId="18" type="noConversion"/>
  </si>
  <si>
    <t>010-2705-6193</t>
    <phoneticPr fontId="18" type="noConversion"/>
  </si>
  <si>
    <t>skwi1027@sen.go.kr</t>
    <phoneticPr fontId="18" type="noConversion"/>
  </si>
  <si>
    <t>서울봉현초등학교</t>
  </si>
  <si>
    <t>서울특별시 관악구 성현로 117</t>
  </si>
  <si>
    <t>서울봉화초등학교</t>
  </si>
  <si>
    <t>서울특별시 중랑구 신내로15길 110</t>
  </si>
  <si>
    <t>서울북가좌초등학교</t>
  </si>
  <si>
    <t>서울특별시 서대문구 거북골로19길 20</t>
  </si>
  <si>
    <t>서울북성초등학교</t>
  </si>
  <si>
    <t>서울특별시 서대문구 북아현로1나길 22</t>
  </si>
  <si>
    <t>서울북한산초등학교</t>
  </si>
  <si>
    <t>서울특별시 은평구 대서문길 42-3</t>
  </si>
  <si>
    <t>서울불광초등학교</t>
    <phoneticPr fontId="22" type="noConversion"/>
  </si>
  <si>
    <t>서울특별시 은평구 불광로 51</t>
    <phoneticPr fontId="22" type="noConversion"/>
  </si>
  <si>
    <t>박성환 선생님</t>
    <phoneticPr fontId="22" type="noConversion"/>
  </si>
  <si>
    <t>010-7918-2931</t>
    <phoneticPr fontId="22" type="noConversion"/>
  </si>
  <si>
    <t>서울불암초등학교</t>
  </si>
  <si>
    <t>서울특별시 노원구 중계로 178</t>
  </si>
  <si>
    <t>서울사근초등학교</t>
  </si>
  <si>
    <t>서울특별시 성동구 사근동11길 16</t>
  </si>
  <si>
    <t>서울사당초등학교</t>
  </si>
  <si>
    <t>서울특별시 관악구 남현4길 51</t>
  </si>
  <si>
    <t>서울삼각산초등학교</t>
  </si>
  <si>
    <t>서울삼광초등학교</t>
  </si>
  <si>
    <t>서울특별시 용산구 두텁바위로1나길 19</t>
  </si>
  <si>
    <t>서울삼릉초등학교</t>
    <phoneticPr fontId="18" type="noConversion"/>
  </si>
  <si>
    <t>서울특별시 강남구 봉은사로63길 22 1층 나눔실</t>
    <phoneticPr fontId="18" type="noConversion"/>
  </si>
  <si>
    <t>이경숙 선생님</t>
    <phoneticPr fontId="18" type="noConversion"/>
  </si>
  <si>
    <t>010-2387-8937</t>
    <phoneticPr fontId="18" type="noConversion"/>
  </si>
  <si>
    <t>서울삼선초등학교</t>
    <phoneticPr fontId="18" type="noConversion"/>
  </si>
  <si>
    <t>서울특별시 성북구 보문로29길 106</t>
    <phoneticPr fontId="18" type="noConversion"/>
  </si>
  <si>
    <t>정준태 담당자님</t>
    <phoneticPr fontId="18" type="noConversion"/>
  </si>
  <si>
    <t>010-4445-1884</t>
    <phoneticPr fontId="18" type="noConversion"/>
  </si>
  <si>
    <t>서울삼성초등학교</t>
  </si>
  <si>
    <t>서울특별시 관악구 대학7길 52</t>
  </si>
  <si>
    <t>서울삼양초등학교</t>
    <phoneticPr fontId="18" type="noConversion"/>
  </si>
  <si>
    <t>서울특별시 강북구 삼양로49길 17</t>
  </si>
  <si>
    <t>권유진 보건선생님</t>
    <phoneticPr fontId="18" type="noConversion"/>
  </si>
  <si>
    <t>010-4620-5963</t>
    <phoneticPr fontId="18" type="noConversion"/>
  </si>
  <si>
    <t>서울삼육초등학교</t>
  </si>
  <si>
    <t>서울특별시 동대문구 회기로10길 63</t>
  </si>
  <si>
    <t>서울삼일초등학교</t>
  </si>
  <si>
    <t>서울특별시 동작구 사당로23나길 27</t>
  </si>
  <si>
    <t>서울삼전초등학교</t>
  </si>
  <si>
    <t>서울특별시 송파구 백제고분로28길 19</t>
  </si>
  <si>
    <t>서울삼정초등학교</t>
  </si>
  <si>
    <t>서울특별시 강서구 금낭화로 222</t>
  </si>
  <si>
    <t>서울상경초등학교</t>
  </si>
  <si>
    <t>서울특별시 노원구 수락산로 237</t>
  </si>
  <si>
    <t>서울상계초등학교</t>
  </si>
  <si>
    <t>서울특별시 노원구 상계로9길 39</t>
  </si>
  <si>
    <t>서울상곡초등학교</t>
  </si>
  <si>
    <t>서울특별시 노원구 노원로38길 34</t>
  </si>
  <si>
    <t>서울상도초등학교</t>
    <phoneticPr fontId="18" type="noConversion"/>
  </si>
  <si>
    <t>서울특별시 동작구 성대로21길 62 3층 교무실</t>
    <phoneticPr fontId="18" type="noConversion"/>
  </si>
  <si>
    <t>조연덕 선생님</t>
    <phoneticPr fontId="18" type="noConversion"/>
  </si>
  <si>
    <t>010-2746-3982</t>
    <phoneticPr fontId="18" type="noConversion"/>
  </si>
  <si>
    <t>서울상봉초등학교</t>
  </si>
  <si>
    <t>서울특별시 중랑구 동일로126가길 11</t>
  </si>
  <si>
    <t>서울상수초등학교</t>
  </si>
  <si>
    <t>서울특별시 노원구 동일로216길 66</t>
  </si>
  <si>
    <t>김지희 선생님</t>
    <phoneticPr fontId="22" type="noConversion"/>
  </si>
  <si>
    <t>010-8258-3614</t>
    <phoneticPr fontId="22" type="noConversion"/>
  </si>
  <si>
    <t>서울상신초등학교</t>
  </si>
  <si>
    <t>서울특별시 은평구 가좌로 361</t>
  </si>
  <si>
    <t>서울상암초등학교</t>
    <phoneticPr fontId="18" type="noConversion"/>
  </si>
  <si>
    <t>서울특별시 마포구 월드컵북로 353</t>
    <phoneticPr fontId="18" type="noConversion"/>
  </si>
  <si>
    <t>010-3732-4979</t>
    <phoneticPr fontId="18" type="noConversion"/>
  </si>
  <si>
    <t>서울상원초등학교</t>
  </si>
  <si>
    <t>서울특별시 노원구 한글비석로54길 119</t>
  </si>
  <si>
    <t>서울상월초등학교</t>
  </si>
  <si>
    <t>서울특별시 노원구 동일로221길 27</t>
  </si>
  <si>
    <t>서울상일초등학교</t>
  </si>
  <si>
    <t>서울특별시 강동구 천호대로 1477</t>
  </si>
  <si>
    <t>서울상지초등학교</t>
    <phoneticPr fontId="18" type="noConversion"/>
  </si>
  <si>
    <t>서울특별시 마포구 월드컵로42길 30 (상암동)</t>
    <phoneticPr fontId="18" type="noConversion"/>
  </si>
  <si>
    <t>최성혜 선생님</t>
    <phoneticPr fontId="18" type="noConversion"/>
  </si>
  <si>
    <t>010-7158-0143</t>
    <phoneticPr fontId="18" type="noConversion"/>
  </si>
  <si>
    <t>서울상천초등학교</t>
  </si>
  <si>
    <t>서울특별시 노원구 덕릉로 443</t>
  </si>
  <si>
    <t>서울상현초등학교</t>
  </si>
  <si>
    <t>서울특별시 동작구 상도로58길 21</t>
  </si>
  <si>
    <t>서울새솔초등학교</t>
    <phoneticPr fontId="18" type="noConversion"/>
  </si>
  <si>
    <t>서울특별시 중랑구 신내역로1길 164</t>
    <phoneticPr fontId="18" type="noConversion"/>
  </si>
  <si>
    <t>주승빈 선생님</t>
    <phoneticPr fontId="18" type="noConversion"/>
  </si>
  <si>
    <t>010-7416-6669</t>
    <phoneticPr fontId="18" type="noConversion"/>
  </si>
  <si>
    <t>서울서강초등학교</t>
  </si>
  <si>
    <t>서울특별시 마포구 독막로 113</t>
  </si>
  <si>
    <t>서울서교초등학교</t>
  </si>
  <si>
    <t>서울특별시 마포구 와우산로23길 20-27</t>
  </si>
  <si>
    <t>서울서래초등학교</t>
  </si>
  <si>
    <t>서울특별시 서초구 방배로 260</t>
  </si>
  <si>
    <t>서울서빙고초등학교</t>
  </si>
  <si>
    <t>서울특별시 용산구 서빙고로51길 14</t>
  </si>
  <si>
    <t>서울서신초등학교</t>
  </si>
  <si>
    <t>서울특별시 은평구 은평터널로 150</t>
  </si>
  <si>
    <t>서울서원초등학교</t>
    <phoneticPr fontId="18" type="noConversion"/>
  </si>
  <si>
    <t>서울시 서초구 고무래로 63</t>
    <phoneticPr fontId="18" type="noConversion"/>
  </si>
  <si>
    <t>이담 선생님</t>
    <phoneticPr fontId="18" type="noConversion"/>
  </si>
  <si>
    <t>02-594-5151</t>
    <phoneticPr fontId="18" type="noConversion"/>
  </si>
  <si>
    <t>서울서이초등학교</t>
  </si>
  <si>
    <t>서울특별시 서초구 서운로 35</t>
  </si>
  <si>
    <t>서울서일초등학교</t>
  </si>
  <si>
    <t>서울특별시 서초구 남부순환로339길 38</t>
  </si>
  <si>
    <t>서울서정초등학교</t>
  </si>
  <si>
    <t>서울특별시 양천구 목동로8길 19</t>
  </si>
  <si>
    <t>서울서초초등학교</t>
  </si>
  <si>
    <t>서울특별시 서초구 서운로 178</t>
  </si>
  <si>
    <t>서울석계초등학교</t>
  </si>
  <si>
    <t>서울특별시 성북구 한천로58길 273</t>
  </si>
  <si>
    <t>서울석관초등학교</t>
  </si>
  <si>
    <t>서울특별시 성북구 돌곶이로22길 21</t>
  </si>
  <si>
    <t>서울석촌초등학교</t>
  </si>
  <si>
    <t>서울특별시 송파구 가락로11길 26</t>
  </si>
  <si>
    <t>서울선곡초등학교</t>
  </si>
  <si>
    <t>서울특별시 노원구 광운로2길 1</t>
  </si>
  <si>
    <t>서울선린초등학교</t>
  </si>
  <si>
    <t>서울특별시 강동구 진황도로61길 29</t>
  </si>
  <si>
    <t>서울선사초등학교</t>
  </si>
  <si>
    <t>서울특별시 강동구 올림픽로 837</t>
  </si>
  <si>
    <t>서울선유초등학교</t>
  </si>
  <si>
    <t>서울특별시 영등포구 선유로43가길 14</t>
  </si>
  <si>
    <t>서울성내중학교</t>
    <phoneticPr fontId="18" type="noConversion"/>
  </si>
  <si>
    <t>서울특별시 강동구 성안로7길 36</t>
    <phoneticPr fontId="18" type="noConversion"/>
  </si>
  <si>
    <t>박일연 선생님</t>
    <phoneticPr fontId="18" type="noConversion"/>
  </si>
  <si>
    <t>n081631@sen.go.kr</t>
    <phoneticPr fontId="18" type="noConversion"/>
  </si>
  <si>
    <t>서울성내초등학교</t>
    <phoneticPr fontId="18" type="noConversion"/>
  </si>
  <si>
    <t>서울특별시 강동구 성내로3길 19</t>
    <phoneticPr fontId="18" type="noConversion"/>
  </si>
  <si>
    <t>김형진 선생님</t>
    <phoneticPr fontId="18" type="noConversion"/>
  </si>
  <si>
    <t>010-6667-3399</t>
    <phoneticPr fontId="18" type="noConversion"/>
  </si>
  <si>
    <t>서울성북초등학교</t>
  </si>
  <si>
    <t>서울특별시 성북구 성북로 102-10</t>
  </si>
  <si>
    <t>서울성산초등학교</t>
  </si>
  <si>
    <t>서울특별시 마포구 양화로3길 94</t>
  </si>
  <si>
    <t>서울성서초등학교</t>
  </si>
  <si>
    <t>서울특별시 마포구 성미산로7길 24</t>
  </si>
  <si>
    <t>서울성수고등학교</t>
    <phoneticPr fontId="18" type="noConversion"/>
  </si>
  <si>
    <t>서울 성동구 서울숲길 18</t>
    <phoneticPr fontId="18" type="noConversion"/>
  </si>
  <si>
    <t>김형원 선생님</t>
    <phoneticPr fontId="18" type="noConversion"/>
  </si>
  <si>
    <t>02-6913-3503</t>
    <phoneticPr fontId="18" type="noConversion"/>
  </si>
  <si>
    <t>서울성수초등학교</t>
  </si>
  <si>
    <t>서울특별시 성동구 아차산로17길 21</t>
  </si>
  <si>
    <t>서울성신여자중학교</t>
  </si>
  <si>
    <t>서울특별시 성북구 북악산로 918</t>
  </si>
  <si>
    <t>010-2887-1950</t>
  </si>
  <si>
    <t>서울성원초등학교</t>
  </si>
  <si>
    <t>서울특별시 마포구 월드컵로36길 34</t>
  </si>
  <si>
    <t>서울성일초등학교</t>
  </si>
  <si>
    <t>서울특별시 강동구 성내로15길 33</t>
  </si>
  <si>
    <t>김은희 선생님</t>
    <phoneticPr fontId="22" type="noConversion"/>
  </si>
  <si>
    <t>010-6810-5980</t>
    <phoneticPr fontId="22" type="noConversion"/>
  </si>
  <si>
    <t>서울성자초등학교</t>
  </si>
  <si>
    <t>서울특별시 광진구 뚝섬로56길 7</t>
  </si>
  <si>
    <t>서울세검정초등학교</t>
  </si>
  <si>
    <t>서울특별시 종로구 세검정로9길 1</t>
  </si>
  <si>
    <t>임영주 선생님</t>
    <phoneticPr fontId="22" type="noConversion"/>
  </si>
  <si>
    <t>010-2874-4894</t>
    <phoneticPr fontId="22" type="noConversion"/>
  </si>
  <si>
    <t>서울세곡초등학교</t>
  </si>
  <si>
    <t>서울특별시 구로구 고척로33길 34</t>
  </si>
  <si>
    <t>서울세륜초등학교</t>
  </si>
  <si>
    <t>서울특별시 송파구 양재대로 1264</t>
  </si>
  <si>
    <t>서울세명초등학교</t>
  </si>
  <si>
    <t>서울특별시 강남구 자곡로 55</t>
  </si>
  <si>
    <t>서울세종고등학교</t>
  </si>
  <si>
    <t>서울특별시 강남구 광평로51길 36</t>
  </si>
  <si>
    <t>서울소의초등학교</t>
    <phoneticPr fontId="18" type="noConversion"/>
  </si>
  <si>
    <t>서울 마포구 마포대로24길 42</t>
    <phoneticPr fontId="18" type="noConversion"/>
  </si>
  <si>
    <t>김윤정 선생님</t>
    <phoneticPr fontId="18" type="noConversion"/>
  </si>
  <si>
    <t>010-4562-5395</t>
    <phoneticPr fontId="18" type="noConversion"/>
  </si>
  <si>
    <t>서울송례초등학교</t>
    <phoneticPr fontId="18" type="noConversion"/>
  </si>
  <si>
    <t>서울특별시 송파구 위례순환로 439</t>
    <phoneticPr fontId="18" type="noConversion"/>
  </si>
  <si>
    <t>송효춘 선생님</t>
    <phoneticPr fontId="18" type="noConversion"/>
  </si>
  <si>
    <t>010-6680-5127</t>
    <phoneticPr fontId="18" type="noConversion"/>
  </si>
  <si>
    <t>서울송원초등학교</t>
  </si>
  <si>
    <t>서울특별시 성동구 동일로43길 9</t>
  </si>
  <si>
    <t>서울송전초등학교</t>
  </si>
  <si>
    <t>서울특별시 송파구 석촌호수로 159</t>
  </si>
  <si>
    <t>서울송정초등학교</t>
    <phoneticPr fontId="18" type="noConversion"/>
  </si>
  <si>
    <t xml:space="preserve">서울특별시 강서구 공항대로3길 18 </t>
    <phoneticPr fontId="18" type="noConversion"/>
  </si>
  <si>
    <t>최선옥 보건선생님</t>
    <phoneticPr fontId="18" type="noConversion"/>
  </si>
  <si>
    <t>beautyso@sen.go.kr</t>
    <phoneticPr fontId="18" type="noConversion"/>
  </si>
  <si>
    <t>서울송중초등학교</t>
  </si>
  <si>
    <t>서울특별시 강북구 오현로 9</t>
  </si>
  <si>
    <t>서울송천초등학교</t>
  </si>
  <si>
    <t>서울특별시 강북구 삼양로20길 29</t>
  </si>
  <si>
    <t>서울송파가락초등학교</t>
    <phoneticPr fontId="18" type="noConversion"/>
  </si>
  <si>
    <t>서울특별시 송파구 송파대로37길 45 가락초등학교 (송파구 가락동)</t>
    <phoneticPr fontId="18" type="noConversion"/>
  </si>
  <si>
    <t>서울송파초등학교</t>
  </si>
  <si>
    <t>서울특별시 송파구 백제고분로 400</t>
  </si>
  <si>
    <t>서울송화초등학교</t>
    <phoneticPr fontId="18" type="noConversion"/>
  </si>
  <si>
    <t>서울특별시 강서구 방화대로34길 2</t>
    <phoneticPr fontId="18" type="noConversion"/>
  </si>
  <si>
    <t>이정순 선생님</t>
    <phoneticPr fontId="18" type="noConversion"/>
  </si>
  <si>
    <t>010-9045-6717</t>
    <phoneticPr fontId="18" type="noConversion"/>
  </si>
  <si>
    <t>서울수락초등학교</t>
  </si>
  <si>
    <t>서울특별시 노원구 동일로 1745</t>
  </si>
  <si>
    <t>서울수리초등학교</t>
  </si>
  <si>
    <t>서울특별시 은평구 불광로14길 10-10</t>
  </si>
  <si>
    <t>서울수명고등학교</t>
    <phoneticPr fontId="18" type="noConversion"/>
  </si>
  <si>
    <t>서울특별시 강서구 수명로2길 15</t>
  </si>
  <si>
    <t>정미옥 선생님</t>
    <phoneticPr fontId="18" type="noConversion"/>
  </si>
  <si>
    <t>010-2286-2216</t>
    <phoneticPr fontId="18" type="noConversion"/>
  </si>
  <si>
    <t>서울수색초등학교</t>
  </si>
  <si>
    <t>서울특별시 은평구 수색로16길 21 보건실</t>
  </si>
  <si>
    <t>010-5352-1458</t>
  </si>
  <si>
    <t>서울수서초등학교</t>
  </si>
  <si>
    <t>서울특별시 강남구 광평로51길 46</t>
  </si>
  <si>
    <t>서울수송초등학교</t>
    <phoneticPr fontId="18" type="noConversion"/>
  </si>
  <si>
    <t xml:space="preserve">서울특별시 강북구 한천로124길 14 </t>
    <phoneticPr fontId="18" type="noConversion"/>
  </si>
  <si>
    <t>010-8957-3692</t>
    <phoneticPr fontId="18" type="noConversion"/>
  </si>
  <si>
    <t>서울수암초등학교</t>
  </si>
  <si>
    <t>서울특별시 노원구 중계로12길 9</t>
  </si>
  <si>
    <t>서울수유초등학교</t>
  </si>
  <si>
    <t>서울특별시 강북구 삼양로74길 39</t>
  </si>
  <si>
    <t>서울숭곡초등학교</t>
    <phoneticPr fontId="18" type="noConversion"/>
  </si>
  <si>
    <t>서울특별시 성북구 종암로40길 30</t>
    <phoneticPr fontId="18" type="noConversion"/>
  </si>
  <si>
    <t>황미희 선생님</t>
    <phoneticPr fontId="18" type="noConversion"/>
  </si>
  <si>
    <t>010-4465-9399</t>
    <phoneticPr fontId="18" type="noConversion"/>
  </si>
  <si>
    <t>hmh8207@sen.go.kr</t>
    <phoneticPr fontId="18" type="noConversion"/>
  </si>
  <si>
    <t>서울숭덕초등학교</t>
  </si>
  <si>
    <t>서울특별시 성북구 정릉로 279</t>
  </si>
  <si>
    <t>서울숭례초등학교</t>
  </si>
  <si>
    <t>서울특별시 성북구 종암로5길 14</t>
  </si>
  <si>
    <t>서울숭미초등학교</t>
  </si>
  <si>
    <t>서울특별시 도봉구 노해로 179</t>
  </si>
  <si>
    <t>서울숭신초등학교</t>
    <phoneticPr fontId="18" type="noConversion"/>
  </si>
  <si>
    <t>서울 성동구 마장로 161</t>
    <phoneticPr fontId="18" type="noConversion"/>
  </si>
  <si>
    <t>김금남 선생님</t>
    <phoneticPr fontId="18" type="noConversion"/>
  </si>
  <si>
    <t>010-8832-3310</t>
    <phoneticPr fontId="18" type="noConversion"/>
  </si>
  <si>
    <t>서울숭인초등학교</t>
  </si>
  <si>
    <t>서울특별시 성북구 오패산로16길 37</t>
  </si>
  <si>
    <t>서울시흥초등학교</t>
  </si>
  <si>
    <t>서울특별시 금천구 독산로23길 26</t>
  </si>
  <si>
    <t>서울신가초등학교</t>
  </si>
  <si>
    <t>서울특별시 송파구 송이로 75</t>
  </si>
  <si>
    <t>서울신강초등학교</t>
  </si>
  <si>
    <t>서울특별시 양천구 중앙로55길 72</t>
  </si>
  <si>
    <t>서울신계초등학교</t>
  </si>
  <si>
    <t>서울특별시 노원구 초안산로 29</t>
  </si>
  <si>
    <t>서울신곡초등학교</t>
  </si>
  <si>
    <t>서울특별시 강서구 등촌로13자길 42-14</t>
  </si>
  <si>
    <t>서울신구로초등학교</t>
  </si>
  <si>
    <t>서울특별시 구로구 가마산로27길 69</t>
  </si>
  <si>
    <t>서울신구초등학교</t>
  </si>
  <si>
    <t>서울특별시 강남구 압구정로18길 28</t>
  </si>
  <si>
    <t>서울신기초등학교</t>
  </si>
  <si>
    <t>서울특별시 양천구 신정로 292</t>
  </si>
  <si>
    <t>박혜영 선생님</t>
    <phoneticPr fontId="18" type="noConversion"/>
  </si>
  <si>
    <t>010-6701-0109</t>
    <phoneticPr fontId="18" type="noConversion"/>
  </si>
  <si>
    <t>서울신길초등학교</t>
    <phoneticPr fontId="18" type="noConversion"/>
  </si>
  <si>
    <t>서울특별시 동작구 알마타길 16</t>
  </si>
  <si>
    <t>이 은경 선생님</t>
    <phoneticPr fontId="18" type="noConversion"/>
  </si>
  <si>
    <t>010-5655-2132</t>
    <phoneticPr fontId="18" type="noConversion"/>
  </si>
  <si>
    <t>서울신남성초등학교</t>
  </si>
  <si>
    <t>서울특별시 동작구 사당로 146</t>
  </si>
  <si>
    <t>서울신남초등학교</t>
  </si>
  <si>
    <t>서울특별시 양천구 남부순환로83길 44</t>
    <phoneticPr fontId="18" type="noConversion"/>
  </si>
  <si>
    <t>010-3762-0614</t>
    <phoneticPr fontId="18" type="noConversion"/>
  </si>
  <si>
    <t>서울신내초등학교</t>
  </si>
  <si>
    <t>서울특별시 중랑구 용마산로125나길 22</t>
  </si>
  <si>
    <t>서울신답초등학교</t>
    <phoneticPr fontId="18" type="noConversion"/>
  </si>
  <si>
    <t>서울특별시 동대문구 천호대로 177</t>
    <phoneticPr fontId="18" type="noConversion"/>
  </si>
  <si>
    <t>010-5697-0308</t>
    <phoneticPr fontId="18" type="noConversion"/>
  </si>
  <si>
    <t>서울신당초등학교</t>
  </si>
  <si>
    <t>서울특별시 중구 난계로 141</t>
  </si>
  <si>
    <t>서울신대림초등학교</t>
  </si>
  <si>
    <t>서울특별시 영등포구 대림로8길 25</t>
  </si>
  <si>
    <t>서울신도림초등학교</t>
    <phoneticPr fontId="18" type="noConversion"/>
  </si>
  <si>
    <t>서울특별시 구로구 신도림로19길 44</t>
    <phoneticPr fontId="18" type="noConversion"/>
  </si>
  <si>
    <t>박수정 선생님</t>
    <phoneticPr fontId="18" type="noConversion"/>
  </si>
  <si>
    <t>010-8211-5934</t>
    <phoneticPr fontId="18" type="noConversion"/>
  </si>
  <si>
    <t>서울신도초등학교</t>
    <phoneticPr fontId="18" type="noConversion"/>
  </si>
  <si>
    <t>서울특별시 은평구 진관1로 77-23</t>
    <phoneticPr fontId="18" type="noConversion"/>
  </si>
  <si>
    <t>오윤경 선생님</t>
    <phoneticPr fontId="18" type="noConversion"/>
  </si>
  <si>
    <t>010-4632-6278</t>
    <phoneticPr fontId="18" type="noConversion"/>
  </si>
  <si>
    <t>yoonzas@sen.go.kr</t>
    <phoneticPr fontId="18" type="noConversion"/>
  </si>
  <si>
    <t>서울신동초등학교</t>
  </si>
  <si>
    <t>서울특별시 서초구 나루터로 15</t>
  </si>
  <si>
    <t>이담이 선생님</t>
    <phoneticPr fontId="22" type="noConversion"/>
  </si>
  <si>
    <t>010-8465-8551</t>
    <phoneticPr fontId="22" type="noConversion"/>
  </si>
  <si>
    <t>shindong95@sen.go.kr</t>
    <phoneticPr fontId="22" type="noConversion"/>
  </si>
  <si>
    <t>서울신림초등학교</t>
  </si>
  <si>
    <t>서울특별시 관악구 문성로28길 31</t>
  </si>
  <si>
    <t>서울신명중학교</t>
    <phoneticPr fontId="18" type="noConversion"/>
  </si>
  <si>
    <t>서울특별시 강동구 명일로24길 25 보건실</t>
    <phoneticPr fontId="18" type="noConversion"/>
  </si>
  <si>
    <t>김한희 선생님</t>
    <phoneticPr fontId="18" type="noConversion"/>
  </si>
  <si>
    <t>02-6969-6474</t>
    <phoneticPr fontId="18" type="noConversion"/>
  </si>
  <si>
    <t>서울신명초등학교</t>
  </si>
  <si>
    <t>서울특별시 강동구 명일로24길 33</t>
  </si>
  <si>
    <t>서울신목중학교</t>
    <phoneticPr fontId="18" type="noConversion"/>
  </si>
  <si>
    <t>서울특별시 양천구 목동중앙로 88 보건실</t>
    <phoneticPr fontId="18" type="noConversion"/>
  </si>
  <si>
    <t>곽태영 선생님</t>
    <phoneticPr fontId="18" type="noConversion"/>
  </si>
  <si>
    <t>02-6206-7511</t>
    <phoneticPr fontId="18" type="noConversion"/>
  </si>
  <si>
    <t>서울신목초등학교</t>
  </si>
  <si>
    <t>서울특별시 양천구 신목로5길 11-6</t>
  </si>
  <si>
    <t>서울신묵초등학교</t>
  </si>
  <si>
    <t>서울특별시 중랑구 동일로149길 46</t>
  </si>
  <si>
    <t>서울신미림초등학교</t>
  </si>
  <si>
    <t>서울특별시 구로구 신도림로 26</t>
  </si>
  <si>
    <t>서울신방학초등학교</t>
  </si>
  <si>
    <t>서울특별시 도봉구 시루봉로 173</t>
  </si>
  <si>
    <t>서울신봉초등학교</t>
    <phoneticPr fontId="18" type="noConversion"/>
  </si>
  <si>
    <t>서울특별시 관악구 양녕로6나길</t>
    <phoneticPr fontId="18" type="noConversion"/>
  </si>
  <si>
    <t>정현주 담당자님</t>
    <phoneticPr fontId="18" type="noConversion"/>
  </si>
  <si>
    <t>010-4731-9858</t>
    <phoneticPr fontId="18" type="noConversion"/>
  </si>
  <si>
    <t>서울신북초등학교</t>
  </si>
  <si>
    <t>서울특별시 마포구 월드컵북로38길 26</t>
  </si>
  <si>
    <t>서울신사초등학교</t>
  </si>
  <si>
    <t>서울특별시 은평구 가좌로 275-2</t>
  </si>
  <si>
    <t>김도하선생님</t>
    <phoneticPr fontId="22" type="noConversion"/>
  </si>
  <si>
    <t>010-5186-0051</t>
    <phoneticPr fontId="22" type="noConversion"/>
  </si>
  <si>
    <t>서울신상계초등학교</t>
  </si>
  <si>
    <t>서울특별시 노원구 상계로 267</t>
  </si>
  <si>
    <t>서울신상도초등학교</t>
  </si>
  <si>
    <t>서울특별시 동작구 장승배기로 14</t>
  </si>
  <si>
    <t>서울신서초등학교</t>
  </si>
  <si>
    <t>서울특별시 양천구 목동서로10길 35</t>
  </si>
  <si>
    <t>서울신석초등학교</t>
  </si>
  <si>
    <t>서울특별시 마포구 대흥로 33</t>
  </si>
  <si>
    <t>서울신성초등학교</t>
  </si>
  <si>
    <t>서울특별시 관악구 신림로 114</t>
  </si>
  <si>
    <t>서울신암초등학교</t>
  </si>
  <si>
    <t>서울특별시 강동구 올림픽로93길 33-16</t>
  </si>
  <si>
    <t>서울신영초등학교</t>
    <phoneticPr fontId="18" type="noConversion"/>
  </si>
  <si>
    <t>서울특별시 영등포구 도신로4길 32</t>
    <phoneticPr fontId="18" type="noConversion"/>
  </si>
  <si>
    <t>임다미 보건선생님</t>
    <phoneticPr fontId="18" type="noConversion"/>
  </si>
  <si>
    <t>010-2925-7958</t>
    <phoneticPr fontId="18" type="noConversion"/>
  </si>
  <si>
    <t>서울신용산초등학교</t>
  </si>
  <si>
    <t>서울특별시 용산구 이촌로 255</t>
  </si>
  <si>
    <t>서울신우초등학교</t>
  </si>
  <si>
    <t>서울특별시 관악구 호암로 498</t>
  </si>
  <si>
    <t>서울신원초등학교</t>
  </si>
  <si>
    <t>서울특별시 양천구 남부순환로58길 32</t>
  </si>
  <si>
    <t>서울신월초등학교</t>
  </si>
  <si>
    <t>서울특별시 강서구 강서로31길 48</t>
  </si>
  <si>
    <t>서울신은초등학교</t>
  </si>
  <si>
    <t>서울특별시 양천구 신정이펜2로 30</t>
  </si>
  <si>
    <t>서울신일고등학교</t>
    <phoneticPr fontId="18" type="noConversion"/>
  </si>
  <si>
    <t>서울특별시 강북구 솔매로49길 20</t>
    <phoneticPr fontId="18" type="noConversion"/>
  </si>
  <si>
    <t>김흥수 선생님</t>
    <phoneticPr fontId="18" type="noConversion"/>
  </si>
  <si>
    <t>010-3250-6326</t>
    <phoneticPr fontId="18" type="noConversion"/>
  </si>
  <si>
    <t>서울신자초등학교</t>
  </si>
  <si>
    <t>서울특별시 광진구 뚝섬로46길 64</t>
  </si>
  <si>
    <t>서울신정고등학교</t>
    <phoneticPr fontId="18" type="noConversion"/>
  </si>
  <si>
    <t>서울특별시 강서구 등촌로13아길 20</t>
    <phoneticPr fontId="18" type="noConversion"/>
  </si>
  <si>
    <t>010-2611-1272</t>
    <phoneticPr fontId="18" type="noConversion"/>
  </si>
  <si>
    <t>서울신정초등학교</t>
    <phoneticPr fontId="18" type="noConversion"/>
  </si>
  <si>
    <t>서울 강서구 곰달래로31가길 27 신정초등학교</t>
    <phoneticPr fontId="18" type="noConversion"/>
  </si>
  <si>
    <t>02-2602-3940</t>
    <phoneticPr fontId="18" type="noConversion"/>
  </si>
  <si>
    <t>서울신중초등학교</t>
  </si>
  <si>
    <t>서울특별시 서초구 남부순환로317길 15</t>
  </si>
  <si>
    <t>서울신창초등학교</t>
  </si>
  <si>
    <t>서울특별시 도봉구 덕릉로60길 93</t>
  </si>
  <si>
    <t>서울신천중학교</t>
    <phoneticPr fontId="18" type="noConversion"/>
  </si>
  <si>
    <t>서울특별시 송파구 백제고분로 11</t>
    <phoneticPr fontId="18" type="noConversion"/>
  </si>
  <si>
    <t>이승현 선생님</t>
    <phoneticPr fontId="18" type="noConversion"/>
  </si>
  <si>
    <t>010-3150-7150</t>
    <phoneticPr fontId="18" type="noConversion"/>
  </si>
  <si>
    <t>서울신천초등학교</t>
  </si>
  <si>
    <t>서울특별시 송파구 올림픽로 215</t>
  </si>
  <si>
    <t>장선아 선생님</t>
    <phoneticPr fontId="22" type="noConversion"/>
  </si>
  <si>
    <t xml:space="preserve">010-5101-8611 </t>
    <phoneticPr fontId="22" type="noConversion"/>
  </si>
  <si>
    <t>서울신학초등학교</t>
    <phoneticPr fontId="18" type="noConversion"/>
  </si>
  <si>
    <t>서울 도봉구 방학로 247-21</t>
    <phoneticPr fontId="18" type="noConversion"/>
  </si>
  <si>
    <t>010-3275-6242</t>
    <phoneticPr fontId="18" type="noConversion"/>
  </si>
  <si>
    <t>서울신현초등학교</t>
  </si>
  <si>
    <t>서울특별시 중랑구 봉화산로 188</t>
  </si>
  <si>
    <t>서울신화초등학교</t>
  </si>
  <si>
    <t>서울특별시 도봉구 우이천로 120</t>
  </si>
  <si>
    <t>서울신흥초등학교</t>
  </si>
  <si>
    <t>서울특별시 금천구 독산로36 나 길 21</t>
  </si>
  <si>
    <t>서울쌍문초등학교</t>
  </si>
  <si>
    <t>서울특별시 도봉구 우이천로 360</t>
  </si>
  <si>
    <t>서울아이티고등학교</t>
  </si>
  <si>
    <t>서울특별시 노원구 섬밭로 299</t>
  </si>
  <si>
    <t>서울아주중학교</t>
    <phoneticPr fontId="18" type="noConversion"/>
  </si>
  <si>
    <t>서울특별시 송파구 올림픽로4길 69</t>
    <phoneticPr fontId="18" type="noConversion"/>
  </si>
  <si>
    <t>이현서 선생님</t>
    <phoneticPr fontId="18" type="noConversion"/>
  </si>
  <si>
    <t>010-3237-7702</t>
    <phoneticPr fontId="18" type="noConversion"/>
  </si>
  <si>
    <t>서울아주초등학교</t>
  </si>
  <si>
    <t>서울특별시 송파구 올림픽로4길 59</t>
  </si>
  <si>
    <t>서울아현초등학교</t>
  </si>
  <si>
    <t>서울특별시 마포구 굴레방로 6</t>
  </si>
  <si>
    <t>02-313-5845</t>
    <phoneticPr fontId="22" type="noConversion"/>
  </si>
  <si>
    <t>ahcho3949@sen.go.kr</t>
    <phoneticPr fontId="22" type="noConversion"/>
  </si>
  <si>
    <t>서울안산초등학교</t>
  </si>
  <si>
    <t>서울특별시 서대문구 통일로 321</t>
  </si>
  <si>
    <t>서울안암초등학교</t>
  </si>
  <si>
    <t>서울특별시 성북구 고려대로7가길 39</t>
  </si>
  <si>
    <t>서울안천초등학교</t>
  </si>
  <si>
    <t>서울특별시 금천구 한내로 69-16</t>
  </si>
  <si>
    <t>서울안평초등학교</t>
  </si>
  <si>
    <t>서울특별시 동대문구 장한로14길 61</t>
  </si>
  <si>
    <t>서울압구정초등학교</t>
  </si>
  <si>
    <t>서울특별시 강남구 압구정로39길 29</t>
  </si>
  <si>
    <t>서울양강초등학교</t>
  </si>
  <si>
    <t>서울특별시 양천구 오목로 101</t>
  </si>
  <si>
    <t>서울양남초등학교</t>
    <phoneticPr fontId="18" type="noConversion"/>
  </si>
  <si>
    <t>서울특별시 광진구 뚝섬로64길 71</t>
    <phoneticPr fontId="18" type="noConversion"/>
  </si>
  <si>
    <t>심미옥 선생님</t>
    <phoneticPr fontId="18" type="noConversion"/>
  </si>
  <si>
    <t>02-6222-0519</t>
    <phoneticPr fontId="18" type="noConversion"/>
  </si>
  <si>
    <t>서울양동초등학교</t>
  </si>
  <si>
    <t>서울특별시 양천구 오목로23길 24</t>
  </si>
  <si>
    <t>서울양명초등학교</t>
  </si>
  <si>
    <t>서울특별시 양천구 중앙로 204</t>
  </si>
  <si>
    <t>서울양목초등학교</t>
  </si>
  <si>
    <t>서울특별시 양천구 목동로11길 30</t>
  </si>
  <si>
    <t>서울양원초등학교</t>
  </si>
  <si>
    <t>서울특별시 양천구 화곡로 16</t>
  </si>
  <si>
    <t>서울양재초등학교</t>
    <phoneticPr fontId="18" type="noConversion"/>
  </si>
  <si>
    <t>주소가 서울특별시 서초구 바우뫼로18길 14</t>
    <phoneticPr fontId="18" type="noConversion"/>
  </si>
  <si>
    <t>박예빈 선생님</t>
    <phoneticPr fontId="18" type="noConversion"/>
  </si>
  <si>
    <t>010-2422-5951</t>
    <phoneticPr fontId="18" type="noConversion"/>
  </si>
  <si>
    <t>서울양전초등학교</t>
  </si>
  <si>
    <t>서울특별시 강남구 개포로 513</t>
  </si>
  <si>
    <t>서울양진초등학교</t>
    <phoneticPr fontId="18" type="noConversion"/>
  </si>
  <si>
    <t>서울특별시 광진구 워커힐로 32</t>
    <phoneticPr fontId="18" type="noConversion"/>
  </si>
  <si>
    <t>임승정 선생님</t>
    <phoneticPr fontId="18" type="noConversion"/>
  </si>
  <si>
    <t>010-5234-2764</t>
    <phoneticPr fontId="18" type="noConversion"/>
  </si>
  <si>
    <t>서울양천중학교</t>
    <phoneticPr fontId="18" type="noConversion"/>
  </si>
  <si>
    <t>서울특별시 양천구 지야로7길 32</t>
    <phoneticPr fontId="18" type="noConversion"/>
  </si>
  <si>
    <t>오지영 선생님</t>
    <phoneticPr fontId="18" type="noConversion"/>
  </si>
  <si>
    <t>070-5020-3504</t>
    <phoneticPr fontId="18" type="noConversion"/>
  </si>
  <si>
    <t>서울양천초등학교</t>
  </si>
  <si>
    <t>서울특별시 강서구 양천로 329</t>
  </si>
  <si>
    <t>서울양화초등학교</t>
  </si>
  <si>
    <t>서울특별시 양천구 목동중앙북로16길 57</t>
  </si>
  <si>
    <t>서울어울초등학교</t>
  </si>
  <si>
    <t>서울특별시 은평구 통일로 650</t>
  </si>
  <si>
    <t>서울언남초등학교</t>
  </si>
  <si>
    <t>서울특별시 서초구 헌릉로8길 42</t>
  </si>
  <si>
    <t>서울언북초등학교</t>
    <phoneticPr fontId="18" type="noConversion"/>
  </si>
  <si>
    <t>서울특별시 강남구 삼성로135길 42</t>
    <phoneticPr fontId="18" type="noConversion"/>
  </si>
  <si>
    <t>남영희 선생님</t>
    <phoneticPr fontId="18" type="noConversion"/>
  </si>
  <si>
    <t>02-514-5985</t>
    <phoneticPr fontId="18" type="noConversion"/>
  </si>
  <si>
    <t>eonbukes@sen.go.kr</t>
    <phoneticPr fontId="18" type="noConversion"/>
  </si>
  <si>
    <t>서울언주초등학교</t>
    <phoneticPr fontId="18" type="noConversion"/>
  </si>
  <si>
    <t>서울특별시 강남구 남부순환로363길 19</t>
    <phoneticPr fontId="18" type="noConversion"/>
  </si>
  <si>
    <t>보건교사</t>
    <phoneticPr fontId="18" type="noConversion"/>
  </si>
  <si>
    <t>cardi307@sen.go.kr</t>
    <phoneticPr fontId="18" type="noConversion"/>
  </si>
  <si>
    <t>서울여의도초등학교</t>
  </si>
  <si>
    <t>서울특별시 영등포구 여의대방로 439</t>
  </si>
  <si>
    <t>서울여자고등학교</t>
  </si>
  <si>
    <t>서울특별시 마포구 백범로25길 34</t>
  </si>
  <si>
    <t>서울여자상업고등학교</t>
  </si>
  <si>
    <t>서울여자중학교</t>
  </si>
  <si>
    <t>서울역삼초등학교</t>
    <phoneticPr fontId="18" type="noConversion"/>
  </si>
  <si>
    <t>서울특별시 강남구 강남대로66길 21</t>
    <phoneticPr fontId="18" type="noConversion"/>
  </si>
  <si>
    <t>김유리 선생님</t>
    <phoneticPr fontId="18" type="noConversion"/>
  </si>
  <si>
    <t>02-563-9168-3</t>
    <phoneticPr fontId="18" type="noConversion"/>
  </si>
  <si>
    <t>서울역촌초등학교</t>
  </si>
  <si>
    <t>서울특별시 은평구 은평로3길 25</t>
  </si>
  <si>
    <t>서울연가초등학교</t>
    <phoneticPr fontId="18" type="noConversion"/>
  </si>
  <si>
    <t>서울특별시 서대문구 증가로12가길 49-50</t>
    <phoneticPr fontId="18" type="noConversion"/>
  </si>
  <si>
    <t>010-9970-6652</t>
    <phoneticPr fontId="18" type="noConversion"/>
  </si>
  <si>
    <t>윤혜영 전산실무사님</t>
    <phoneticPr fontId="18" type="noConversion"/>
  </si>
  <si>
    <t>서울연광초등학교</t>
  </si>
  <si>
    <t>서울특별시 은평구 연서로35길 37</t>
  </si>
  <si>
    <t>서울연신초등학교</t>
  </si>
  <si>
    <t>서울특별시 은평구 연서로 347</t>
  </si>
  <si>
    <t>서울연은초등학교</t>
    <phoneticPr fontId="18" type="noConversion"/>
  </si>
  <si>
    <t>서울특별시 은평구 백련산로2길 35</t>
    <phoneticPr fontId="18" type="noConversion"/>
  </si>
  <si>
    <t>to177117@sen.go.kr</t>
    <phoneticPr fontId="18" type="noConversion"/>
  </si>
  <si>
    <t>서울연지초등학교</t>
  </si>
  <si>
    <t>서울특별시 노원구 월계로55길 48</t>
  </si>
  <si>
    <t>서울연천초등학교</t>
    <phoneticPr fontId="18" type="noConversion"/>
  </si>
  <si>
    <t>서울특별시 은평구 연서로34길 22</t>
    <phoneticPr fontId="18" type="noConversion"/>
  </si>
  <si>
    <t>010-7338-9331</t>
    <phoneticPr fontId="18" type="noConversion"/>
  </si>
  <si>
    <t>서울연촌초등학교</t>
  </si>
  <si>
    <t>서울특별시 노원구 공릉로58길 36</t>
  </si>
  <si>
    <t>서울연희초등학교</t>
  </si>
  <si>
    <t>서울특별시 서대문구 연희로 136</t>
  </si>
  <si>
    <t>서울염경초등학교</t>
  </si>
  <si>
    <t>서울특별시 강서구 양천로69길 49</t>
  </si>
  <si>
    <t>서울염동초등학교</t>
  </si>
  <si>
    <t>서울특별시 강서구 양천로73길 17</t>
  </si>
  <si>
    <t>서울염리초등학교</t>
  </si>
  <si>
    <t>서울특별시 마포구 토정로37길 37</t>
  </si>
  <si>
    <t>서울염창초등학교</t>
  </si>
  <si>
    <t>서울특별시 강서구 양천로 646-28</t>
  </si>
  <si>
    <t>서울영남초등학교</t>
  </si>
  <si>
    <t>서울특별시 금천구 문성로 62-15</t>
  </si>
  <si>
    <t>서울영도초등학교</t>
  </si>
  <si>
    <t>서울특별시 양천구 목동중앙로 70</t>
  </si>
  <si>
    <t>서울영동초등학교</t>
  </si>
  <si>
    <t>서울특별시 영등포구 국회대로53길 20</t>
  </si>
  <si>
    <t>서울영등포초등학교</t>
  </si>
  <si>
    <t>서울특별시 영등포구 경인로 756</t>
  </si>
  <si>
    <t>서울영림초등학교</t>
  </si>
  <si>
    <t>서울특별시 영등포구 시흥대로173길 14</t>
  </si>
  <si>
    <t>서울영문초등학교</t>
  </si>
  <si>
    <t>서울특별시 영등포구 문래로 56</t>
  </si>
  <si>
    <t>서울영본초등학교</t>
    <phoneticPr fontId="18" type="noConversion"/>
  </si>
  <si>
    <t>서울특별시 동작구 만양로12가길 69</t>
    <phoneticPr fontId="18" type="noConversion"/>
  </si>
  <si>
    <t>010-8207-9820</t>
    <phoneticPr fontId="18" type="noConversion"/>
  </si>
  <si>
    <t>서울영상고등학교</t>
  </si>
  <si>
    <t>서울특별시 양천구 목동로11길 46</t>
  </si>
  <si>
    <t>서울영서초등학교</t>
    <phoneticPr fontId="18" type="noConversion"/>
  </si>
  <si>
    <t>서울 구로구 도림로20길 57</t>
    <phoneticPr fontId="18" type="noConversion"/>
  </si>
  <si>
    <t>010--4195-1257</t>
    <phoneticPr fontId="18" type="noConversion"/>
  </si>
  <si>
    <t>서울영신초등학교</t>
  </si>
  <si>
    <t>서울특별시 영등포구 도신로60길 23</t>
  </si>
  <si>
    <t>서울영원초등학교</t>
  </si>
  <si>
    <t>서울특별시 영등포구 도영로 22길 31</t>
  </si>
  <si>
    <t>서울영일초등학교</t>
  </si>
  <si>
    <t>서울특별시 구로구 남부순환로105길 218</t>
  </si>
  <si>
    <t>서울영중초등학교</t>
  </si>
  <si>
    <t>서울특별시 영등포구 양산로 185</t>
  </si>
  <si>
    <t>서울영풍초등학교</t>
  </si>
  <si>
    <t>서울특별시 송파구 오금로57길 15</t>
  </si>
  <si>
    <t>김다혜 선생님</t>
    <phoneticPr fontId="22" type="noConversion"/>
  </si>
  <si>
    <t>010-2609-2796</t>
    <phoneticPr fontId="22" type="noConversion"/>
  </si>
  <si>
    <t>youngpung@sen.go.kr</t>
    <phoneticPr fontId="22" type="noConversion"/>
  </si>
  <si>
    <t>서울영화초등학교</t>
  </si>
  <si>
    <t>서울특별시 동작구 등용로8길 3</t>
  </si>
  <si>
    <t>서울영희초등학교</t>
  </si>
  <si>
    <t>서울특별시 강남구 일원로 21</t>
  </si>
  <si>
    <t>정송희 선생님</t>
  </si>
  <si>
    <t>010-7236-2165</t>
  </si>
  <si>
    <t>서울예술고등학교</t>
    <phoneticPr fontId="18" type="noConversion"/>
  </si>
  <si>
    <t>서울특별시 종로구 평창문화로 70</t>
  </si>
  <si>
    <t>손서영 선생님</t>
    <phoneticPr fontId="18" type="noConversion"/>
  </si>
  <si>
    <t>010-5015-8683</t>
    <phoneticPr fontId="18" type="noConversion"/>
  </si>
  <si>
    <t>서울오금초등학교</t>
  </si>
  <si>
    <t>서울특별시 송파구 위례성대로22길 11</t>
  </si>
  <si>
    <t>서울오류남초등학교</t>
  </si>
  <si>
    <t>서울특별시 구로구 서해안로24길 22</t>
  </si>
  <si>
    <t>서울오류초등학교</t>
    <phoneticPr fontId="18" type="noConversion"/>
  </si>
  <si>
    <t>서울특별시 구로구 경인로19길 39</t>
    <phoneticPr fontId="18" type="noConversion"/>
  </si>
  <si>
    <t>010-4068-0519</t>
    <phoneticPr fontId="18" type="noConversion"/>
  </si>
  <si>
    <t>서울오륜초등학교</t>
  </si>
  <si>
    <t>서울특별시 송파구 양재대로 1196</t>
  </si>
  <si>
    <t>서울오봉초등학교</t>
  </si>
  <si>
    <t>서울특별시 도봉구 시루봉로 285</t>
  </si>
  <si>
    <t>서울오정초등학교</t>
  </si>
  <si>
    <t>서울특별시 구로구 경인로2길 10</t>
  </si>
  <si>
    <t>서울오현초등학교</t>
  </si>
  <si>
    <t>서울특별시 강북구 월계로 221</t>
  </si>
  <si>
    <t>서울옥수초등학교</t>
    <phoneticPr fontId="18" type="noConversion"/>
  </si>
  <si>
    <t>서울특별시 성동구 금호로1길 25 전산실</t>
    <phoneticPr fontId="18" type="noConversion"/>
  </si>
  <si>
    <t>윤명희 선생님</t>
    <phoneticPr fontId="18" type="noConversion"/>
  </si>
  <si>
    <t>010-3763-9556</t>
    <phoneticPr fontId="18" type="noConversion"/>
  </si>
  <si>
    <t>서울옥정초등학교</t>
    <phoneticPr fontId="18" type="noConversion"/>
  </si>
  <si>
    <t>서울특별시 성동구 한림말길 43</t>
  </si>
  <si>
    <t>오상남 선생님</t>
    <phoneticPr fontId="18" type="noConversion"/>
  </si>
  <si>
    <t>010-6416-1220</t>
    <phoneticPr fontId="18" type="noConversion"/>
  </si>
  <si>
    <t>서울온곡초등학교</t>
  </si>
  <si>
    <t>서울특별시 노원구 한글비석로52길 59</t>
  </si>
  <si>
    <t>서울온수초등학교</t>
    <phoneticPr fontId="18" type="noConversion"/>
  </si>
  <si>
    <t>서울 구로구 부일로 893 보건실</t>
    <phoneticPr fontId="18" type="noConversion"/>
  </si>
  <si>
    <t>010-7123-0012</t>
    <phoneticPr fontId="18" type="noConversion"/>
  </si>
  <si>
    <t>서울왕북초등학교</t>
  </si>
  <si>
    <t>서울특별시 강남구 광평로31길 74</t>
  </si>
  <si>
    <t>서울외국어고등학교</t>
  </si>
  <si>
    <t>서울특별시 도봉구 덕릉로66길 22</t>
  </si>
  <si>
    <t>서울용강초등학교</t>
    <phoneticPr fontId="18" type="noConversion"/>
  </si>
  <si>
    <t>서울특별시 마포구 백범로17길 9</t>
    <phoneticPr fontId="18" type="noConversion"/>
  </si>
  <si>
    <t>이연성 선생님</t>
    <phoneticPr fontId="18" type="noConversion"/>
  </si>
  <si>
    <t>010-9750-4042</t>
    <phoneticPr fontId="18" type="noConversion"/>
  </si>
  <si>
    <t>서울용곡초등학교</t>
  </si>
  <si>
    <t>서울특별시 광진구 용마산로22길 82</t>
  </si>
  <si>
    <t>서울용답초등학교</t>
  </si>
  <si>
    <t>서울특별시 성동구 용답25길 1</t>
  </si>
  <si>
    <t>서울용동초등학교</t>
  </si>
  <si>
    <t>서울특별시 노원구 한글비석로1길 81-11</t>
  </si>
  <si>
    <t>서울용두초등학교</t>
  </si>
  <si>
    <t>서울특별시 동대문구 천호대로13길 43</t>
  </si>
  <si>
    <t>서울용마초등학교</t>
  </si>
  <si>
    <t>서울특별시 광진구 천호대로113길 10</t>
  </si>
  <si>
    <t>서울용산철도고등학교</t>
    <phoneticPr fontId="18" type="noConversion"/>
  </si>
  <si>
    <t>서울특별시 용산구 서빙고로 24</t>
    <phoneticPr fontId="18" type="noConversion"/>
  </si>
  <si>
    <t>백지원 선생님</t>
    <phoneticPr fontId="18" type="noConversion"/>
  </si>
  <si>
    <t>02-6905-7750</t>
    <phoneticPr fontId="18" type="noConversion"/>
  </si>
  <si>
    <t>서울용산초등학교</t>
  </si>
  <si>
    <t>서울특별시 용산구 한강대로57길 33</t>
  </si>
  <si>
    <t>서울용암초등학교</t>
  </si>
  <si>
    <t>서울특별시 용산구 녹사평대로60길 39</t>
  </si>
  <si>
    <t>서울용원초등학교</t>
  </si>
  <si>
    <t>서울특별시 노원구 섬밭로 144</t>
  </si>
  <si>
    <t>서울우면초등학교</t>
  </si>
  <si>
    <t>서울특별시 서초구 태봉로 59</t>
  </si>
  <si>
    <t>서울우솔초등학교</t>
  </si>
  <si>
    <t>서울특별시 서초구 양재대로2길 74</t>
  </si>
  <si>
    <t>서울우신초등학교</t>
  </si>
  <si>
    <t>서울특별시 영등포구 신길로 190</t>
  </si>
  <si>
    <t>서울우암초등학교</t>
  </si>
  <si>
    <t>서울특별시 서초구 바우뫼로7길 38</t>
  </si>
  <si>
    <t>서울우이초등학교</t>
  </si>
  <si>
    <t>서울특별시 강북구 삼양로99길 36</t>
  </si>
  <si>
    <t>서울우장초등학교</t>
  </si>
  <si>
    <t>서울특별시 강서구 화곡로 263</t>
  </si>
  <si>
    <t>서울원광초등학교</t>
  </si>
  <si>
    <t>서울특별시 노원구 덕릉로76길 18</t>
  </si>
  <si>
    <t>이정형 선생님</t>
  </si>
  <si>
    <t>010-5102-1543</t>
  </si>
  <si>
    <t>서울원당초등학교</t>
  </si>
  <si>
    <t>서울특별시 관악구 봉천로 505</t>
  </si>
  <si>
    <t>서울원명초등학교</t>
  </si>
  <si>
    <t xml:space="preserve">서울특별시 서초구 고무래로 90-6 </t>
  </si>
  <si>
    <t>김진 보건선생님</t>
  </si>
  <si>
    <t>010-9744-1501</t>
  </si>
  <si>
    <t>wm5934493@sen.go.kr</t>
    <phoneticPr fontId="22" type="noConversion"/>
  </si>
  <si>
    <t>서울원묵초등학교</t>
  </si>
  <si>
    <t>서울특별시 중랑구 숙선옹주로 109</t>
  </si>
  <si>
    <t>허성숙 선생님</t>
    <phoneticPr fontId="22" type="noConversion"/>
  </si>
  <si>
    <t>010-2302-8232</t>
    <phoneticPr fontId="22" type="noConversion"/>
  </si>
  <si>
    <t>서울원신초등학교</t>
  </si>
  <si>
    <t>서울특별시 관악구 광신길 177</t>
  </si>
  <si>
    <t>서울원촌초등학교</t>
    <phoneticPr fontId="18" type="noConversion"/>
  </si>
  <si>
    <t>서울특별시 서초구 사평대로 45길 26</t>
    <phoneticPr fontId="18" type="noConversion"/>
  </si>
  <si>
    <t>황명자 선생님</t>
    <phoneticPr fontId="18" type="noConversion"/>
  </si>
  <si>
    <t>010-9590-5230</t>
    <phoneticPr fontId="18" type="noConversion"/>
  </si>
  <si>
    <t>서울원효초등학교</t>
  </si>
  <si>
    <t>서울특별시 용산구 효창원로13길 38</t>
  </si>
  <si>
    <t>010-5262-2843</t>
    <phoneticPr fontId="22" type="noConversion"/>
  </si>
  <si>
    <t>서울월계초등학교</t>
  </si>
  <si>
    <t>서울특별시 노원구 월계로45가길 10</t>
  </si>
  <si>
    <t>서울월곡초등학교</t>
  </si>
  <si>
    <t>서울특별시 성북구 장월로3길 42</t>
  </si>
  <si>
    <t>서울월정초등학교</t>
  </si>
  <si>
    <t>서울특별시 강서구 월정로 176</t>
  </si>
  <si>
    <t>서울월천초등학교</t>
  </si>
  <si>
    <t>서울특별시 도봉구 노해로70길 96</t>
  </si>
  <si>
    <t>서울월촌중학교</t>
    <phoneticPr fontId="18" type="noConversion"/>
  </si>
  <si>
    <t>서울특별시 양천구 목동서로 31 보건실</t>
    <phoneticPr fontId="18" type="noConversion"/>
  </si>
  <si>
    <t>문상윤 선생님</t>
    <phoneticPr fontId="18" type="noConversion"/>
  </si>
  <si>
    <t>02-6388-9614</t>
    <phoneticPr fontId="18" type="noConversion"/>
  </si>
  <si>
    <t>서울월촌초등학교</t>
  </si>
  <si>
    <t>서울특별시 양천구 목동중앙로 132</t>
  </si>
  <si>
    <t>서울위례별초등학교</t>
  </si>
  <si>
    <t>서울특별시 송파구 위례광장로 243</t>
  </si>
  <si>
    <t>서울유현초등학교</t>
  </si>
  <si>
    <t>서울특별시 강북구 인수봉로37길 24</t>
  </si>
  <si>
    <t>서울윤중초등학교</t>
  </si>
  <si>
    <t>서울특별시 영등포구 여의나루로2길 14</t>
  </si>
  <si>
    <t>서울율현초등학교</t>
  </si>
  <si>
    <t>서울특별시 강남구 밤고개로21길 15</t>
  </si>
  <si>
    <t>서울은로초등학교</t>
  </si>
  <si>
    <t>서울특별시 동작구 서달로 115</t>
  </si>
  <si>
    <t>서울은명초등학교</t>
  </si>
  <si>
    <t>서울특별시 은평구 은평로4길 21-9</t>
  </si>
  <si>
    <t>서울은빛초등학교</t>
  </si>
  <si>
    <t>서울특별시 은평구 진관3로 73-17</t>
  </si>
  <si>
    <t>서울은정초등학교</t>
  </si>
  <si>
    <t>서울특별시 양천구 목동남로 85</t>
  </si>
  <si>
    <t>서울은진초등학교</t>
  </si>
  <si>
    <t>서울특별시 은평구 진관1로 21-20</t>
  </si>
  <si>
    <t>서울은천초등학교</t>
  </si>
  <si>
    <t>서울특별시 관악구 은천로 69</t>
  </si>
  <si>
    <t>서울은평초등학교</t>
  </si>
  <si>
    <t>서울특별시 은평구 은평로 239</t>
  </si>
  <si>
    <t>서울을지초등학교</t>
  </si>
  <si>
    <t>서울특별시 노원구 중계로 239</t>
  </si>
  <si>
    <t>서울응봉초등학교</t>
  </si>
  <si>
    <t>서울특별시 성동구 독서당로62길 28</t>
  </si>
  <si>
    <t>서울응암초등학교</t>
  </si>
  <si>
    <t>서울특별시 은평구 가좌로6길 20</t>
  </si>
  <si>
    <t>서울의료보건고등학교</t>
  </si>
  <si>
    <t>서울특별시 중구 만리재로37길 30</t>
  </si>
  <si>
    <t>서울이문초등학교</t>
    <phoneticPr fontId="18" type="noConversion"/>
  </si>
  <si>
    <t>서울 동대문구 신이문로 16길</t>
    <phoneticPr fontId="18" type="noConversion"/>
  </si>
  <si>
    <t>전재호 선생님</t>
    <phoneticPr fontId="18" type="noConversion"/>
  </si>
  <si>
    <t>010-9128-1285</t>
    <phoneticPr fontId="18" type="noConversion"/>
  </si>
  <si>
    <t>서울이수초등학교</t>
  </si>
  <si>
    <t>서울특별시 서초구 방배천로4길 23</t>
  </si>
  <si>
    <t>서울이태원초등학교</t>
    <phoneticPr fontId="18" type="noConversion"/>
  </si>
  <si>
    <t>서울특별시 용산구 녹사평대로40길 19</t>
    <phoneticPr fontId="18" type="noConversion"/>
  </si>
  <si>
    <t>고은별 보건선생님</t>
    <phoneticPr fontId="18" type="noConversion"/>
  </si>
  <si>
    <t>010-3895-3105</t>
    <phoneticPr fontId="18" type="noConversion"/>
  </si>
  <si>
    <t>서울인수초등학교</t>
  </si>
  <si>
    <t>서울특별시 강북구 인수봉로 269</t>
  </si>
  <si>
    <t>서울인왕초등학교</t>
  </si>
  <si>
    <t>서울특별시 서대문구 세무서길 33-9</t>
  </si>
  <si>
    <t>서울인헌고등학교</t>
    <phoneticPr fontId="18" type="noConversion"/>
  </si>
  <si>
    <t>서울특별시 관악구 인헌9길 74 4층 생활안전부실</t>
    <phoneticPr fontId="18" type="noConversion"/>
  </si>
  <si>
    <t>이성국 담당자님</t>
    <phoneticPr fontId="18" type="noConversion"/>
  </si>
  <si>
    <t>010-6730-1007</t>
    <phoneticPr fontId="18" type="noConversion"/>
  </si>
  <si>
    <t>서울인헌초등학교</t>
  </si>
  <si>
    <t>서울특별시 관악구 낙성대로 23</t>
  </si>
  <si>
    <t>서울일신초등학교</t>
  </si>
  <si>
    <t>서울특별시 성북구 월곡로 74</t>
  </si>
  <si>
    <t>서울일원초등학교</t>
    <phoneticPr fontId="18" type="noConversion"/>
  </si>
  <si>
    <t>서울특별시 강남구 영동대로4길 20</t>
    <phoneticPr fontId="18" type="noConversion"/>
  </si>
  <si>
    <t>임영숙 선생님</t>
    <phoneticPr fontId="18" type="noConversion"/>
  </si>
  <si>
    <t>010-2915-5176</t>
    <phoneticPr fontId="18" type="noConversion"/>
  </si>
  <si>
    <t>yebbunie@sen.go.kr</t>
    <phoneticPr fontId="18" type="noConversion"/>
  </si>
  <si>
    <t>서울자곡초등학교</t>
    <phoneticPr fontId="18" type="noConversion"/>
  </si>
  <si>
    <t>서울특별시 강남구 자곡로 150</t>
    <phoneticPr fontId="18" type="noConversion"/>
  </si>
  <si>
    <t>최무용 선생님</t>
    <phoneticPr fontId="22" type="noConversion"/>
  </si>
  <si>
    <t>010-9977-6441</t>
    <phoneticPr fontId="22" type="noConversion"/>
  </si>
  <si>
    <t>서울자양중학교</t>
    <phoneticPr fontId="18" type="noConversion"/>
  </si>
  <si>
    <t>서울특별시 광진구 뚝섬로41길 33</t>
    <phoneticPr fontId="18" type="noConversion"/>
  </si>
  <si>
    <t>노혜숙 선생님</t>
    <phoneticPr fontId="18" type="noConversion"/>
  </si>
  <si>
    <t>070-4342-3704</t>
    <phoneticPr fontId="18" type="noConversion"/>
  </si>
  <si>
    <t>서울자양초등학교</t>
  </si>
  <si>
    <t>서울특별시 광진구 아차산로44길 26</t>
  </si>
  <si>
    <t>서울자운초등학교</t>
  </si>
  <si>
    <t>서울특별시 도봉구 마들로13길 166</t>
  </si>
  <si>
    <t>서울잠동초등학교</t>
    <phoneticPr fontId="18" type="noConversion"/>
  </si>
  <si>
    <t>서울특별시 송파구 올림픽로35길 122</t>
    <phoneticPr fontId="18" type="noConversion"/>
  </si>
  <si>
    <t>이영미 선생님</t>
    <phoneticPr fontId="18" type="noConversion"/>
  </si>
  <si>
    <t>010-4083-7321</t>
  </si>
  <si>
    <t>서울잠신중학교</t>
  </si>
  <si>
    <t>서울특별시 송파구 잠실로 12</t>
  </si>
  <si>
    <t>김혜민 선생님</t>
  </si>
  <si>
    <t>02-2251-1555</t>
  </si>
  <si>
    <t>서울잠신초등학교</t>
  </si>
  <si>
    <t>서울특별시 송파구 잠실로 32</t>
  </si>
  <si>
    <t>서울잠실고등학교</t>
    <phoneticPr fontId="18" type="noConversion"/>
  </si>
  <si>
    <t>서울특별시 송파구 올림픽로33길 71</t>
    <phoneticPr fontId="18" type="noConversion"/>
  </si>
  <si>
    <t>02-414-6030</t>
    <phoneticPr fontId="18" type="noConversion"/>
  </si>
  <si>
    <t>서울잠실중학교</t>
    <phoneticPr fontId="18" type="noConversion"/>
  </si>
  <si>
    <t>서울특별시 송파구 올림픽로35길 130</t>
    <phoneticPr fontId="18" type="noConversion"/>
  </si>
  <si>
    <t>조가연 선생님</t>
    <phoneticPr fontId="18" type="noConversion"/>
  </si>
  <si>
    <t>010-9387-6296</t>
    <phoneticPr fontId="18" type="noConversion"/>
  </si>
  <si>
    <t>서울잠실초등학교</t>
  </si>
  <si>
    <t>서울특별시 송파구 올림픽로35길 20</t>
  </si>
  <si>
    <t>서울잠원초등학교</t>
    <phoneticPr fontId="18" type="noConversion"/>
  </si>
  <si>
    <t>서울특별시 서초구 신반포로16길 15-25</t>
    <phoneticPr fontId="18" type="noConversion"/>
  </si>
  <si>
    <t>최규현 선생님</t>
    <phoneticPr fontId="18" type="noConversion"/>
  </si>
  <si>
    <t>010-6304-0015</t>
    <phoneticPr fontId="22" type="noConversion"/>
  </si>
  <si>
    <t>서울잠일초등학교</t>
    <phoneticPr fontId="18" type="noConversion"/>
  </si>
  <si>
    <t>서울특별시 송파구 올림픽로 95 보건실</t>
    <phoneticPr fontId="18" type="noConversion"/>
  </si>
  <si>
    <t>010-9514-0031</t>
    <phoneticPr fontId="18" type="noConversion"/>
  </si>
  <si>
    <t>서울잠전초등학교</t>
  </si>
  <si>
    <t>서울특별시 송파구 올림픽로12길 51</t>
  </si>
  <si>
    <t>김희락 선생님</t>
  </si>
  <si>
    <t>010-6273-3351</t>
  </si>
  <si>
    <t>서울잠현초등학교</t>
  </si>
  <si>
    <t>서울특별시 송파구 올림픽로 37길 109</t>
  </si>
  <si>
    <t>서울장곡초등학교</t>
  </si>
  <si>
    <t>서울특별시 성북구 장월로23길 16</t>
  </si>
  <si>
    <t>서울장수초등학교</t>
  </si>
  <si>
    <t>서울특별시 양천구 신정로13가길 30</t>
  </si>
  <si>
    <t>010-2708-1963</t>
  </si>
  <si>
    <t>서울장안초등학교</t>
  </si>
  <si>
    <t>서울특별시 광진구 군자로 74</t>
  </si>
  <si>
    <t>서울장월초등학교</t>
  </si>
  <si>
    <t>서울특별시 성북구 한천로101길 66</t>
  </si>
  <si>
    <t>서울장위초등학교</t>
  </si>
  <si>
    <t>서울특별시 성북구 장월로8가길 41</t>
  </si>
  <si>
    <t>서울장충초등학교</t>
  </si>
  <si>
    <t>서울특별시 중구 청구로17길 40</t>
  </si>
  <si>
    <t>서울장평초등학교</t>
  </si>
  <si>
    <t>서울특별시 동대문구 답십리로69길 27</t>
  </si>
  <si>
    <t>서울재동초등학교</t>
  </si>
  <si>
    <t>서울특별시 종로구 북촌로4길 7</t>
  </si>
  <si>
    <t>서울전곡초등학교</t>
  </si>
  <si>
    <t>서울특별시 동대문구 전농로 172</t>
  </si>
  <si>
    <t>서울전농초등학교</t>
  </si>
  <si>
    <t>서울특별시 동대문구 사가정로 66</t>
  </si>
  <si>
    <t>서울전동초등학교</t>
  </si>
  <si>
    <t>서울특별시 동대문구 전농로16길 61</t>
  </si>
  <si>
    <t>서울전자고등학교</t>
  </si>
  <si>
    <t>서울특별시 서초구 과천대로 852-23</t>
  </si>
  <si>
    <t>서울정곡초등학교</t>
  </si>
  <si>
    <t>서울특별시 강서구 방화대로50길 22</t>
  </si>
  <si>
    <t>서울정덕초등학교</t>
  </si>
  <si>
    <t>서울특별시 성북구 아리랑로 63</t>
  </si>
  <si>
    <t>서울정릉초등학교</t>
  </si>
  <si>
    <t>서울특별시 성북구 솔샘로25가길 8</t>
  </si>
  <si>
    <t>서울정목초등학교</t>
  </si>
  <si>
    <t>서울특별시 양천구 목동중앙로3길 30-10</t>
  </si>
  <si>
    <t>서울정수초등학교</t>
  </si>
  <si>
    <t>서울특별시 성북구 정릉로24길 58</t>
  </si>
  <si>
    <t>서울정심초등학교</t>
  </si>
  <si>
    <t>서울특별시 금천구 독산로78다길 89</t>
  </si>
  <si>
    <t>서울조원초등학교</t>
    <phoneticPr fontId="18" type="noConversion"/>
  </si>
  <si>
    <t>서울특별시 관악구 조원로 67</t>
    <phoneticPr fontId="18" type="noConversion"/>
  </si>
  <si>
    <t>보안관님</t>
    <phoneticPr fontId="18" type="noConversion"/>
  </si>
  <si>
    <t>010-3238-0934</t>
    <phoneticPr fontId="18" type="noConversion"/>
  </si>
  <si>
    <t>서울종암초등학교</t>
  </si>
  <si>
    <t>서울특별시 동대문구 무학로44길 25</t>
  </si>
  <si>
    <t>서울중계초등학교</t>
  </si>
  <si>
    <t>서울특별시 노원구 한글비석로19길 39</t>
  </si>
  <si>
    <t>서울중곡초등학교</t>
  </si>
  <si>
    <t>서울특별시 중랑구 면목로23길 20</t>
  </si>
  <si>
    <t>서울중광초등학교</t>
  </si>
  <si>
    <t>서울특별시 광진구 긴고랑로13길 59</t>
  </si>
  <si>
    <t>서울중대초등학교</t>
  </si>
  <si>
    <t>서울특별시 송파구 송파대로36길 8</t>
  </si>
  <si>
    <t>서울중동초등학교</t>
  </si>
  <si>
    <t>서울특별시 마포구 월드컵북로 152</t>
  </si>
  <si>
    <t>서울중랑초등학교</t>
  </si>
  <si>
    <t>서울특별시 중랑구 봉우재로6길 26</t>
  </si>
  <si>
    <t>서울중마초등학교</t>
  </si>
  <si>
    <t>서울특별시 광진구 동일로72길 43</t>
  </si>
  <si>
    <t>서울중목초등학교</t>
  </si>
  <si>
    <t>서울특별시 중랑구 동일로 665</t>
  </si>
  <si>
    <t>서울중원초등학교</t>
    <phoneticPr fontId="18" type="noConversion"/>
  </si>
  <si>
    <t>서울특별시 노원구 섬밭로 316</t>
    <phoneticPr fontId="18" type="noConversion"/>
  </si>
  <si>
    <t>최지은 선생님</t>
    <phoneticPr fontId="18" type="noConversion"/>
  </si>
  <si>
    <t>010-9438-8299</t>
    <phoneticPr fontId="18" type="noConversion"/>
  </si>
  <si>
    <t>서울중평초등학교</t>
  </si>
  <si>
    <t>서울특별시 노원구 섬밭로 241</t>
  </si>
  <si>
    <t>서울중현초등학교</t>
  </si>
  <si>
    <t>서울특별시 노원구 섬밭로 181</t>
  </si>
  <si>
    <t>서울중화초등학교</t>
  </si>
  <si>
    <t>서울특별시 중랑구 신내로7가길 22</t>
  </si>
  <si>
    <t>서울중흥초등학교</t>
  </si>
  <si>
    <t>서울특별시 중랑구 봉화산로 82</t>
  </si>
  <si>
    <t>서울증산초등학교</t>
  </si>
  <si>
    <t>서울특별시 은평구 증산서길 61</t>
  </si>
  <si>
    <t>백영경 선생님</t>
    <phoneticPr fontId="22" type="noConversion"/>
  </si>
  <si>
    <t>010-2448-1529</t>
    <phoneticPr fontId="22" type="noConversion"/>
  </si>
  <si>
    <t>서울지향초등학교</t>
  </si>
  <si>
    <t>서울특별시 양천구 신정로11길 74</t>
  </si>
  <si>
    <t>서울진관초등학교</t>
  </si>
  <si>
    <t>서울특별시 은평구 진관4로 78-16</t>
  </si>
  <si>
    <t>서울창경초등학교</t>
  </si>
  <si>
    <t>서울특별시 도봉구 도봉로129길 54</t>
  </si>
  <si>
    <t>서울창도초등학교</t>
  </si>
  <si>
    <t>서울특별시 도봉구 방학로 32-28</t>
  </si>
  <si>
    <t>서울창동초등학교</t>
  </si>
  <si>
    <t>서울특별시 도봉구 해등로16길 81</t>
  </si>
  <si>
    <t>서울창림초등학교</t>
  </si>
  <si>
    <t>서울특별시 도봉구 덕릉로63길 46</t>
  </si>
  <si>
    <t>서울창서초등학교</t>
  </si>
  <si>
    <t>서울특별시 서대문구 연세로5나길 30-3</t>
  </si>
  <si>
    <t>서울창신초등학교</t>
  </si>
  <si>
    <t>서울특별시 종로구 지봉로 73</t>
  </si>
  <si>
    <t>서울창원초등학교</t>
  </si>
  <si>
    <t>서울특별시 도봉구 해등로 103</t>
  </si>
  <si>
    <t>서울창일초등학교</t>
  </si>
  <si>
    <t>서울특별시 도봉구 노해로66길 84</t>
  </si>
  <si>
    <t>서울창천초등학교</t>
  </si>
  <si>
    <t>서울특별시 마포구 백범로1길 56</t>
  </si>
  <si>
    <t>서울천동초등학교</t>
  </si>
  <si>
    <t>서울특별시 강동구 성안로 200</t>
  </si>
  <si>
    <t>김수민 선생님</t>
    <phoneticPr fontId="22" type="noConversion"/>
  </si>
  <si>
    <t>010-2220-9253</t>
    <phoneticPr fontId="22" type="noConversion"/>
  </si>
  <si>
    <t>서울천왕초등학교</t>
  </si>
  <si>
    <t>서울특별시 구로구 천왕로1길 11</t>
  </si>
  <si>
    <t>서울천일초등학교</t>
  </si>
  <si>
    <t>서울특별시 강동구 구천면로 266</t>
  </si>
  <si>
    <t>서울천호초등학교</t>
  </si>
  <si>
    <t>서울특별시 강동구 구천면로 310-11</t>
  </si>
  <si>
    <t>서울청계초등학교</t>
    <phoneticPr fontId="18" type="noConversion"/>
  </si>
  <si>
    <t>서울특별시 노원구 공릉로 431</t>
    <phoneticPr fontId="18" type="noConversion"/>
  </si>
  <si>
    <t>정선영 선생님</t>
    <phoneticPr fontId="18" type="noConversion"/>
  </si>
  <si>
    <t>010-3452-4478</t>
    <phoneticPr fontId="18" type="noConversion"/>
  </si>
  <si>
    <t>서울청구초등학교</t>
    <phoneticPr fontId="18" type="noConversion"/>
  </si>
  <si>
    <t>서울특별시 중구 다산로 170</t>
    <phoneticPr fontId="18" type="noConversion"/>
  </si>
  <si>
    <t>010-9822-2959</t>
    <phoneticPr fontId="18" type="noConversion"/>
  </si>
  <si>
    <t>서울청담초등학교</t>
  </si>
  <si>
    <t>서울특별시 강남구 압구정로71길 9</t>
  </si>
  <si>
    <t>서울청덕초등학교</t>
  </si>
  <si>
    <t>서울특별시 성북구 정릉로9라길 11</t>
  </si>
  <si>
    <t>서울청량초등학교</t>
  </si>
  <si>
    <t>서울특별시 동대문구 회기로25길 31</t>
  </si>
  <si>
    <t>서울청룡초등학교</t>
  </si>
  <si>
    <t>서울특별시 관악구 관악로5길 61</t>
  </si>
  <si>
    <t>서울청운초등학교</t>
  </si>
  <si>
    <t>서울특별시 종로구 자하문로 105</t>
  </si>
  <si>
    <t>서울청파초등학교</t>
  </si>
  <si>
    <t>서울특별시 용산구 효창원로 228</t>
  </si>
  <si>
    <t>서울체육고등학교</t>
  </si>
  <si>
    <t>서울특별시 송파구 강동대로 232</t>
  </si>
  <si>
    <t>서울체육중학교</t>
  </si>
  <si>
    <t>서울초당초등학교</t>
  </si>
  <si>
    <t>서울특별시 도봉구 해등로32길 11</t>
  </si>
  <si>
    <t>서울추계초등학교</t>
    <phoneticPr fontId="18" type="noConversion"/>
  </si>
  <si>
    <t>서울특별시 서대문구 북아현로11가길 7</t>
    <phoneticPr fontId="18" type="noConversion"/>
  </si>
  <si>
    <t>02-312-7701</t>
    <phoneticPr fontId="18" type="noConversion"/>
  </si>
  <si>
    <t>서울충무초등학교</t>
  </si>
  <si>
    <t>서울특별시 중구 퇴계로50길 13</t>
  </si>
  <si>
    <t>서울치현초등학교</t>
  </si>
  <si>
    <t>서울특별시 강서구 방화대로47길 43</t>
  </si>
  <si>
    <t>서울컨벤션고등학교</t>
  </si>
  <si>
    <t>서울특별시 강동구 동남로 964</t>
  </si>
  <si>
    <t>서울탑동초등학교</t>
    <phoneticPr fontId="18" type="noConversion"/>
  </si>
  <si>
    <t>서울특별시 금천구 탑골로 47-3 (금천구 시흥2동)</t>
    <phoneticPr fontId="18" type="noConversion"/>
  </si>
  <si>
    <t>김창현 선생님</t>
    <phoneticPr fontId="18" type="noConversion"/>
  </si>
  <si>
    <t>010-3502-8743</t>
    <phoneticPr fontId="18" type="noConversion"/>
  </si>
  <si>
    <t>서울탑산초등학교</t>
    <phoneticPr fontId="22" type="noConversion"/>
  </si>
  <si>
    <t>서울 강서구 허준로 109 탑산초등학교</t>
    <phoneticPr fontId="22" type="noConversion"/>
  </si>
  <si>
    <t>권서연 선생님</t>
    <phoneticPr fontId="22" type="noConversion"/>
  </si>
  <si>
    <t>070-4346-8144</t>
    <phoneticPr fontId="22" type="noConversion"/>
  </si>
  <si>
    <t>서울태랑초등학교</t>
  </si>
  <si>
    <t>서울특별시 노원구 화랑로51나길 31</t>
  </si>
  <si>
    <t>서울태릉초등학교</t>
  </si>
  <si>
    <t>서울특별시 노원구 노원로1길 36</t>
  </si>
  <si>
    <t>서울토성초등학교</t>
    <phoneticPr fontId="18" type="noConversion"/>
  </si>
  <si>
    <t>서울특별시 송파구 풍성로20길 44</t>
    <phoneticPr fontId="18" type="noConversion"/>
  </si>
  <si>
    <t>010-2751-6602</t>
    <phoneticPr fontId="18" type="noConversion"/>
  </si>
  <si>
    <t>서울평화초등학교</t>
  </si>
  <si>
    <t>서울특별시 송파구 송파대로26길 22</t>
  </si>
  <si>
    <t>서울포이초등학교</t>
  </si>
  <si>
    <t>서울특별시 강남구 개포로22길 87</t>
  </si>
  <si>
    <t>서울풍납초등학교</t>
  </si>
  <si>
    <t>서울특별시 송파구 풍성로 43</t>
  </si>
  <si>
    <t>서울풍성초등학교</t>
  </si>
  <si>
    <t>서울특별시 송파구 강동대로2길 13</t>
  </si>
  <si>
    <t>서울하늘숲초등학교</t>
  </si>
  <si>
    <t>서울특별시 구로구 오리로 1106</t>
  </si>
  <si>
    <t>서울하늘초등학교</t>
  </si>
  <si>
    <t>서울특별시 마포구 월드컵북로 502-14</t>
  </si>
  <si>
    <t>서울학동초등학교</t>
  </si>
  <si>
    <t>서울특별시 강남구 선릉로115길 42</t>
  </si>
  <si>
    <t>설민경 선생님</t>
    <phoneticPr fontId="22" type="noConversion"/>
  </si>
  <si>
    <t>010-4879-5105</t>
    <phoneticPr fontId="22" type="noConversion"/>
  </si>
  <si>
    <t>nicesmk@sen.go.kr</t>
    <phoneticPr fontId="22" type="noConversion"/>
  </si>
  <si>
    <t>서울한강초등학교</t>
  </si>
  <si>
    <t>서울특별시 용산구 한강대로14길 9</t>
  </si>
  <si>
    <t>서울한남초등학교</t>
  </si>
  <si>
    <t>서울특별시 용산구 한남대로 112</t>
  </si>
  <si>
    <t>서울한산초등학교</t>
  </si>
  <si>
    <t>서울특별시 강동구 풍성로 261</t>
  </si>
  <si>
    <t>서울한서초등학교</t>
  </si>
  <si>
    <t>서울특별시 마포구 대흥로24바길 27</t>
  </si>
  <si>
    <t>서울한천초등학교</t>
  </si>
  <si>
    <t>서울특별시 노원구 마들로 45</t>
  </si>
  <si>
    <t>최오수 선생님</t>
    <phoneticPr fontId="22" type="noConversion"/>
  </si>
  <si>
    <t>010-4507-2209</t>
    <phoneticPr fontId="22" type="noConversion"/>
  </si>
  <si>
    <t>서울항공비즈니스 고등학교</t>
  </si>
  <si>
    <t>서울시 강서구 방화대로 34길 13</t>
  </si>
  <si>
    <t>장호연 선생님</t>
  </si>
  <si>
    <t>010-6362-4802</t>
  </si>
  <si>
    <t>서울항공비즈니스고등학교</t>
  </si>
  <si>
    <t>서울특별시 강서구 방화대로34길 13</t>
  </si>
  <si>
    <t>서울항동초등학교</t>
    <phoneticPr fontId="18" type="noConversion"/>
  </si>
  <si>
    <t>서울특별시 구로구 연동로 178</t>
    <phoneticPr fontId="18" type="noConversion"/>
  </si>
  <si>
    <t>양혜란 선생님</t>
    <phoneticPr fontId="18" type="noConversion"/>
  </si>
  <si>
    <t>02-480-3609</t>
    <phoneticPr fontId="18" type="noConversion"/>
  </si>
  <si>
    <t>서울해누리초등학교</t>
  </si>
  <si>
    <t>서울특별시 송파구 송파대로37길 95</t>
  </si>
  <si>
    <t>서울행당초등학교</t>
    <phoneticPr fontId="18" type="noConversion"/>
  </si>
  <si>
    <t>서울특별시 성동구 고산자로8길 6</t>
    <phoneticPr fontId="18" type="noConversion"/>
  </si>
  <si>
    <t>010-4717-5632</t>
    <phoneticPr fontId="18" type="noConversion"/>
  </si>
  <si>
    <t>서울행림초등학교</t>
  </si>
  <si>
    <t>서울특별시 동작구 솔밭로 47</t>
  </si>
  <si>
    <t>서울행현초등학교</t>
  </si>
  <si>
    <t>서울특별시 성동구 행당로 95</t>
  </si>
  <si>
    <t>서울혜화초등학교</t>
  </si>
  <si>
    <t>서울특별시 종로구 혜화로 32</t>
  </si>
  <si>
    <t>서울홍릉초등학교</t>
  </si>
  <si>
    <t>서울특별시 동대문구 회기로 90</t>
  </si>
  <si>
    <t>서울홍연초등학교</t>
  </si>
  <si>
    <t>서울특별시 서대문구 백련사길 55</t>
  </si>
  <si>
    <t>서울홍은초등학교</t>
  </si>
  <si>
    <t>서울특별시 서대문구 세검정로 105</t>
  </si>
  <si>
    <t>서울홍제초등학교</t>
  </si>
  <si>
    <t>서울특별시 서대문구 홍은중앙로 13</t>
  </si>
  <si>
    <t>서울홍파초등학교</t>
  </si>
  <si>
    <t>서울특별시 동대문구 고산자로 518</t>
  </si>
  <si>
    <t>서울화계초등학교</t>
  </si>
  <si>
    <t>서울특별시 강북구 솔매로50가길 25</t>
  </si>
  <si>
    <t>서울화곡초등학교</t>
    <phoneticPr fontId="18" type="noConversion"/>
  </si>
  <si>
    <t>서울 강서구 초록마을로 28</t>
    <phoneticPr fontId="18" type="noConversion"/>
  </si>
  <si>
    <t>010-9688-9934</t>
    <phoneticPr fontId="18" type="noConversion"/>
  </si>
  <si>
    <t>서울화양초등학교</t>
  </si>
  <si>
    <t>서울특별시 광진구 군자로 9</t>
  </si>
  <si>
    <t>서울화원중학교</t>
    <phoneticPr fontId="18" type="noConversion"/>
  </si>
  <si>
    <t>서울 강서구 강서로17나길 86 화원중학교</t>
    <phoneticPr fontId="18" type="noConversion"/>
  </si>
  <si>
    <t>민유진 선생님</t>
    <phoneticPr fontId="18" type="noConversion"/>
  </si>
  <si>
    <t>010-9505-7716</t>
    <phoneticPr fontId="18" type="noConversion"/>
  </si>
  <si>
    <t>서울화일초등학교</t>
  </si>
  <si>
    <t>서울특별시 강서구 까치산로10길 70</t>
  </si>
  <si>
    <t>서울환일중학교</t>
    <phoneticPr fontId="18" type="noConversion"/>
  </si>
  <si>
    <t>서울특별시 중구 환일길 47</t>
    <phoneticPr fontId="18" type="noConversion"/>
  </si>
  <si>
    <t>오세현 보건선생님</t>
    <phoneticPr fontId="18" type="noConversion"/>
  </si>
  <si>
    <t>02-390-7241</t>
    <phoneticPr fontId="18" type="noConversion"/>
  </si>
  <si>
    <t>서울효제초등학교</t>
  </si>
  <si>
    <t>서울특별시 종로구 대학로 12</t>
  </si>
  <si>
    <t>서울후암초등학교</t>
  </si>
  <si>
    <t>서울특별시 용산구 두텁바위로 140</t>
  </si>
  <si>
    <t>서울휘경초등학교</t>
  </si>
  <si>
    <t>서울특별시 동대문구 망우로6길 48</t>
  </si>
  <si>
    <t>서울휘봉초등학교</t>
  </si>
  <si>
    <t>서울특별시 동대문구 장안벚꽃로 309</t>
  </si>
  <si>
    <t>서울흑석초등학교</t>
  </si>
  <si>
    <t>서울특별시 동작구 현충로 87</t>
  </si>
  <si>
    <t>서울흥인초등학교</t>
  </si>
  <si>
    <t>서울특별시 중구 청구로6길 11</t>
  </si>
  <si>
    <t>서일고등학교</t>
  </si>
  <si>
    <t>대전광역시 서구 계백로828번길 30</t>
  </si>
  <si>
    <t>서일문화예술고등학교</t>
  </si>
  <si>
    <t>서울특별시 종로구 지봉로17길 49</t>
  </si>
  <si>
    <t>서일여자고등학교</t>
  </si>
  <si>
    <t>대전광역시 서구 구봉산북로 22</t>
  </si>
  <si>
    <t>서일중학교</t>
  </si>
  <si>
    <t>서울특별시 서초구 서운로21길 2</t>
  </si>
  <si>
    <t>서전주중학교</t>
  </si>
  <si>
    <t>전라북도 전주시 완산구 거마평로 205</t>
  </si>
  <si>
    <t>서초고등학교</t>
  </si>
  <si>
    <t>서울특별시 서초구 반포대로27길 29</t>
  </si>
  <si>
    <t>서초중학교</t>
  </si>
  <si>
    <t>서울특별시 서초구 반포대로13길 48</t>
  </si>
  <si>
    <t>석관고등학교</t>
  </si>
  <si>
    <t>서울특별시 성북구 한천로70길 30</t>
  </si>
  <si>
    <t>석관중학교</t>
  </si>
  <si>
    <t>서울특별시 성북구 한천로 526</t>
  </si>
  <si>
    <t>석불초등학교</t>
  </si>
  <si>
    <t>전라북도 익산시 삼기면 진북로 267</t>
  </si>
  <si>
    <t>석촌중학교</t>
  </si>
  <si>
    <t>서울특별시 송파구 송이로15길 13</t>
  </si>
  <si>
    <t>선경</t>
  </si>
  <si>
    <t>인천광역시 계양구 서운산단로 3길 1 (서운동 115-9)</t>
    <phoneticPr fontId="18" type="noConversion"/>
  </si>
  <si>
    <t>송수영 과장</t>
    <phoneticPr fontId="18" type="noConversion"/>
  </si>
  <si>
    <t>032-681-4240</t>
    <phoneticPr fontId="18" type="noConversion"/>
  </si>
  <si>
    <t>sunkyung93@bill36524.com</t>
    <phoneticPr fontId="18" type="noConversion"/>
  </si>
  <si>
    <t>선덕고등학교</t>
  </si>
  <si>
    <t>선덕중학교</t>
  </si>
  <si>
    <t>선동초등학교</t>
  </si>
  <si>
    <t>전라북도 고창군 공음면 청보리로 1010</t>
  </si>
  <si>
    <t>선린인터넷고등학교</t>
  </si>
  <si>
    <t>서울특별시 용산구 원효로97길 33-4</t>
  </si>
  <si>
    <t>선린중학교</t>
  </si>
  <si>
    <t>선사고등학교</t>
  </si>
  <si>
    <t>서울특별시 강동구 고덕로25길 17</t>
  </si>
  <si>
    <t>선유고등학교</t>
  </si>
  <si>
    <t>서울특별시 영등포구 선유로 227</t>
  </si>
  <si>
    <t>선유도중학교</t>
  </si>
  <si>
    <t>전라북도 군산시 옥도면 선유북길 89-1</t>
  </si>
  <si>
    <t>선유도초등학교</t>
  </si>
  <si>
    <t>선유중학교</t>
  </si>
  <si>
    <t>서울특별시 영등포구 선유로 213</t>
  </si>
  <si>
    <t>선일여자고등학교</t>
  </si>
  <si>
    <t>서울특별시 은평구 갈현로29길 27</t>
  </si>
  <si>
    <t>선일여자중학교</t>
  </si>
  <si>
    <t>선일이비즈니스고등학교</t>
  </si>
  <si>
    <t>선일초등학교</t>
  </si>
  <si>
    <t>선정고등학교</t>
  </si>
  <si>
    <t>서울특별시 은평구 서오릉로20길 19</t>
  </si>
  <si>
    <t>선정국제관광고등학교</t>
  </si>
  <si>
    <t>선정중학교</t>
  </si>
  <si>
    <t>선화예술고등학교</t>
  </si>
  <si>
    <t>서울특별시 광진구 천호대로 664</t>
  </si>
  <si>
    <t>설천고등학교</t>
  </si>
  <si>
    <t>전라북도 무주군 설천면 하평지길 19</t>
  </si>
  <si>
    <t>설천중학교</t>
  </si>
  <si>
    <t>설천초등학교</t>
  </si>
  <si>
    <t>전라북도 무주군 설천면 무설로 1599</t>
  </si>
  <si>
    <t>섬진중학교</t>
  </si>
  <si>
    <t>전라북도 임실군 강진면 강운로 87</t>
  </si>
  <si>
    <t>성남고등학교</t>
  </si>
  <si>
    <t>서울특별시 동작구 대방동길 74</t>
  </si>
  <si>
    <t>성남중학교</t>
  </si>
  <si>
    <t>성내초등학교</t>
  </si>
  <si>
    <t>서울시 강동구 성내로3길 19</t>
  </si>
  <si>
    <t>홍경순 선생님</t>
  </si>
  <si>
    <t>010-7562-2118</t>
  </si>
  <si>
    <t>성당중학교</t>
  </si>
  <si>
    <t>전라북도 익산시 성당면 함안로 671-333</t>
  </si>
  <si>
    <t>성당초등학교</t>
  </si>
  <si>
    <t>전라북도 익산시 성당면 성당로 354-16</t>
  </si>
  <si>
    <t>성덕고등학교</t>
  </si>
  <si>
    <t>서울특별시 강동구 구천면로 396</t>
  </si>
  <si>
    <t>성덕여자중학교</t>
  </si>
  <si>
    <t>성덕중학교</t>
  </si>
  <si>
    <t>대전광역시 유성구 신성로 19</t>
  </si>
  <si>
    <t>성덕초등학교</t>
  </si>
  <si>
    <t>전라북도 김제시 성덕면 대석로 75</t>
  </si>
  <si>
    <t>성동고등학교</t>
  </si>
  <si>
    <t>서울특별시 중구 퇴계로90길 17</t>
  </si>
  <si>
    <t>김진미 선생님</t>
    <phoneticPr fontId="22" type="noConversion"/>
  </si>
  <si>
    <t>010-7434-8082</t>
  </si>
  <si>
    <t>성동공업고등학교</t>
    <phoneticPr fontId="18" type="noConversion"/>
  </si>
  <si>
    <t>서울특별시 중구 다산로 290</t>
    <phoneticPr fontId="18" type="noConversion"/>
  </si>
  <si>
    <t>최성민 담당자님</t>
    <phoneticPr fontId="18" type="noConversion"/>
  </si>
  <si>
    <t>010-9081-6970</t>
    <phoneticPr fontId="18" type="noConversion"/>
  </si>
  <si>
    <t>성동글로벌경영고등학교</t>
  </si>
  <si>
    <t>서울특별시 중구 퇴계로 375</t>
  </si>
  <si>
    <t>성동초등학교</t>
  </si>
  <si>
    <t>서울특별시 광진구 자양로4길 63</t>
  </si>
  <si>
    <t>성보고등학교</t>
  </si>
  <si>
    <t>서울특별시 관악구 남부순환로156길 39</t>
  </si>
  <si>
    <t>성보중학교</t>
  </si>
  <si>
    <t>성북초등학교</t>
  </si>
  <si>
    <t>전라북도 익산시 망성면 신작길 17-5</t>
  </si>
  <si>
    <t>성사중학교</t>
  </si>
  <si>
    <t>서울특별시 마포구 모래내로9길 16</t>
  </si>
  <si>
    <t>성산중학교</t>
  </si>
  <si>
    <t>서울특별시 마포구 성지1길 32-13</t>
  </si>
  <si>
    <t>성산초등학교</t>
  </si>
  <si>
    <t>전라북도 군산시 성산면 동군산로 39</t>
  </si>
  <si>
    <t>성서중학교</t>
  </si>
  <si>
    <t>서울특별시 마포구 성산로4길 42</t>
  </si>
  <si>
    <t>성송초등학교</t>
  </si>
  <si>
    <t>전라북도 고창군 성송면 백토1길 10</t>
  </si>
  <si>
    <t>성수고등학교</t>
  </si>
  <si>
    <t>서울특별시 성동구 서울숲길 18</t>
  </si>
  <si>
    <t>성수공업고등학교</t>
  </si>
  <si>
    <t>서울특별시 성동구 뚝섬로 365</t>
  </si>
  <si>
    <t>성수중학교</t>
  </si>
  <si>
    <t>성수초등학교</t>
  </si>
  <si>
    <t>전라북도 임실군 성수면 임진로 189</t>
  </si>
  <si>
    <t>성신여자고등학교</t>
    <phoneticPr fontId="22" type="noConversion"/>
  </si>
  <si>
    <t>서울특별시 성북구 동소문로26가길 80</t>
    <phoneticPr fontId="22" type="noConversion"/>
  </si>
  <si>
    <t>가재상 선생님</t>
    <phoneticPr fontId="22" type="noConversion"/>
  </si>
  <si>
    <t>010-6246-2478</t>
    <phoneticPr fontId="22" type="noConversion"/>
  </si>
  <si>
    <t>성신초등학교</t>
  </si>
  <si>
    <t>성심여자고등학교</t>
  </si>
  <si>
    <t>서울특별시 용산구 원효로19길 49</t>
  </si>
  <si>
    <t>성심여자중학교</t>
  </si>
  <si>
    <t>성암국제무역고등학교</t>
  </si>
  <si>
    <t>서울특별시 강북구 도봉로29길 52</t>
  </si>
  <si>
    <t>성암여자중학교</t>
  </si>
  <si>
    <t>성원고등학교</t>
  </si>
  <si>
    <t>전라북도 남원시 대복사길 41</t>
  </si>
  <si>
    <t>성원중학교</t>
  </si>
  <si>
    <t>서울특별시 성동구 성덕정9가길 13</t>
  </si>
  <si>
    <t>성일고등학교</t>
  </si>
  <si>
    <t>전라북도 익산시 황등면 화강암로 229</t>
  </si>
  <si>
    <t>성일중학교</t>
  </si>
  <si>
    <t>서울특별시 동대문구 왕산로23길 55</t>
  </si>
  <si>
    <t>성재중학교</t>
  </si>
  <si>
    <t>서울특별시 강서구 허준로 36</t>
  </si>
  <si>
    <t>성진전자통신</t>
  </si>
  <si>
    <t>경기 광주시 오포읍 신현리 679-15 2층</t>
  </si>
  <si>
    <t>이동욱 부장님</t>
  </si>
  <si>
    <t>010-3341-2541</t>
  </si>
  <si>
    <t>성진전자통신주식회사</t>
    <phoneticPr fontId="18" type="noConversion"/>
  </si>
  <si>
    <t>경기도 광주시 오포읍 머루숯길 7</t>
    <phoneticPr fontId="18" type="noConversion"/>
  </si>
  <si>
    <t>이동욱 부장님</t>
    <phoneticPr fontId="18" type="noConversion"/>
  </si>
  <si>
    <t>010-5206-8800</t>
    <phoneticPr fontId="18" type="noConversion"/>
  </si>
  <si>
    <t>starbit@starbit.co.kr</t>
    <phoneticPr fontId="18" type="noConversion"/>
  </si>
  <si>
    <t>세곡중학교</t>
  </si>
  <si>
    <t>서울특별시 강남구 자곡로 81</t>
  </si>
  <si>
    <t>세광정보통신</t>
    <phoneticPr fontId="18" type="noConversion"/>
  </si>
  <si>
    <t>033-744-4133</t>
    <phoneticPr fontId="18" type="noConversion"/>
  </si>
  <si>
    <t>tntning@nate.com</t>
    <phoneticPr fontId="18" type="noConversion"/>
  </si>
  <si>
    <t>세그루패션디자인고등학교</t>
  </si>
  <si>
    <t>세륜중학교</t>
  </si>
  <si>
    <t>서울특별시 송파구 양재대로72길 41</t>
  </si>
  <si>
    <t>세명컴퓨터고등학교</t>
  </si>
  <si>
    <t>서울특별시 은평구 통일로92가길 33</t>
  </si>
  <si>
    <t>세이프라임</t>
  </si>
  <si>
    <t>경기 군포시 당정동 1045 군포 IT밸리 B동 311호</t>
  </si>
  <si>
    <t>010-5773-4933</t>
  </si>
  <si>
    <t>세인고등학교</t>
  </si>
  <si>
    <t>전라북도 완주군 화산면 화산로 1486</t>
  </si>
  <si>
    <t>세일중학교</t>
  </si>
  <si>
    <t>서울특별시 금천구 시흥대로147길 34</t>
  </si>
  <si>
    <t>세종과학고등학교</t>
  </si>
  <si>
    <t>서울특별시 구로구 오리로21길 79</t>
  </si>
  <si>
    <t>세종초등학교</t>
  </si>
  <si>
    <t>서울특별시 광진구 군자로 114</t>
  </si>
  <si>
    <t>세천초등학교</t>
  </si>
  <si>
    <t>대전광역시 동구 옥천로 610-12</t>
  </si>
  <si>
    <t>세현고등학교</t>
  </si>
  <si>
    <t>서울특별시 강서구 허준로 227</t>
  </si>
  <si>
    <t>세호영상</t>
    <phoneticPr fontId="18" type="noConversion"/>
  </si>
  <si>
    <t>서울시 성동구 광나루로 8길 31, 406호 (성수동2가, 성수에스케이브이원센터2)</t>
    <phoneticPr fontId="18" type="noConversion"/>
  </si>
  <si>
    <t>김지남 차장님</t>
    <phoneticPr fontId="18" type="noConversion"/>
  </si>
  <si>
    <t>02-6226-9900</t>
    <phoneticPr fontId="18" type="noConversion"/>
  </si>
  <si>
    <t>superkimchi@iseho.co.kr</t>
    <phoneticPr fontId="18" type="noConversion"/>
  </si>
  <si>
    <t>세화고등학교</t>
  </si>
  <si>
    <t>서울특별시 서초구 신반포로 56-7</t>
  </si>
  <si>
    <t>세화여자고등학교</t>
  </si>
  <si>
    <t>세화여자중학교</t>
  </si>
  <si>
    <t>센텍</t>
    <phoneticPr fontId="18" type="noConversion"/>
  </si>
  <si>
    <t>충남 천안시 서북구 백석공단1로 10, B동 713호</t>
    <phoneticPr fontId="18" type="noConversion"/>
  </si>
  <si>
    <t>김명준 사원님</t>
    <phoneticPr fontId="18" type="noConversion"/>
  </si>
  <si>
    <t>041-522-5610</t>
    <phoneticPr fontId="18" type="noConversion"/>
  </si>
  <si>
    <t>sentec@sentec.co.kr</t>
    <phoneticPr fontId="18" type="noConversion"/>
  </si>
  <si>
    <t>소노파인더</t>
  </si>
  <si>
    <t>05836 서울시 송파구 법원로 11길 11, (문정동) 문정현대지식산업센터 1-1, A동 706호</t>
  </si>
  <si>
    <t>홍덕림 전무</t>
  </si>
  <si>
    <t>031-602-1772</t>
  </si>
  <si>
    <t>sonofinder@naver.com</t>
  </si>
  <si>
    <t>소룡초등학교</t>
  </si>
  <si>
    <t>전라북도 군산시 설림길 55</t>
  </si>
  <si>
    <t>소성중학교</t>
  </si>
  <si>
    <t>전라북도 정읍시 소성면 소성상평로 34</t>
  </si>
  <si>
    <t>소성초등학교</t>
  </si>
  <si>
    <t>전라북도 정읍시 소성면 보화1길 130</t>
  </si>
  <si>
    <t>소양서초등학교</t>
  </si>
  <si>
    <t>전라북도 완주군 소양면 명덕로 38</t>
  </si>
  <si>
    <t>소양중학교</t>
  </si>
  <si>
    <t>전라북도 완주군 소양면 소양로 223</t>
  </si>
  <si>
    <t>소양초등학교</t>
  </si>
  <si>
    <t>전라북도 완주군 소양면 소양로 239</t>
  </si>
  <si>
    <t>소의초등학교</t>
  </si>
  <si>
    <t>서울특별시 마포구 마포대로24길 42</t>
  </si>
  <si>
    <t>02-362-6571</t>
  </si>
  <si>
    <t>솔루닉스코리아</t>
    <phoneticPr fontId="18" type="noConversion"/>
  </si>
  <si>
    <t>대전광역시 대덕구 대화동 289-1, 산업용재유통상가 15동 310-2호</t>
    <phoneticPr fontId="18" type="noConversion"/>
  </si>
  <si>
    <t>손호일 대표이사님</t>
    <phoneticPr fontId="18" type="noConversion"/>
  </si>
  <si>
    <t>017-407-6461</t>
    <phoneticPr fontId="18" type="noConversion"/>
  </si>
  <si>
    <t>hison@solunics.com</t>
    <phoneticPr fontId="18" type="noConversion"/>
  </si>
  <si>
    <t>송곡고등학교</t>
  </si>
  <si>
    <t>서울특별시 중랑구 양원역로 50</t>
  </si>
  <si>
    <t>송곡관광고등학교</t>
  </si>
  <si>
    <t>서울특별시 중랑구 양원역로 67</t>
  </si>
  <si>
    <t>송곡여자고등학교</t>
  </si>
  <si>
    <t>송곡여자중학교</t>
  </si>
  <si>
    <t>송광초등학교</t>
  </si>
  <si>
    <t>전라북도 완주군 소양면 송광새터길 16-3</t>
  </si>
  <si>
    <t>송동중학교</t>
  </si>
  <si>
    <t>전라북도 남원시 송동면 노송로 747</t>
  </si>
  <si>
    <t>송동초등학교</t>
  </si>
  <si>
    <t>전라북도 남원시 송동면 노송로 624-6</t>
  </si>
  <si>
    <t>송례중학교</t>
  </si>
  <si>
    <t>서울특별시 송파구 위례순환로 429</t>
  </si>
  <si>
    <t>송전초등학교</t>
    <phoneticPr fontId="22" type="noConversion"/>
  </si>
  <si>
    <t>서울시 송파구 석촌호수로 159번지</t>
    <phoneticPr fontId="22" type="noConversion"/>
  </si>
  <si>
    <t>진유경 선생님</t>
    <phoneticPr fontId="22" type="noConversion"/>
  </si>
  <si>
    <t>010-3738-4386</t>
    <phoneticPr fontId="22" type="noConversion"/>
  </si>
  <si>
    <t>보건실</t>
    <phoneticPr fontId="18" type="noConversion"/>
  </si>
  <si>
    <t>송정중학교</t>
  </si>
  <si>
    <t>서울특별시 강서구 남부순환로 121</t>
  </si>
  <si>
    <t>송파공업고등학교</t>
  </si>
  <si>
    <t>서울특별시 송파구 양산로 21</t>
  </si>
  <si>
    <t>송파중</t>
    <phoneticPr fontId="18" type="noConversion"/>
  </si>
  <si>
    <t>서울특별시 송파구 동남로 203 송파중학교</t>
    <phoneticPr fontId="18" type="noConversion"/>
  </si>
  <si>
    <t>김미연 선생님</t>
    <phoneticPr fontId="18" type="noConversion"/>
  </si>
  <si>
    <t>02-6411-7119</t>
    <phoneticPr fontId="18" type="noConversion"/>
  </si>
  <si>
    <t>kmypcs@sen.go.kr</t>
    <phoneticPr fontId="18" type="noConversion"/>
  </si>
  <si>
    <t>송파중학교</t>
  </si>
  <si>
    <t>서울특별시 송파구 동남로 203</t>
  </si>
  <si>
    <t>송풍초등학교</t>
  </si>
  <si>
    <t>전라북도 진안군 용담면 안용로 1005</t>
  </si>
  <si>
    <t>수곡초등학교</t>
  </si>
  <si>
    <t>전라북도 정읍시 칠보면 여옥길 11</t>
  </si>
  <si>
    <t>수남초등학교</t>
  </si>
  <si>
    <t>전라북도 장수군 장수읍 장수로 1898</t>
  </si>
  <si>
    <t>수도여자고등학교</t>
  </si>
  <si>
    <t>서울특별시 동작구 여의대방로10길 73</t>
  </si>
  <si>
    <t>수도전기공업고등학교</t>
  </si>
  <si>
    <t>서울특별시 강남구 개포로 410</t>
  </si>
  <si>
    <t>수락고등학교</t>
  </si>
  <si>
    <t>서울특별시 노원구 동일로245길 143</t>
  </si>
  <si>
    <t>수락중학교</t>
  </si>
  <si>
    <t>서울특별시 노원구 동일로 1729</t>
  </si>
  <si>
    <t>수명중학교</t>
  </si>
  <si>
    <t>서울특별시 강서구 수명로2길 16</t>
  </si>
  <si>
    <t>수서중학교</t>
  </si>
  <si>
    <t>서울특별시 강남구 광평로59길 57</t>
  </si>
  <si>
    <t>수송중학교</t>
  </si>
  <si>
    <t>서울특별시 강북구 한천로122길 21</t>
  </si>
  <si>
    <t>수원원일중학교</t>
    <phoneticPr fontId="18" type="noConversion"/>
  </si>
  <si>
    <t>경기 수원시 영통구 삼성로213번길 122</t>
    <phoneticPr fontId="18" type="noConversion"/>
  </si>
  <si>
    <t>031-218-0104</t>
    <phoneticPr fontId="18" type="noConversion"/>
  </si>
  <si>
    <t>수유중학교</t>
  </si>
  <si>
    <t>서울특별시 강북구 인수봉로37길 40</t>
  </si>
  <si>
    <t>수지중학교</t>
  </si>
  <si>
    <t>전라북도 남원시 수지면 고주로 531-9</t>
  </si>
  <si>
    <t>수지초등학교</t>
  </si>
  <si>
    <t>전라북도 남원시 수지면 내호곡3길 21</t>
  </si>
  <si>
    <t>숙명여자고등학교</t>
  </si>
  <si>
    <t>서울특별시 강남구 남부순환로 2807</t>
  </si>
  <si>
    <t>숙명여자중학교</t>
  </si>
  <si>
    <t>순창고등학교</t>
  </si>
  <si>
    <t>전라북도 순창군 순창읍 옥천로 67-14</t>
  </si>
  <si>
    <t>순창북중학교</t>
  </si>
  <si>
    <t>전라북도 순창군 순창읍 옥천로 67-13</t>
  </si>
  <si>
    <t>순창여자중학교</t>
  </si>
  <si>
    <t>전라북도 순창군 순창읍 장류로 295-11</t>
  </si>
  <si>
    <t>순창제일고등학교</t>
  </si>
  <si>
    <t>전라북도 순창군 순창읍 담순로 1411</t>
  </si>
  <si>
    <t>순창중앙초등학교</t>
  </si>
  <si>
    <t>전라북도 순창군 순창읍 장류로 385</t>
  </si>
  <si>
    <t>순창중학교</t>
  </si>
  <si>
    <t>전라북도 순창군 순창읍 담순로 1418</t>
  </si>
  <si>
    <t>순창초등학교</t>
  </si>
  <si>
    <t>전라북도 순창군 순창읍 순창7길 40</t>
  </si>
  <si>
    <t>술산초등학교</t>
  </si>
  <si>
    <t>전라북도 군산시 임피면 남산로 26-13</t>
  </si>
  <si>
    <t>숭곡중학교</t>
  </si>
  <si>
    <t>서울특별시 성북구 종암로 208</t>
  </si>
  <si>
    <t>숭덕초등학교</t>
    <phoneticPr fontId="22" type="noConversion"/>
  </si>
  <si>
    <t>서울특별시 성북구 정릉로 279</t>
    <phoneticPr fontId="22" type="noConversion"/>
  </si>
  <si>
    <t>인서연 선생님</t>
    <phoneticPr fontId="22" type="noConversion"/>
  </si>
  <si>
    <t>010-2176-1041</t>
    <phoneticPr fontId="22" type="noConversion"/>
  </si>
  <si>
    <t>숭문고등학교</t>
  </si>
  <si>
    <t>서울특별시 마포구 숭문길 99</t>
  </si>
  <si>
    <t>숭문중학교</t>
  </si>
  <si>
    <t>숭실고등학교</t>
  </si>
  <si>
    <t>서울특별시 은평구 은평터널로7길 6</t>
  </si>
  <si>
    <t>숭실중학교</t>
  </si>
  <si>
    <t>숭의여자고등학교</t>
  </si>
  <si>
    <t>서울특별시 동작구 여의대방로36길 79</t>
  </si>
  <si>
    <t>숭의여자중학교</t>
  </si>
  <si>
    <t>숭의초등학교</t>
  </si>
  <si>
    <t>서울특별시 중구 소파로2길 10</t>
  </si>
  <si>
    <t>숭인중학교</t>
  </si>
  <si>
    <t>서울특별시 동대문구 천호대로47길 34</t>
  </si>
  <si>
    <t>스마트시티코리아</t>
    <phoneticPr fontId="22" type="noConversion"/>
  </si>
  <si>
    <t>서울시 금천구 디지털로 9길 32, B동 2005호</t>
    <phoneticPr fontId="22" type="noConversion"/>
  </si>
  <si>
    <t>주남진 대표이사</t>
    <phoneticPr fontId="22" type="noConversion"/>
  </si>
  <si>
    <t>010-2234-8959</t>
    <phoneticPr fontId="22" type="noConversion"/>
  </si>
  <si>
    <t>james@smartcitykorea.com</t>
    <phoneticPr fontId="22" type="noConversion"/>
  </si>
  <si>
    <t>스마트테크</t>
  </si>
  <si>
    <t>스폴</t>
    <phoneticPr fontId="18" type="noConversion"/>
  </si>
  <si>
    <t>경기도 부천시 길주로276, 1004호</t>
    <phoneticPr fontId="18" type="noConversion"/>
  </si>
  <si>
    <t>김인철 이사님</t>
    <phoneticPr fontId="18" type="noConversion"/>
  </si>
  <si>
    <t>010-3451-1227</t>
    <phoneticPr fontId="18" type="noConversion"/>
  </si>
  <si>
    <t>kinesiokorea@hanmail.net</t>
    <phoneticPr fontId="18" type="noConversion"/>
  </si>
  <si>
    <t>시고정보통신</t>
  </si>
  <si>
    <t>서울 송파구 가락동 196-13번지 4층</t>
  </si>
  <si>
    <t>02-406-8844</t>
  </si>
  <si>
    <t>시산초등학교</t>
  </si>
  <si>
    <t>전라북도 순창군 쌍치면 시산길 45</t>
  </si>
  <si>
    <t>시큐리안</t>
  </si>
  <si>
    <t>인천시 서구 길주로 16 1동 2층 시큐리안</t>
  </si>
  <si>
    <t>방성일</t>
  </si>
  <si>
    <t>070-4138-1790</t>
  </si>
  <si>
    <t xml:space="preserve">픽업 </t>
  </si>
  <si>
    <t>픽업</t>
  </si>
  <si>
    <t>시흥중학교</t>
  </si>
  <si>
    <t>서울특별시 금천구 시흥대로38길 60</t>
  </si>
  <si>
    <t>식당</t>
    <phoneticPr fontId="18" type="noConversion"/>
  </si>
  <si>
    <t>신관중학교</t>
  </si>
  <si>
    <t>서울특별시 관악구 신림로48길 17-16</t>
  </si>
  <si>
    <t>신광여자고등학교</t>
  </si>
  <si>
    <t>서울특별시 용산구 청파로 263</t>
  </si>
  <si>
    <t>신광여자중학교</t>
  </si>
  <si>
    <t>신광초등학교</t>
  </si>
  <si>
    <t>신구중학교</t>
  </si>
  <si>
    <t>서울특별시 강남구 압구정로36길 17</t>
  </si>
  <si>
    <t>신길중학교</t>
  </si>
  <si>
    <t>서울특별시 영등포구 신길로28길 43 (신길동, 신길중학교)</t>
  </si>
  <si>
    <t>신길초등학교</t>
  </si>
  <si>
    <t xml:space="preserve">서울특별시 동작구 대방동 알마타길 16 </t>
  </si>
  <si>
    <t xml:space="preserve">이은경 선생님 </t>
  </si>
  <si>
    <t>010-5655-2132</t>
  </si>
  <si>
    <t>신남중학교</t>
  </si>
  <si>
    <t>서울특별시 양천구 중앙로29길 109</t>
  </si>
  <si>
    <t>신내요양병원</t>
  </si>
  <si>
    <t>서울시 중랑구 신내로 194</t>
  </si>
  <si>
    <t>김태우 팀장님</t>
  </si>
  <si>
    <t>010-9903-6903</t>
  </si>
  <si>
    <t>신덕초등학교</t>
  </si>
  <si>
    <t>전라북도 임실군 신덕면 수지로 56</t>
  </si>
  <si>
    <t>신도고등학교</t>
  </si>
  <si>
    <t>서울특별시 은평구 통일로 961</t>
  </si>
  <si>
    <t>신도림고등학교</t>
  </si>
  <si>
    <t>서울특별시 구로구 경인로67길 159</t>
  </si>
  <si>
    <t>신도림중학교</t>
  </si>
  <si>
    <t>서울특별시 구로구 경인로63길 74</t>
  </si>
  <si>
    <t>신도봉중학교</t>
  </si>
  <si>
    <t>서울특별시 도봉구 도봉로115길 16</t>
  </si>
  <si>
    <t>신도중학교</t>
  </si>
  <si>
    <t>서울특별시 은평구 진관1로 77-30</t>
  </si>
  <si>
    <t>신동중학교</t>
  </si>
  <si>
    <t>서울특별시 서초구 나루터로 27</t>
  </si>
  <si>
    <t>신림고등학교</t>
  </si>
  <si>
    <t>서울특별시 관악구 문성로 119</t>
  </si>
  <si>
    <t>신림중학교</t>
  </si>
  <si>
    <t>전라북도 고창군 신림면 대강길 19-2</t>
  </si>
  <si>
    <t>신림초등학교</t>
  </si>
  <si>
    <t>전라북도 고창군 신림면 동법지길 61</t>
  </si>
  <si>
    <t>신명중학교</t>
  </si>
  <si>
    <t>서울특별시 강동구 명일로24길 25</t>
  </si>
  <si>
    <t>신목고등학교</t>
  </si>
  <si>
    <t>서울특별시 양천구 안양천로 739</t>
  </si>
  <si>
    <t>신목중학교</t>
  </si>
  <si>
    <t>서울특별시 양천구 목동중앙로 88</t>
  </si>
  <si>
    <t>신반포중학교</t>
  </si>
  <si>
    <t>서울특별시 서초구 신반포로19길 26</t>
  </si>
  <si>
    <t>신방학중학교</t>
  </si>
  <si>
    <t>서울특별시 도봉구 시루봉로 156</t>
  </si>
  <si>
    <t>신봉중학교</t>
    <phoneticPr fontId="18" type="noConversion"/>
  </si>
  <si>
    <t>경기도 용인시 수지구 신봉3로 43</t>
    <phoneticPr fontId="18" type="noConversion"/>
  </si>
  <si>
    <t>031-8019-0100</t>
    <phoneticPr fontId="18" type="noConversion"/>
  </si>
  <si>
    <t>대유플러스 관할 학교</t>
    <phoneticPr fontId="18" type="noConversion"/>
  </si>
  <si>
    <t>신사중학교</t>
  </si>
  <si>
    <t>서울특별시 강남구 압구정로 123</t>
  </si>
  <si>
    <t>신상중학교</t>
  </si>
  <si>
    <t>서울특별시 노원구 동일로216길 42</t>
  </si>
  <si>
    <t>신서고등학교</t>
  </si>
  <si>
    <t>서울특별시 양천구 은행정로 42</t>
  </si>
  <si>
    <t>신서중학교</t>
  </si>
  <si>
    <t>서울특별시 양천구 중앙로 206</t>
  </si>
  <si>
    <t>신수중학교</t>
  </si>
  <si>
    <t>서울특별시 마포구 신수로 49</t>
  </si>
  <si>
    <t>신시도초등학교</t>
  </si>
  <si>
    <t>전라북도 군산시 옥도면 신시도2길 18-5</t>
  </si>
  <si>
    <t>신시도초등학교야미도분교장</t>
  </si>
  <si>
    <t>전라북도 군산시 옥도면 야미도3길 12</t>
  </si>
  <si>
    <t>신암중학교</t>
  </si>
  <si>
    <t>서울특별시 강동구 고덕로 65</t>
  </si>
  <si>
    <t>신양중학교</t>
  </si>
  <si>
    <t>서울특별시 광진구 자양강변길 73</t>
  </si>
  <si>
    <t>신양초등학교</t>
  </si>
  <si>
    <t>서울특별시 광진구 능동로 42</t>
  </si>
  <si>
    <t>전여진 선생님</t>
  </si>
  <si>
    <t>010-9510-9134</t>
  </si>
  <si>
    <t>콕스 A/S번호 스티커 부착</t>
  </si>
  <si>
    <t>신연중학교</t>
  </si>
  <si>
    <t>서울특별시 서대문구 모래내로 408</t>
  </si>
  <si>
    <t>신우테크</t>
    <phoneticPr fontId="18" type="noConversion"/>
  </si>
  <si>
    <t>인천광역시 부평구 서촌로 51 신우빌딩 (구 일신동 90-43번지)</t>
    <phoneticPr fontId="18" type="noConversion"/>
  </si>
  <si>
    <t>김령훈 부장님</t>
    <phoneticPr fontId="18" type="noConversion"/>
  </si>
  <si>
    <t>032-515-8190-1</t>
    <phoneticPr fontId="18" type="noConversion"/>
  </si>
  <si>
    <t xml:space="preserve">polostic@naver.com </t>
    <phoneticPr fontId="18" type="noConversion"/>
  </si>
  <si>
    <t>신원중학교</t>
  </si>
  <si>
    <t>서울특별시 양천구 가로공원로55길 19</t>
  </si>
  <si>
    <t>신월중학교</t>
  </si>
  <si>
    <t>서울특별시 양천구 남부순환로29길 25</t>
  </si>
  <si>
    <t>신일중학교</t>
  </si>
  <si>
    <t>서울특별시 강북구 솔매로49길 20</t>
  </si>
  <si>
    <t>신정여자중학교</t>
  </si>
  <si>
    <t>서울특별시 강서구 등촌로13아길 20</t>
  </si>
  <si>
    <t>신진과학기술고등학교</t>
  </si>
  <si>
    <t>서울특별시 은평구 은평로6길 16</t>
  </si>
  <si>
    <t>신창중학교</t>
  </si>
  <si>
    <t>서울특별시 노원구 월계로45길 92</t>
  </si>
  <si>
    <t>신탄중앙중학교</t>
  </si>
  <si>
    <t>대전광역시 대덕구 덕암로 233</t>
  </si>
  <si>
    <t>신탄진고등학교</t>
  </si>
  <si>
    <t>대전광역시 대덕구 신탄진북로 14</t>
  </si>
  <si>
    <t>신탄진용정초등학교</t>
  </si>
  <si>
    <t>대전광역시 대덕구 대청로 65</t>
  </si>
  <si>
    <t>신탄진중학교</t>
  </si>
  <si>
    <t>신탄진초등학교</t>
  </si>
  <si>
    <t>대전광역시 대덕구 석봉로3번길 50</t>
  </si>
  <si>
    <t>신태인고등학교</t>
  </si>
  <si>
    <t>전라북도 정읍시 신태인읍 서태길 108</t>
  </si>
  <si>
    <t>신태인중학교</t>
  </si>
  <si>
    <t>신태인초등학교</t>
  </si>
  <si>
    <t>전라북도 정읍시 신태인읍 신태인1길 54-3</t>
  </si>
  <si>
    <t>신평초등학교</t>
  </si>
  <si>
    <t>전라북도 임실군 신평면 가덕로 683</t>
  </si>
  <si>
    <t>신현고등학교</t>
  </si>
  <si>
    <t>서울특별시 중랑구 봉화산로 174</t>
  </si>
  <si>
    <t>신현중학교</t>
  </si>
  <si>
    <t>서울특별시 중랑구 봉화산로 162</t>
  </si>
  <si>
    <t>신화중학교</t>
  </si>
  <si>
    <t>서울특별시 양천구 남부순환로29길 35</t>
  </si>
  <si>
    <t>심원중학교</t>
  </si>
  <si>
    <t>전라북도 고창군 심원면 심원로 158-11</t>
  </si>
  <si>
    <t>심원초등학교</t>
  </si>
  <si>
    <t>전라북도 고창군 심원면 심원로 229</t>
  </si>
  <si>
    <t>심창초등학교</t>
  </si>
  <si>
    <t>전라북도 김제시 진봉면 지평선로 1295</t>
  </si>
  <si>
    <t>싸이클론</t>
    <phoneticPr fontId="22" type="noConversion"/>
  </si>
  <si>
    <t>광주광역시 북구 고운로 33-2</t>
    <phoneticPr fontId="22" type="noConversion"/>
  </si>
  <si>
    <t>신문성 님</t>
    <phoneticPr fontId="22" type="noConversion"/>
  </si>
  <si>
    <t>010-4631-7102</t>
    <phoneticPr fontId="22" type="noConversion"/>
  </si>
  <si>
    <t>쌍치중학교</t>
  </si>
  <si>
    <t>전라북도 순창군 쌍치면 쌍계로 30-5</t>
  </si>
  <si>
    <t>쌍치초등학교</t>
  </si>
  <si>
    <t>전라북도 순창군 쌍치면 반계길 40</t>
  </si>
  <si>
    <t>경기 군포시 고산로 148번길 17 (당정동 , 군포아이티밸리 B동 901호)</t>
    <phoneticPr fontId="18" type="noConversion"/>
  </si>
  <si>
    <t>씨지에스아이티</t>
    <phoneticPr fontId="22" type="noConversion"/>
  </si>
  <si>
    <t>서울특별시 금천구 가산디지털1로 1, 1208호 (가산동, 더루벤스밸리)</t>
    <phoneticPr fontId="22" type="noConversion"/>
  </si>
  <si>
    <t>함재성 차장님</t>
    <phoneticPr fontId="22" type="noConversion"/>
  </si>
  <si>
    <t>010-9737-5458</t>
    <phoneticPr fontId="22" type="noConversion"/>
  </si>
  <si>
    <t>jasonplaying@naver.com</t>
    <phoneticPr fontId="22" type="noConversion"/>
  </si>
  <si>
    <t>경남 양산시 산막공단남13길 117</t>
  </si>
  <si>
    <t>아산중학교</t>
  </si>
  <si>
    <t>전라북도 고창군 아산면 목동로 336</t>
  </si>
  <si>
    <t>아산초등학교</t>
  </si>
  <si>
    <t>전라북도 고창군 아산면 영모정길 45</t>
  </si>
  <si>
    <t>아영중학교</t>
  </si>
  <si>
    <t>전라북도 남원시 아영면 고인청계길 18</t>
  </si>
  <si>
    <t>아영초등학교</t>
  </si>
  <si>
    <t>전라북도 남원시 아영면 고인청계길 15</t>
  </si>
  <si>
    <t>아이뷰테크놀로지</t>
    <phoneticPr fontId="22" type="noConversion"/>
  </si>
  <si>
    <t>경기도 성남시 중원구 갈마치로 314 성남센트럴비즈타워1차 1125호</t>
    <phoneticPr fontId="22" type="noConversion"/>
  </si>
  <si>
    <t>김상준대표님</t>
    <phoneticPr fontId="22" type="noConversion"/>
  </si>
  <si>
    <t>010-4741-6698</t>
    <phoneticPr fontId="22" type="noConversion"/>
  </si>
  <si>
    <t>ssatellite@naver.com</t>
    <phoneticPr fontId="22" type="noConversion"/>
  </si>
  <si>
    <t>아이브스</t>
    <phoneticPr fontId="18" type="noConversion"/>
  </si>
  <si>
    <t>서울특별시 성동구 광나루로 6길 35 우림이비즈센터</t>
    <phoneticPr fontId="18" type="noConversion"/>
  </si>
  <si>
    <t>한민우 과장</t>
    <phoneticPr fontId="18" type="noConversion"/>
  </si>
  <si>
    <t>02-6920-7230</t>
    <phoneticPr fontId="18" type="noConversion"/>
  </si>
  <si>
    <t>mwhan@ivstech.co.kr</t>
    <phoneticPr fontId="18" type="noConversion"/>
  </si>
  <si>
    <t>서울시 금천구 디지털로 9길 41 삼성IT헤링턴타워 7018호</t>
    <phoneticPr fontId="18" type="noConversion"/>
  </si>
  <si>
    <t>김양주 사장님</t>
    <phoneticPr fontId="18" type="noConversion"/>
  </si>
  <si>
    <t>010-5287-9402</t>
    <phoneticPr fontId="18" type="noConversion"/>
  </si>
  <si>
    <t>yangju1000@naver.com</t>
    <phoneticPr fontId="18" type="noConversion"/>
  </si>
  <si>
    <t>픽업</t>
    <phoneticPr fontId="18" type="noConversion"/>
  </si>
  <si>
    <t>아이컴넷</t>
    <phoneticPr fontId="18" type="noConversion"/>
  </si>
  <si>
    <t>전라남도 광양시 오류로 45</t>
    <phoneticPr fontId="18" type="noConversion"/>
  </si>
  <si>
    <t>권영길</t>
    <phoneticPr fontId="18" type="noConversion"/>
  </si>
  <si>
    <t>061-790-5014, 010-9131-6614</t>
    <phoneticPr fontId="18" type="noConversion"/>
  </si>
  <si>
    <t>sj7623@hanmail.net</t>
  </si>
  <si>
    <t>아이티아이비전</t>
    <phoneticPr fontId="18" type="noConversion"/>
  </si>
  <si>
    <t>서울시 서초구 강남대로 37길 26 7층</t>
    <phoneticPr fontId="18" type="noConversion"/>
  </si>
  <si>
    <t>감동효 차장님</t>
    <phoneticPr fontId="18" type="noConversion"/>
  </si>
  <si>
    <t>02-586-727</t>
    <phoneticPr fontId="18" type="noConversion"/>
  </si>
  <si>
    <t>dhkang@iti-vision.com</t>
    <phoneticPr fontId="18" type="noConversion"/>
  </si>
  <si>
    <t>아이팁스</t>
    <phoneticPr fontId="18" type="noConversion"/>
  </si>
  <si>
    <t>경기도 고양시 덕양구 무원로 6, 203호 (행신동, 무원빌딩 2층)</t>
    <phoneticPr fontId="18" type="noConversion"/>
  </si>
  <si>
    <t>양용석 대표이사님</t>
    <phoneticPr fontId="18" type="noConversion"/>
  </si>
  <si>
    <t>031-971-1161</t>
    <phoneticPr fontId="18" type="noConversion"/>
  </si>
  <si>
    <t>itpjw5606@nate.com</t>
    <phoneticPr fontId="18" type="noConversion"/>
  </si>
  <si>
    <t>썬나인코리아 통해 판매</t>
    <phoneticPr fontId="22" type="noConversion"/>
  </si>
  <si>
    <t>아현중학교</t>
  </si>
  <si>
    <t>서울특별시 마포구 마포대로 247</t>
  </si>
  <si>
    <t>안성고등학교</t>
  </si>
  <si>
    <t>전라북도 무주군 안성면 구량천로 147</t>
  </si>
  <si>
    <t>안성중학교</t>
  </si>
  <si>
    <t>전라북도 무주군 안성면 구량천로 149</t>
  </si>
  <si>
    <t>안성초등학교</t>
  </si>
  <si>
    <t>전라북도 무주군 안성면 칠연로 58</t>
  </si>
  <si>
    <t>안천고등학교</t>
  </si>
  <si>
    <t>전라북도 진안군 안천면 진무로 3071-9</t>
  </si>
  <si>
    <t>안천중학교</t>
  </si>
  <si>
    <t>안천초등학교</t>
  </si>
  <si>
    <t>알체라</t>
    <phoneticPr fontId="18" type="noConversion"/>
  </si>
  <si>
    <t>경기도 성남시 분당구 판교역로 225-15 8층 (우암빌딩)</t>
    <phoneticPr fontId="18" type="noConversion"/>
  </si>
  <si>
    <t>송용일</t>
    <phoneticPr fontId="18" type="noConversion"/>
  </si>
  <si>
    <t>010-2415-2082</t>
    <phoneticPr fontId="18" type="noConversion"/>
  </si>
  <si>
    <t>yi.song@alcheranic.com</t>
    <phoneticPr fontId="18" type="noConversion"/>
  </si>
  <si>
    <t>알티넷</t>
    <phoneticPr fontId="18" type="noConversion"/>
  </si>
  <si>
    <t>서울특별시 강남구 테헤란로 8길 40 알티넷빌팅 6F (06240)</t>
    <phoneticPr fontId="18" type="noConversion"/>
  </si>
  <si>
    <t>이승준</t>
    <phoneticPr fontId="18" type="noConversion"/>
  </si>
  <si>
    <t>02-400-4133</t>
    <phoneticPr fontId="18" type="noConversion"/>
  </si>
  <si>
    <t>lsj@rtnet.com</t>
    <phoneticPr fontId="18" type="noConversion"/>
  </si>
  <si>
    <t>압구정고등학교</t>
  </si>
  <si>
    <t>서울특별시 강남구 압구정로39길 20</t>
  </si>
  <si>
    <t>압구정중학교</t>
  </si>
  <si>
    <t>서울특별시 강남구 압구정로 225</t>
  </si>
  <si>
    <t>액티브 테크놀로지</t>
  </si>
  <si>
    <t>서울시 강서구 허준로 217, 902호 (가양동, 가양테크노타운)</t>
  </si>
  <si>
    <t>백가현</t>
  </si>
  <si>
    <t>070-4821-2416</t>
  </si>
  <si>
    <t>dana.baek@acktiv.co.kr</t>
  </si>
  <si>
    <t>앤디커뮤니케이션</t>
    <phoneticPr fontId="18" type="noConversion"/>
  </si>
  <si>
    <t>서울 마포구 독막로 10 (합정동) 성지빌딩 612호</t>
    <phoneticPr fontId="18" type="noConversion"/>
  </si>
  <si>
    <t>김동민 부장님</t>
    <phoneticPr fontId="18" type="noConversion"/>
  </si>
  <si>
    <t>tailor@ndcomm.co.kr</t>
    <phoneticPr fontId="18" type="noConversion"/>
  </si>
  <si>
    <t>양강중학교</t>
  </si>
  <si>
    <t>서울특별시 양천구 중앙로 319</t>
  </si>
  <si>
    <t>양동중학교</t>
  </si>
  <si>
    <t>서울특별시 양천구 목동중앙북로 49</t>
  </si>
  <si>
    <t>양서중학교</t>
  </si>
  <si>
    <t>서울특별시 양천구 남부순환로 380</t>
  </si>
  <si>
    <t>양재고등학교</t>
  </si>
  <si>
    <t>서울특별시 서초구 남부순환로346길 9</t>
  </si>
  <si>
    <t>양정고등학교</t>
  </si>
  <si>
    <t>서울특별시 양천구 안양천로 1039</t>
  </si>
  <si>
    <t>양정중학교</t>
  </si>
  <si>
    <t>양진중학교</t>
  </si>
  <si>
    <t>서울특별시 광진구 워커힐로 32</t>
  </si>
  <si>
    <t>양천고등학교</t>
    <phoneticPr fontId="18" type="noConversion"/>
  </si>
  <si>
    <t xml:space="preserve">서울 양천구 신정로14길 13 </t>
    <phoneticPr fontId="18" type="noConversion"/>
  </si>
  <si>
    <t>김진현 선생님</t>
    <phoneticPr fontId="18" type="noConversion"/>
  </si>
  <si>
    <t>010-7355-1968</t>
    <phoneticPr fontId="18" type="noConversion"/>
  </si>
  <si>
    <t>tweety5754@sen.go.kr</t>
    <phoneticPr fontId="18" type="noConversion"/>
  </si>
  <si>
    <t>양천중학교</t>
  </si>
  <si>
    <t>서울특별시 양천구 지양로7길 32</t>
  </si>
  <si>
    <t>양현고등학교</t>
  </si>
  <si>
    <t>전라북도 전주시 덕진구 틀못2길 9</t>
  </si>
  <si>
    <t>양화중학교</t>
  </si>
  <si>
    <t>서울특별시 영등포구 당산로 56</t>
  </si>
  <si>
    <t>언남고등학교</t>
  </si>
  <si>
    <t>서울특별시 서초구 동산로13길 35</t>
  </si>
  <si>
    <t>언남중학교</t>
  </si>
  <si>
    <t>서울특별시 서초구 동산로 55</t>
  </si>
  <si>
    <t>언북중학교</t>
  </si>
  <si>
    <t>서울특별시 강남구 도산대로38길 27</t>
  </si>
  <si>
    <t>언주중학교</t>
  </si>
  <si>
    <t>서울특별시 강남구 선릉로116길 57</t>
  </si>
  <si>
    <t>에스엠솔루텍</t>
    <phoneticPr fontId="18" type="noConversion"/>
  </si>
  <si>
    <t>서울특별시 강북구 도봉로 328 가든타워빌딩 1802호</t>
    <phoneticPr fontId="18" type="noConversion"/>
  </si>
  <si>
    <t>02-998-2002</t>
    <phoneticPr fontId="18" type="noConversion"/>
  </si>
  <si>
    <t>smsolutech@naver.com</t>
    <phoneticPr fontId="18" type="noConversion"/>
  </si>
  <si>
    <t>서울특별시 중구 순화동 168</t>
    <phoneticPr fontId="18" type="noConversion"/>
  </si>
  <si>
    <t>에스티에스 주식회사</t>
    <phoneticPr fontId="18" type="noConversion"/>
  </si>
  <si>
    <t>경기도 용인시 기흥구 용구대로 2145번길 39</t>
    <phoneticPr fontId="18" type="noConversion"/>
  </si>
  <si>
    <t>이용대 과장님</t>
    <phoneticPr fontId="18" type="noConversion"/>
  </si>
  <si>
    <t>lyd@smt-sts.com</t>
    <phoneticPr fontId="18" type="noConversion"/>
  </si>
  <si>
    <t>인천광역시 연수구 송도과학로 16번길 13-30</t>
  </si>
  <si>
    <t>010-3292-4375</t>
  </si>
  <si>
    <t>에이브릿지</t>
    <phoneticPr fontId="18" type="noConversion"/>
  </si>
  <si>
    <t>김용주 부장님</t>
    <phoneticPr fontId="18" type="noConversion"/>
  </si>
  <si>
    <t>에이스테크놀러지</t>
    <phoneticPr fontId="18" type="noConversion"/>
  </si>
  <si>
    <t>경기도 군포시 금정동 689-33</t>
    <phoneticPr fontId="18" type="noConversion"/>
  </si>
  <si>
    <t>이승우 님</t>
    <phoneticPr fontId="18" type="noConversion"/>
  </si>
  <si>
    <t>에이스테크원</t>
  </si>
  <si>
    <t>상무 이사 이승우 님</t>
  </si>
  <si>
    <t>에이씨앤티시스템</t>
  </si>
  <si>
    <t>경기도 안양시 동안구 엘에스로91번길 16-11</t>
  </si>
  <si>
    <t>조형덕 팀장님</t>
  </si>
  <si>
    <t>010-8020-0116</t>
  </si>
  <si>
    <t>엑시아시스템</t>
    <phoneticPr fontId="22" type="noConversion"/>
  </si>
  <si>
    <t>신상일 팀장님</t>
    <phoneticPr fontId="22" type="noConversion"/>
  </si>
  <si>
    <t>010-3369-8623</t>
    <phoneticPr fontId="22" type="noConversion"/>
  </si>
  <si>
    <t>엘씨전자</t>
    <phoneticPr fontId="18" type="noConversion"/>
  </si>
  <si>
    <t xml:space="preserve">서울시 관악구 양산길 39 엘씨빌딩1층 </t>
    <phoneticPr fontId="18" type="noConversion"/>
  </si>
  <si>
    <t>허정</t>
    <phoneticPr fontId="18" type="noConversion"/>
  </si>
  <si>
    <t>010-5386-7104</t>
    <phoneticPr fontId="18" type="noConversion"/>
  </si>
  <si>
    <t xml:space="preserve">ice7100@hanmail.net </t>
    <phoneticPr fontId="18" type="noConversion"/>
  </si>
  <si>
    <t>여산고등학교</t>
  </si>
  <si>
    <t>전라북도 익산시 여산면 가람로 465</t>
  </si>
  <si>
    <t>여산중학교</t>
  </si>
  <si>
    <t>전라북도 익산시 여산면 가람로 459-10</t>
  </si>
  <si>
    <t>여산초등학교</t>
  </si>
  <si>
    <t>전라북도 익산시 여산면 동헌길 14</t>
  </si>
  <si>
    <t>여의도고등학교</t>
  </si>
  <si>
    <t>서울특별시 영등포구 국제금융로7길 37</t>
  </si>
  <si>
    <t>여의도여자고등학교</t>
  </si>
  <si>
    <t>서울특별시 영등포구 국제금융로7가길 13</t>
  </si>
  <si>
    <t>여의도중학교</t>
  </si>
  <si>
    <t>서울특별시 영등포구 국제금융로7길 46</t>
  </si>
  <si>
    <t>역삼중학교</t>
  </si>
  <si>
    <t>서울특별시 강남구 도곡로43길 10</t>
  </si>
  <si>
    <t>연북중학교</t>
  </si>
  <si>
    <t>서울특별시 서대문구 연희로36길 32</t>
  </si>
  <si>
    <t>연서중학교</t>
  </si>
  <si>
    <t>서울특별시 은평구 증산서길 125-6</t>
  </si>
  <si>
    <t>연신중학교</t>
  </si>
  <si>
    <t>서울특별시 은평구 연서로33길 16-32</t>
  </si>
  <si>
    <t>연천중학교</t>
  </si>
  <si>
    <t>서울특별시 은평구 연서로41길 30</t>
  </si>
  <si>
    <t>연희중학교</t>
  </si>
  <si>
    <t>서울특별시 서대문구 증가로 170</t>
  </si>
  <si>
    <t>염경중학교</t>
  </si>
  <si>
    <t>서울특별시 강서구 양천로69길 35</t>
  </si>
  <si>
    <t>염광고등학교</t>
  </si>
  <si>
    <t>서울특별시 노원구 월계로45가길 9</t>
  </si>
  <si>
    <t>염광여자메디텍고등학교</t>
  </si>
  <si>
    <t>염광중학교</t>
  </si>
  <si>
    <t>염창중학교</t>
  </si>
  <si>
    <t>서울특별시 강서구 양천로67가길 83</t>
  </si>
  <si>
    <t>영국전자</t>
    <phoneticPr fontId="18" type="noConversion"/>
  </si>
  <si>
    <t>이교은 님</t>
    <phoneticPr fontId="18" type="noConversion"/>
  </si>
  <si>
    <t>010-5104-2316</t>
    <phoneticPr fontId="18" type="noConversion"/>
  </si>
  <si>
    <t>tting87@youngkook.com</t>
    <phoneticPr fontId="18" type="noConversion"/>
  </si>
  <si>
    <t>영남중학교</t>
  </si>
  <si>
    <t>서울특별시 영등포구 대림로31나길 17</t>
  </si>
  <si>
    <t>영도중학교</t>
  </si>
  <si>
    <t>02-2643-0242</t>
  </si>
  <si>
    <t>영동고등학교</t>
  </si>
  <si>
    <t>서울특별시 강남구 선릉로 742</t>
  </si>
  <si>
    <t>영동일고등학교</t>
  </si>
  <si>
    <t>서울특별시 송파구 잠실동 석촌호수로 93</t>
  </si>
  <si>
    <t>이연태 선생님</t>
  </si>
  <si>
    <t>010-8272-1253</t>
  </si>
  <si>
    <t>영동중학교</t>
  </si>
  <si>
    <t>서울특별시 서초구 성촌길 14</t>
  </si>
  <si>
    <t>영등포고등학교</t>
  </si>
  <si>
    <t>서울특별시 동작구 등용로8길 5</t>
  </si>
  <si>
    <t>영등포공업고등학교</t>
  </si>
  <si>
    <t>서울특별시 강서구 허준로5길 15</t>
  </si>
  <si>
    <t>영등포여자고등학교</t>
  </si>
  <si>
    <t>서울특별시 영등포구 영등포로62길 13</t>
  </si>
  <si>
    <t>영등포중학교</t>
  </si>
  <si>
    <t>영락고등학교</t>
  </si>
  <si>
    <t>서울특별시 관악구 청룡16길 25</t>
  </si>
  <si>
    <t>영락의료과학고등학교</t>
  </si>
  <si>
    <t>영락중학교</t>
  </si>
  <si>
    <t>서울특별시 은평구 백련산로 134-6</t>
  </si>
  <si>
    <t>영란여자중학교</t>
  </si>
  <si>
    <t>서울특별시 중랑구 망우로73길 56</t>
  </si>
  <si>
    <t>영림중학교</t>
  </si>
  <si>
    <t>서울특별시 구로구 가마산로27길 17</t>
  </si>
  <si>
    <t>영만초등학교</t>
  </si>
  <si>
    <t>전라북도 익산시 오산면 선화로4길 42-9</t>
  </si>
  <si>
    <t>영산초등학교</t>
  </si>
  <si>
    <t>전라북도 정읍시 하북1길 217</t>
  </si>
  <si>
    <t>영상고등학교</t>
  </si>
  <si>
    <t>서울특별시 양천구 목동로 11길 46</t>
  </si>
  <si>
    <t>엄용현 선생님</t>
  </si>
  <si>
    <t>010-4559-2676</t>
  </si>
  <si>
    <t>영서중학교</t>
  </si>
  <si>
    <t>서울특별시 구로구 도림로20길 35</t>
  </si>
  <si>
    <t>영선고등학교</t>
  </si>
  <si>
    <t>전라북도 고창군 무장면 왕제산로 713</t>
  </si>
  <si>
    <t>영선중학교</t>
  </si>
  <si>
    <t>영신간호비즈니스고등학교</t>
  </si>
  <si>
    <t>서울특별시 노원구 중계로16나길 13</t>
  </si>
  <si>
    <t>영신고등학교</t>
  </si>
  <si>
    <t>서울특별시 영등포구 대방천로14길 18</t>
  </si>
  <si>
    <t>영신여자고등학교</t>
  </si>
  <si>
    <t>영업 곶감</t>
  </si>
  <si>
    <t>서울시 구로구 디지털로 242 810호</t>
  </si>
  <si>
    <t>하수민</t>
  </si>
  <si>
    <t>02-857-3888</t>
  </si>
  <si>
    <t>sue@coxcamera.com</t>
  </si>
  <si>
    <t>영업 대여용</t>
  </si>
  <si>
    <t>영업팀 촬영용</t>
  </si>
  <si>
    <t>영업팀 테스트용</t>
    <phoneticPr fontId="18" type="noConversion"/>
  </si>
  <si>
    <t>하수민</t>
    <phoneticPr fontId="18" type="noConversion"/>
  </si>
  <si>
    <t>02-857-3888</t>
    <phoneticPr fontId="18" type="noConversion"/>
  </si>
  <si>
    <t>sue@coxcamera.com</t>
    <phoneticPr fontId="18" type="noConversion"/>
  </si>
  <si>
    <t>영원중학교</t>
  </si>
  <si>
    <t>서울특별시 영등포구 영등포로62길 31</t>
  </si>
  <si>
    <t>영원초등학교</t>
  </si>
  <si>
    <t>전라북도 정읍시 영원면 영원로 1087</t>
  </si>
  <si>
    <t>영일고등학교</t>
  </si>
  <si>
    <t>서울특별시 강서구 등촌로51가길 26</t>
  </si>
  <si>
    <t>영전</t>
  </si>
  <si>
    <t>경기도 화성시 석우동 12-8 1층 사무실</t>
  </si>
  <si>
    <t>김현모님</t>
  </si>
  <si>
    <t>010-6411-6578</t>
  </si>
  <si>
    <t>영전초등학교</t>
  </si>
  <si>
    <t>전라북도 부안군 보안면 부안로 1158</t>
  </si>
  <si>
    <t>영진전기통신</t>
    <phoneticPr fontId="18" type="noConversion"/>
  </si>
  <si>
    <t>충북 청주시 서원구 남이면 양촌3길 60, 102호</t>
  </si>
  <si>
    <t>010-8836-2698</t>
  </si>
  <si>
    <t>cdottle7@yj-network.com</t>
    <phoneticPr fontId="18" type="noConversion"/>
  </si>
  <si>
    <t>영파여자고등학교</t>
  </si>
  <si>
    <t>서울특별시 송파구 올림픽로 565</t>
  </si>
  <si>
    <t>영파여자중학교</t>
  </si>
  <si>
    <t>영훈고등학교</t>
  </si>
  <si>
    <t>서울특별시 강북구 도봉로13가길 19</t>
  </si>
  <si>
    <t>영훈국제중학교</t>
  </si>
  <si>
    <t>영훈초등학교</t>
  </si>
  <si>
    <t>예림디자인고등학교</t>
  </si>
  <si>
    <t>서울특별시 구로구 오리로21길 2</t>
  </si>
  <si>
    <t>예일디자인고등학교</t>
  </si>
  <si>
    <t>서울특별시 은평구 연서로 117</t>
  </si>
  <si>
    <t>예일여자고등학교</t>
  </si>
  <si>
    <t>예일여자중학교</t>
  </si>
  <si>
    <t>예일초등학교</t>
  </si>
  <si>
    <t>안연지 선생님</t>
    <phoneticPr fontId="22" type="noConversion"/>
  </si>
  <si>
    <t>오금고등학교</t>
  </si>
  <si>
    <t>서울특별시 송파구 중대로 247</t>
  </si>
  <si>
    <t>오금중학교</t>
  </si>
  <si>
    <t>서울특별시 송파구 오금로35길 20</t>
  </si>
  <si>
    <t>오남중학교</t>
  </si>
  <si>
    <t>서울특별시 구로구 오리로9길 25</t>
  </si>
  <si>
    <t>오동초등학교</t>
  </si>
  <si>
    <t>전라북도 남원시 이백면 이백로 147</t>
  </si>
  <si>
    <t>오류고등학교</t>
  </si>
  <si>
    <t>오류중학교</t>
  </si>
  <si>
    <t>서울특별시 구로구 고척로27바길 19</t>
  </si>
  <si>
    <t>오륜중학교</t>
  </si>
  <si>
    <t>서울특별시 송파구 양재대로 1242</t>
  </si>
  <si>
    <t>오봉초등학교</t>
  </si>
  <si>
    <t>전라북도 군산시 회현면 오봉길 55</t>
  </si>
  <si>
    <t>오산고등학교</t>
  </si>
  <si>
    <t>서울특별시 용산구 보광로7길 17</t>
  </si>
  <si>
    <t>오산남초등학교</t>
  </si>
  <si>
    <t>전라북도 익산시 오산면 남전1길 27</t>
  </si>
  <si>
    <t>오산중학교</t>
  </si>
  <si>
    <t>오산초등학교</t>
  </si>
  <si>
    <t>전라북도 익산시 오산면 오산로 38</t>
  </si>
  <si>
    <t>오수고등학교</t>
  </si>
  <si>
    <t>전라북도 임실군 오수면 충효로 2099-23</t>
  </si>
  <si>
    <t>오수중학교</t>
  </si>
  <si>
    <t>전라북도 임실군 오수면 충효로 2099-15</t>
  </si>
  <si>
    <t>오수초등학교</t>
  </si>
  <si>
    <t>전라북도 임실군 오수면 충효로 2059</t>
  </si>
  <si>
    <t>오정중학교</t>
  </si>
  <si>
    <t>대전광역시 대덕구 한남로150번길 135</t>
  </si>
  <si>
    <t>오주중학교</t>
  </si>
  <si>
    <t>서울특별시 송파구 동남로 281</t>
  </si>
  <si>
    <t>오천초등학교</t>
  </si>
  <si>
    <t>전라북도 진안군 진안읍 죽산로 5</t>
  </si>
  <si>
    <t>경상북도 포항시 북구 흥해읍 영일만산단로 118번길</t>
    <phoneticPr fontId="18" type="noConversion"/>
  </si>
  <si>
    <t>송철 대표님</t>
    <phoneticPr fontId="18" type="noConversion"/>
  </si>
  <si>
    <t>054-252-0313</t>
    <phoneticPr fontId="18" type="noConversion"/>
  </si>
  <si>
    <t>bill@autodata.co.kr</t>
    <phoneticPr fontId="18" type="noConversion"/>
  </si>
  <si>
    <t>세금계산서 담당자: 김재동 이사님 010-7277-8809</t>
    <phoneticPr fontId="18" type="noConversion"/>
  </si>
  <si>
    <t>옥구중학교</t>
  </si>
  <si>
    <t>전라북도 군산시 대야면 만자로 60</t>
  </si>
  <si>
    <t>옥구초등학교</t>
  </si>
  <si>
    <t>전라북도 군산시 옥구읍 옥구로 50</t>
  </si>
  <si>
    <t>옥봉초등학교</t>
  </si>
  <si>
    <t>전라북도 군산시 옥서면 옥봉초교길 29</t>
  </si>
  <si>
    <t>옥산초등학교</t>
  </si>
  <si>
    <t>전라북도 군산시 옥산면 여로2길 40</t>
  </si>
  <si>
    <t>옥정중학교</t>
  </si>
  <si>
    <t>서울특별시 성동구 한림말길 11</t>
  </si>
  <si>
    <t>옥천초등학교</t>
  </si>
  <si>
    <t>전라북도 순창군 순창읍 순창6길 33</t>
  </si>
  <si>
    <t>온곡중학교</t>
  </si>
  <si>
    <t>서울특별시 노원구 노원로 492</t>
  </si>
  <si>
    <t>온라인판매용</t>
    <phoneticPr fontId="18" type="noConversion"/>
  </si>
  <si>
    <t>TBA</t>
    <phoneticPr fontId="18" type="noConversion"/>
  </si>
  <si>
    <t>옹동초등학교</t>
  </si>
  <si>
    <t>전라북도 정읍시 옹동면 칠석1길 29-7</t>
  </si>
  <si>
    <t>와동초등학교</t>
  </si>
  <si>
    <t>대전광역시 대덕구 신탄진로 189</t>
  </si>
  <si>
    <t>완산고등학교</t>
  </si>
  <si>
    <t>전라북도 전주시 완산구 능안자구길 55</t>
  </si>
  <si>
    <t>완산여자고등학교</t>
  </si>
  <si>
    <t>전라북도 전주시 완산구 덕적골1길 60</t>
  </si>
  <si>
    <t>완산중학교</t>
  </si>
  <si>
    <t>완주고등학교</t>
  </si>
  <si>
    <t>전라북도 완주군 봉동읍 봉동로 172</t>
  </si>
  <si>
    <t>완주중학교</t>
  </si>
  <si>
    <t>전라북도 완주군 봉동읍 봉동동서로 60-6</t>
  </si>
  <si>
    <t>왕궁남초등학교</t>
  </si>
  <si>
    <t>전라북도 익산시 왕궁면 학호길 12</t>
  </si>
  <si>
    <t>왕궁중학교</t>
  </si>
  <si>
    <t>전라북도 익산시 왕궁면 왕궁로 556</t>
  </si>
  <si>
    <t>왕궁초등학교</t>
  </si>
  <si>
    <t>전라북도 익산시 왕궁면 견우길 3</t>
  </si>
  <si>
    <t>왕북초등학교</t>
  </si>
  <si>
    <t>전라북도 익산시 왕궁면 금광길 54-12</t>
  </si>
  <si>
    <t>왕신여자고등학교</t>
  </si>
  <si>
    <t>전라북도 정읍시 신태인읍 정신로 1094</t>
  </si>
  <si>
    <t>왕신여자중학교</t>
  </si>
  <si>
    <t>외궁초등학교</t>
  </si>
  <si>
    <t>전라북도 진안군 성수면 가외반로 498</t>
  </si>
  <si>
    <t>외삼초등학교</t>
  </si>
  <si>
    <t>대전광역시 유성구 반석동로 63</t>
  </si>
  <si>
    <t>용강중학교</t>
  </si>
  <si>
    <t>서울특별시 용산구 이촌로65가길 91</t>
  </si>
  <si>
    <t>용곡중학교</t>
  </si>
  <si>
    <t>서울특별시 광진구 용마산로22길 76</t>
  </si>
  <si>
    <t>용남초등학교</t>
  </si>
  <si>
    <t>전라북도 익산시 용안면 입산길 13</t>
  </si>
  <si>
    <t>용담중학교</t>
  </si>
  <si>
    <t>용동초등학교</t>
  </si>
  <si>
    <t>전라북도 김제시 용지면 용덕길 36</t>
  </si>
  <si>
    <t>용마중학교</t>
  </si>
  <si>
    <t>서울특별시 중랑구 면목로28길 18</t>
  </si>
  <si>
    <t>용문고등학교</t>
  </si>
  <si>
    <t>서울특별시 성북구 고려대로17가길 46</t>
  </si>
  <si>
    <t>용문중학교</t>
  </si>
  <si>
    <t>용봉초등학교</t>
  </si>
  <si>
    <t>전라북도 완주군 봉동읍 완주로 449</t>
  </si>
  <si>
    <t>용북중학교</t>
  </si>
  <si>
    <t>전라북도 남원시 사매면 용북길 89</t>
  </si>
  <si>
    <t>용북초등학교</t>
  </si>
  <si>
    <t>전라북도 익산시 용안면 용북로 81</t>
  </si>
  <si>
    <t>용산고등학교</t>
  </si>
  <si>
    <t>서울특별시 용산구 두텁바위로 60</t>
  </si>
  <si>
    <t>용산중학교</t>
  </si>
  <si>
    <t>서울특별시 용산구 두텁바위로 74</t>
  </si>
  <si>
    <t>용산초등학교</t>
  </si>
  <si>
    <t>전라북도 익산시 황등면 용산로 193</t>
  </si>
  <si>
    <t>용성초등학교</t>
  </si>
  <si>
    <t>전라북도 익산시 낭산면 하맹길 183</t>
  </si>
  <si>
    <t>용안중학교</t>
  </si>
  <si>
    <t>전라북도 익산시 용안면 현내1로 71-8</t>
  </si>
  <si>
    <t>용안초등학교</t>
  </si>
  <si>
    <t>전라북도 익산시 용안면 용안교동1길 6-1</t>
  </si>
  <si>
    <t>용지중학교</t>
  </si>
  <si>
    <t>전라북도 김제시 용지면 황토로 702</t>
  </si>
  <si>
    <t>용지초등학교</t>
  </si>
  <si>
    <t>전라북도 김제시 용지면 용지로 432</t>
  </si>
  <si>
    <t>용진중학교</t>
  </si>
  <si>
    <t>전라북도 완주군 용진읍 상운길 11</t>
  </si>
  <si>
    <t>용진초등학교</t>
  </si>
  <si>
    <t>전라북도 완주군 용진읍 상삼1길 52</t>
  </si>
  <si>
    <t>용화여자고등학교</t>
  </si>
  <si>
    <t>서울특별시 노원구 동일로 1461</t>
  </si>
  <si>
    <t>우덕초등학교</t>
  </si>
  <si>
    <t>전라북도 부안군 상서면 부안로 1971</t>
  </si>
  <si>
    <t>우면초등학교</t>
    <phoneticPr fontId="22" type="noConversion"/>
  </si>
  <si>
    <t>서울특별시 서초구 태봉로</t>
  </si>
  <si>
    <t>이나미 선생님</t>
    <phoneticPr fontId="22" type="noConversion"/>
  </si>
  <si>
    <t>010-6750-0870</t>
    <phoneticPr fontId="22" type="noConversion"/>
  </si>
  <si>
    <t>우석고등학교</t>
  </si>
  <si>
    <t>전라북도 전주시 덕진구 쪽구름2길 22</t>
  </si>
  <si>
    <t>우송고등학교</t>
  </si>
  <si>
    <t>대전광역시 동구 동대전로131번길 53</t>
  </si>
  <si>
    <t>우송중학교</t>
  </si>
  <si>
    <t>우신고등학교</t>
  </si>
  <si>
    <t>서울특별시 구로구 부일로 917</t>
  </si>
  <si>
    <t>우신중학교</t>
  </si>
  <si>
    <t>우촌초등학교</t>
  </si>
  <si>
    <t>서울특별시 성북구 성북로4길 52-1</t>
  </si>
  <si>
    <t>운봉중학교</t>
  </si>
  <si>
    <t>전라북도 남원시 운봉읍 바래봉길 73</t>
  </si>
  <si>
    <t>운봉초등학교</t>
  </si>
  <si>
    <t>전라북도 남원시 운봉읍 운봉로 725</t>
  </si>
  <si>
    <t>운암중학교</t>
  </si>
  <si>
    <t>전라북도 임실군 운암면 상운길 12</t>
  </si>
  <si>
    <t>운암초등학교</t>
  </si>
  <si>
    <t>운주중학교</t>
  </si>
  <si>
    <t>전라북도 완주군 운주면 운주로 64</t>
  </si>
  <si>
    <t>운주초등학교</t>
  </si>
  <si>
    <t>전라북도 완주군 운주면 운주로 107</t>
  </si>
  <si>
    <t>운현초등학교</t>
  </si>
  <si>
    <t>서울특별시 종로구 삼일대로 460</t>
  </si>
  <si>
    <t>웅포중학교</t>
  </si>
  <si>
    <t>전라북도 익산시 웅포면 덕성길 13</t>
  </si>
  <si>
    <t>웅포초등학교</t>
  </si>
  <si>
    <t>전라북도 익산시 웅포면 강변로 10-1</t>
  </si>
  <si>
    <t>원광고등학교</t>
  </si>
  <si>
    <t>전라북도 익산시 무왕로31길 139</t>
  </si>
  <si>
    <t>원광여자고등학교</t>
  </si>
  <si>
    <t>전라북도 익산시 선화로13길 72</t>
  </si>
  <si>
    <t>원광여자중학교</t>
  </si>
  <si>
    <t>원광정보예술고등학교</t>
  </si>
  <si>
    <t>원광중학교</t>
  </si>
  <si>
    <t>전라북도 익산시 무왕로31길 154</t>
  </si>
  <si>
    <t>원명초등학교 병설유치원</t>
    <phoneticPr fontId="22" type="noConversion"/>
  </si>
  <si>
    <t>서울특별시 서초구 고무래로 90-6</t>
    <phoneticPr fontId="22" type="noConversion"/>
  </si>
  <si>
    <t>문수정 선생님</t>
    <phoneticPr fontId="22" type="noConversion"/>
  </si>
  <si>
    <t>010-4105-0218</t>
    <phoneticPr fontId="22" type="noConversion"/>
  </si>
  <si>
    <t>원묵고등학교</t>
  </si>
  <si>
    <t>서울특별시 중랑구 숙선옹주로 82</t>
  </si>
  <si>
    <t>원묵중학교</t>
  </si>
  <si>
    <t>서울특별시 중랑구 신내로23길 57</t>
  </si>
  <si>
    <t>원우이엔지</t>
  </si>
  <si>
    <t>서울시 강서구 마곡중앙6로 81원우빌딩 우)07803</t>
    <phoneticPr fontId="18" type="noConversion"/>
  </si>
  <si>
    <t>02-3665-3200</t>
    <phoneticPr fontId="18" type="noConversion"/>
  </si>
  <si>
    <t>원천초등학교</t>
  </si>
  <si>
    <t>전라북도 남원시 주천면 외평2길 23</t>
  </si>
  <si>
    <t>원촌중학교</t>
  </si>
  <si>
    <t>서울특별시 서초구 사평대로45길 10</t>
  </si>
  <si>
    <t>원촌초등학교</t>
    <phoneticPr fontId="18" type="noConversion"/>
  </si>
  <si>
    <t>010-4000-8205</t>
    <phoneticPr fontId="18" type="noConversion"/>
  </si>
  <si>
    <t>원평초등학교</t>
  </si>
  <si>
    <t>전라북도 김제시 금산면 원평로 101</t>
  </si>
  <si>
    <t>월계고등학교</t>
  </si>
  <si>
    <t>서울특별시 노원구 초안산로5길 66</t>
  </si>
  <si>
    <t>월계중학교</t>
  </si>
  <si>
    <t>서울특별시 노원구 월계로45가길 54</t>
  </si>
  <si>
    <t>월곡중학교</t>
  </si>
  <si>
    <t>서울특별시 성북구 장월로 6</t>
  </si>
  <si>
    <t>월성초등학교</t>
  </si>
  <si>
    <t>전라북도 김제시 봉황로 1020</t>
  </si>
  <si>
    <t>월촌중학교</t>
  </si>
  <si>
    <t>서울특별시 양천구 목동서로 31</t>
  </si>
  <si>
    <t>월촌초등학교</t>
  </si>
  <si>
    <t>전라북도 김제시 입석7길 119</t>
  </si>
  <si>
    <t>위도고등학교</t>
  </si>
  <si>
    <t>전라북도 부안군 위도면 위도로 245</t>
  </si>
  <si>
    <t>위도중학교</t>
  </si>
  <si>
    <t>위도초등학교</t>
  </si>
  <si>
    <t>전라북도 부안군 위도면 진리잔등로 113-3</t>
  </si>
  <si>
    <t>유등초등학교</t>
  </si>
  <si>
    <t>전라북도 순창군 유등면 유등로 413</t>
  </si>
  <si>
    <t>유빈스</t>
    <phoneticPr fontId="18" type="noConversion"/>
  </si>
  <si>
    <t>경남 김해시 활천로 36번길 11-3 빅토리아 202호</t>
    <phoneticPr fontId="18" type="noConversion"/>
  </si>
  <si>
    <t>엄종현 님</t>
    <phoneticPr fontId="18" type="noConversion"/>
  </si>
  <si>
    <t>010-3198-3298</t>
    <phoneticPr fontId="18" type="noConversion"/>
  </si>
  <si>
    <t>yong6699@ubins.co.kr</t>
    <phoneticPr fontId="18" type="noConversion"/>
  </si>
  <si>
    <t>유석초등학교</t>
  </si>
  <si>
    <t>서울특별시 강서구 화곡로69길 9</t>
  </si>
  <si>
    <t>유성고등학교</t>
  </si>
  <si>
    <t>대전광역시 유성구 유성대로654번길 130</t>
  </si>
  <si>
    <t>유성생명과학고등학교</t>
  </si>
  <si>
    <t>대전광역시 유성구 월드컵대로 270</t>
  </si>
  <si>
    <t>유성여자고등학교</t>
  </si>
  <si>
    <t>대전광역시 유성구 은구비로138번길 70</t>
  </si>
  <si>
    <t>유성중학교</t>
  </si>
  <si>
    <t>대전광역시 유성구 상대로 33</t>
  </si>
  <si>
    <t>유성초등학교</t>
  </si>
  <si>
    <t>대전광역시 유성구 장대로71번길 12</t>
  </si>
  <si>
    <t>유앤아이 관세사</t>
  </si>
  <si>
    <t>유일여자고등학교</t>
  </si>
  <si>
    <t>전라북도 전주시 덕진구 안덕원로 301</t>
  </si>
  <si>
    <t>유튜에스알</t>
    <phoneticPr fontId="22" type="noConversion"/>
  </si>
  <si>
    <t>경기도 고양시 일산동구 하늘마을로 158 C동 1103호 (대방트리플라온)</t>
    <phoneticPr fontId="22" type="noConversion"/>
  </si>
  <si>
    <t>김영관 연구원님</t>
    <phoneticPr fontId="22" type="noConversion"/>
  </si>
  <si>
    <t>010-5352-8573</t>
    <phoneticPr fontId="22" type="noConversion"/>
  </si>
  <si>
    <t>yg1019@u2sr.com</t>
    <phoneticPr fontId="22" type="noConversion"/>
  </si>
  <si>
    <t>유풍</t>
  </si>
  <si>
    <t>구로구 구로동로 174</t>
    <phoneticPr fontId="18" type="noConversion"/>
  </si>
  <si>
    <t>김승규 팀장님</t>
    <phoneticPr fontId="18" type="noConversion"/>
  </si>
  <si>
    <t>010-3734-5217</t>
    <phoneticPr fontId="18" type="noConversion"/>
  </si>
  <si>
    <t>skkim@yupoong.co.kr</t>
    <phoneticPr fontId="18" type="noConversion"/>
  </si>
  <si>
    <t>유한공업고등학교</t>
  </si>
  <si>
    <t>서울특별시 구로구 경인로 8</t>
  </si>
  <si>
    <t>윤중중학교</t>
  </si>
  <si>
    <t>서울특별시 영등포구 여의동로3길 3</t>
  </si>
  <si>
    <t>율량초등학교</t>
    <phoneticPr fontId="22" type="noConversion"/>
  </si>
  <si>
    <t>충청북도 청주시 청원구 율봉로212번길 14</t>
  </si>
  <si>
    <t>최현정선생님</t>
  </si>
  <si>
    <t>010-5150-2704</t>
  </si>
  <si>
    <t>es013111@korea.kr</t>
    <phoneticPr fontId="22" type="noConversion"/>
  </si>
  <si>
    <t>은광여자고등학교</t>
  </si>
  <si>
    <t>서울특별시 강남구 남부순환로359길 36</t>
  </si>
  <si>
    <t>은석초등학교</t>
  </si>
  <si>
    <t>서울특별시 동대문구 장안벚꽃로 205</t>
  </si>
  <si>
    <t>은성중학교</t>
  </si>
  <si>
    <t>은평고등학교</t>
  </si>
  <si>
    <t>은평대영학교</t>
  </si>
  <si>
    <t>서울특별시 은평구 구산동 갈현로 11길 30 은평대영학교 행정실</t>
  </si>
  <si>
    <t>김은일 선생님</t>
  </si>
  <si>
    <t>010-2225-0745</t>
  </si>
  <si>
    <t>은평메디텍고등학교</t>
  </si>
  <si>
    <t>서울특별시 은평구 진관2로 57-57</t>
  </si>
  <si>
    <t>은평중학교</t>
  </si>
  <si>
    <t>서울특별시 은평구 갈현로17나길 12-1</t>
  </si>
  <si>
    <t>은혜초등학교</t>
  </si>
  <si>
    <t>서울특별시 은평구 통일로78가길 20</t>
  </si>
  <si>
    <t>을지중학교</t>
  </si>
  <si>
    <t>서울특별시 노원구 덕릉로 580</t>
  </si>
  <si>
    <t>서울 구로구 디지털로 31길 61 드림마크원데이터센타 5층 이노뎁</t>
    <phoneticPr fontId="18" type="noConversion"/>
  </si>
  <si>
    <t>김성준 님</t>
    <phoneticPr fontId="18" type="noConversion"/>
  </si>
  <si>
    <t>010-9929-6492</t>
    <phoneticPr fontId="18" type="noConversion"/>
  </si>
  <si>
    <t>andrew@innodep.com</t>
    <phoneticPr fontId="18" type="noConversion"/>
  </si>
  <si>
    <t>추성운 이사님</t>
    <phoneticPr fontId="18" type="noConversion"/>
  </si>
  <si>
    <t>이리계문초등학교</t>
  </si>
  <si>
    <t>전라북도 익산시 계문길 79-8</t>
  </si>
  <si>
    <t>이리고등학교</t>
  </si>
  <si>
    <t>전라북도 익산시 익산대로36길 35</t>
  </si>
  <si>
    <t>이리고현초등학교</t>
  </si>
  <si>
    <t>전라북도 익산시 선화로23길 44</t>
  </si>
  <si>
    <t>이리공업고등학교</t>
  </si>
  <si>
    <t>전라북도 익산시 동서로14길 30-2</t>
  </si>
  <si>
    <t>이리남성여자고등학교</t>
  </si>
  <si>
    <t>이리남성여자중학교</t>
  </si>
  <si>
    <t>이리남중학교</t>
  </si>
  <si>
    <t>전라북도 익산시 배산로3길 55</t>
  </si>
  <si>
    <t>이리남창초등학교</t>
  </si>
  <si>
    <t>전라북도 익산시 인북로 171</t>
  </si>
  <si>
    <t>이리남초등학교</t>
  </si>
  <si>
    <t>전라북도 익산시 번영로 2040-9</t>
  </si>
  <si>
    <t>이리동남초등학교</t>
  </si>
  <si>
    <t>전라북도 익산시 동천로7길 18</t>
  </si>
  <si>
    <t>이리동북초등학교</t>
  </si>
  <si>
    <t>전라북도 익산시 고봉로 190-3</t>
  </si>
  <si>
    <t>이리동산초등학교</t>
  </si>
  <si>
    <t>전라북도 익산시 평동로23길 46</t>
  </si>
  <si>
    <t>이리동중학교</t>
  </si>
  <si>
    <t>전라북도 익산시 동천로7길 44</t>
  </si>
  <si>
    <t>이리동초등학교</t>
  </si>
  <si>
    <t>전라북도 익산시 동서로51길 57</t>
  </si>
  <si>
    <t>이리마한초등학교</t>
  </si>
  <si>
    <t>전라북도 익산시 무왕로17길 47</t>
  </si>
  <si>
    <t>이리모현초등학교</t>
  </si>
  <si>
    <t>전라북도 익산시 배산로14길 12-4</t>
  </si>
  <si>
    <t>이리백제초등학교</t>
  </si>
  <si>
    <t>전라북도 익산시 궁동로 29</t>
  </si>
  <si>
    <t>이리부송초등학교</t>
  </si>
  <si>
    <t>전북 익산시 부송로 2길 27</t>
  </si>
  <si>
    <t>063-830-8600</t>
  </si>
  <si>
    <t>이리부천초등학교</t>
  </si>
  <si>
    <t>전라북도 익산시 부송1로 32</t>
  </si>
  <si>
    <t>이리북일초등학교</t>
  </si>
  <si>
    <t>전라북도 익산시 동서로19길 100</t>
  </si>
  <si>
    <t>이리북중학교</t>
  </si>
  <si>
    <t>전라북도 익산시 익산대로 415-14</t>
  </si>
  <si>
    <t>이리북초등학교</t>
  </si>
  <si>
    <t>전라북도 익산시 인북로58길 11</t>
  </si>
  <si>
    <t>이리삼성초등학교</t>
  </si>
  <si>
    <t>전라북도 익산시 하나로15길 17-7</t>
  </si>
  <si>
    <t>이리서초등학교</t>
  </si>
  <si>
    <t>전라북도 익산시 익산대로 213</t>
  </si>
  <si>
    <t>이리석암초등학교</t>
  </si>
  <si>
    <t>전라북도 익산시 서동로46길 119</t>
  </si>
  <si>
    <t>이리송학초등학교</t>
  </si>
  <si>
    <t>전라북도 익산시 학곤로 57</t>
  </si>
  <si>
    <t>이리신동초등학교</t>
  </si>
  <si>
    <t>전라북도 익산시 무왕로 981</t>
  </si>
  <si>
    <t>이리신흥초등학교</t>
  </si>
  <si>
    <t>전라북도 익산시 하나로3길 10</t>
  </si>
  <si>
    <t>이리여자고등학교</t>
  </si>
  <si>
    <t>전라북도 익산시 익산대로24길 8-5</t>
  </si>
  <si>
    <t>이리영등중학교</t>
  </si>
  <si>
    <t>전라북도 익산시 하나로 490</t>
  </si>
  <si>
    <t>이리영등초등학교</t>
  </si>
  <si>
    <t>전라북도 익산시 동서로41길 37</t>
  </si>
  <si>
    <t>이리중앙초등학교</t>
  </si>
  <si>
    <t>전라북도 익산시 인북로 77</t>
  </si>
  <si>
    <t>이리중학교</t>
  </si>
  <si>
    <t>전라북도 익산시 학곤로 19</t>
  </si>
  <si>
    <t>이리초등학교</t>
  </si>
  <si>
    <t>전라북도 익산시 중앙로15길 20</t>
  </si>
  <si>
    <t>이리팔봉초등학교</t>
  </si>
  <si>
    <t>전라북도 익산시 무왕로31길 10</t>
  </si>
  <si>
    <t>이백초등학교</t>
  </si>
  <si>
    <t>전라북도 남원시 이백면 평촌길 30</t>
  </si>
  <si>
    <t>이서초등학교</t>
  </si>
  <si>
    <t>전라북도 완주군 이서면 이서로 76</t>
  </si>
  <si>
    <t>이성초등학교</t>
  </si>
  <si>
    <t>전라북도 완주군 이서면 대문안1길 23</t>
  </si>
  <si>
    <t>이수중학교</t>
  </si>
  <si>
    <t>서울특별시 서초구 방배중앙로3길 32</t>
  </si>
  <si>
    <t>경북 포항시 북구 흥해읍 영일만산단로 118번길 151</t>
  </si>
  <si>
    <t>조용훈 리더님</t>
  </si>
  <si>
    <t>010-2966-8912</t>
  </si>
  <si>
    <t>이에스테크이엔지</t>
    <phoneticPr fontId="18" type="noConversion"/>
  </si>
  <si>
    <t>박정배 이사님</t>
    <phoneticPr fontId="18" type="noConversion"/>
  </si>
  <si>
    <t>010-9016-3131</t>
    <phoneticPr fontId="18" type="noConversion"/>
  </si>
  <si>
    <t>scotty0515@gmail.com</t>
    <phoneticPr fontId="18" type="noConversion"/>
  </si>
  <si>
    <t>이일여자고등학교</t>
  </si>
  <si>
    <t>전라북도 익산시 평동로7길 30</t>
  </si>
  <si>
    <t>이일여자중학교</t>
  </si>
  <si>
    <t>이틱스</t>
    <phoneticPr fontId="18" type="noConversion"/>
  </si>
  <si>
    <t>김호경 담당자님</t>
    <phoneticPr fontId="18" type="noConversion"/>
  </si>
  <si>
    <t>010-4786-1068</t>
    <phoneticPr fontId="18" type="noConversion"/>
  </si>
  <si>
    <t>ajyjweb@naver.com</t>
    <phoneticPr fontId="18" type="noConversion"/>
  </si>
  <si>
    <t>이평중학교</t>
  </si>
  <si>
    <t>전라북도 정읍시 이평면 후송길 21</t>
  </si>
  <si>
    <t>이평초등학교</t>
  </si>
  <si>
    <t>전라북도 정읍시 이평면 말목장터길 5-29</t>
  </si>
  <si>
    <t>이화여자고등학교</t>
  </si>
  <si>
    <t>서울특별시 중구 정동길26</t>
  </si>
  <si>
    <t>이화여자대학교병설미디어고등학교</t>
  </si>
  <si>
    <t>이화여자대학교사범대학부속이화·금란중학교</t>
  </si>
  <si>
    <t>서울특별시 서대문구 성산로 520</t>
  </si>
  <si>
    <t>이화여자대학교사범대학부속이화금란고등학교</t>
  </si>
  <si>
    <t>서울특별시 서대문구 성산로 560</t>
  </si>
  <si>
    <t>이화여자대학교사범대학부속초등학교</t>
  </si>
  <si>
    <t>서울특별시 서대문구 성산로 512-39</t>
  </si>
  <si>
    <t>이화여자외국어고등학교</t>
  </si>
  <si>
    <t>서울특별시 중구 통일로4길 30</t>
  </si>
  <si>
    <t>익산가온초등학교</t>
  </si>
  <si>
    <t>전라북도 익산시 선화로1길 106</t>
  </si>
  <si>
    <t>익산고등학교</t>
  </si>
  <si>
    <t>전라북도 익산시 금마면 고도길 85</t>
  </si>
  <si>
    <t>익산궁동초등학교</t>
  </si>
  <si>
    <t>전라북도 익산시 무왕로 25길 26</t>
  </si>
  <si>
    <t>익산부송중학교</t>
  </si>
  <si>
    <t>전라북도 익산시 선화로69길 6</t>
  </si>
  <si>
    <t>익산부천중학교</t>
  </si>
  <si>
    <t>전라북도 익산시 동서로 524</t>
  </si>
  <si>
    <t>익산어양중학교</t>
  </si>
  <si>
    <t>전라북도 익산시 하나로12길 39</t>
  </si>
  <si>
    <t>익산어양초등학교</t>
  </si>
  <si>
    <t>전라북도 익산시 하나로10길 23</t>
  </si>
  <si>
    <t>익산옥야초등학교</t>
  </si>
  <si>
    <t>전라북도 익산시 옛둑2길 52</t>
  </si>
  <si>
    <t>익산중매서사업단</t>
    <phoneticPr fontId="18" type="noConversion"/>
  </si>
  <si>
    <t>jmssigang37@naver.com</t>
    <phoneticPr fontId="18" type="noConversion"/>
  </si>
  <si>
    <t>익산중학교</t>
  </si>
  <si>
    <t>익산지원중학교</t>
  </si>
  <si>
    <t>전라북도 익산시 고봉로 67</t>
  </si>
  <si>
    <t>익산초등학교</t>
  </si>
  <si>
    <t>전라북도 익산시 동서로61길 27-38</t>
  </si>
  <si>
    <t>익산한벌초등학교</t>
  </si>
  <si>
    <t>전라북도 익산시 부송1로 115</t>
  </si>
  <si>
    <t>익스시스템즈</t>
    <phoneticPr fontId="18" type="noConversion"/>
  </si>
  <si>
    <t>경기 성남시 중원구 사기막골로 124 SKⓝ테크노파크 메가동 1414호경기</t>
    <phoneticPr fontId="18" type="noConversion"/>
  </si>
  <si>
    <t>안형주 과장님</t>
    <phoneticPr fontId="18" type="noConversion"/>
  </si>
  <si>
    <t>031-766-3221</t>
    <phoneticPr fontId="18" type="noConversion"/>
  </si>
  <si>
    <t>hjan@exsystems.co.kr</t>
    <phoneticPr fontId="18" type="noConversion"/>
  </si>
  <si>
    <t>인계초등학교</t>
  </si>
  <si>
    <t>전라북도 순창군 인계면 인성로 162-7</t>
  </si>
  <si>
    <t>인더스비전</t>
    <phoneticPr fontId="18" type="noConversion"/>
  </si>
  <si>
    <t>경기도 부천시 송내대로 388 (부천테크노파크2단지) 203동 704호 (우: 14502)</t>
    <phoneticPr fontId="18" type="noConversion"/>
  </si>
  <si>
    <t>김상인 대표이사님</t>
    <phoneticPr fontId="18" type="noConversion"/>
  </si>
  <si>
    <t>032-724-9077</t>
    <phoneticPr fontId="18" type="noConversion"/>
  </si>
  <si>
    <t>steven@indusvision.co.kr</t>
    <phoneticPr fontId="18" type="noConversion"/>
  </si>
  <si>
    <t>인덕과학기술고등학교</t>
  </si>
  <si>
    <t>서울특별시 노원구 초안산로 12</t>
  </si>
  <si>
    <t>인상고등학교</t>
  </si>
  <si>
    <t>전라북도 정읍시 신태인읍 벽골제로 34</t>
  </si>
  <si>
    <t>인수중학교</t>
  </si>
  <si>
    <t>서울특별시 강북구 인수봉로75길 10</t>
  </si>
  <si>
    <t>인왕중학교</t>
  </si>
  <si>
    <t>서울특별시 서대문구 세검정로4길 69</t>
  </si>
  <si>
    <t>인월고등학교</t>
  </si>
  <si>
    <t>전라북도 남원시 인월면 인월장터로 48</t>
  </si>
  <si>
    <t>인월중학교</t>
  </si>
  <si>
    <t>인월초등학교</t>
  </si>
  <si>
    <t>전라북도 남원시 인월면 인월1길 55</t>
  </si>
  <si>
    <t>인창고등학교</t>
  </si>
  <si>
    <t>서울특별시 서대문구 경기대로 65</t>
  </si>
  <si>
    <t>인창중학교</t>
  </si>
  <si>
    <t>인천가족공원</t>
  </si>
  <si>
    <t>인천광역시 부평구 평온로 61 가족공원사업단</t>
  </si>
  <si>
    <t>강서구님</t>
  </si>
  <si>
    <t>032-456-2333</t>
  </si>
  <si>
    <t>powerksg@insiseol.or.kr</t>
  </si>
  <si>
    <t>직접 방문</t>
  </si>
  <si>
    <t>인헌고등학교</t>
  </si>
  <si>
    <t>서울특별시 관악구 인헌9길 74</t>
  </si>
  <si>
    <t>인헌중학교</t>
  </si>
  <si>
    <t>서울특별시 관악구 인헌9길 35</t>
  </si>
  <si>
    <t>일성여자중고등학교</t>
    <phoneticPr fontId="18" type="noConversion"/>
  </si>
  <si>
    <t>서울특별시 마포구 마포대로11다길 11-6 </t>
    <phoneticPr fontId="18" type="noConversion"/>
  </si>
  <si>
    <t>김상희 선생님</t>
    <phoneticPr fontId="18" type="noConversion"/>
  </si>
  <si>
    <t>010-2226-7763</t>
    <phoneticPr fontId="18" type="noConversion"/>
  </si>
  <si>
    <t>일신여자상업고등학교</t>
  </si>
  <si>
    <t>서울특별시 송파구 송파대로38길 8</t>
  </si>
  <si>
    <t>일신여자중학교</t>
  </si>
  <si>
    <t>임실고등학교</t>
  </si>
  <si>
    <t>전라북도 임실군 임실읍 봉황로 257</t>
  </si>
  <si>
    <t>임실기림초등학교</t>
  </si>
  <si>
    <t>전라북도 임실군 임실읍 봉황로 369</t>
  </si>
  <si>
    <t>임실동중학교</t>
  </si>
  <si>
    <t>전라북도 임실군 임실읍 봉황로 147</t>
  </si>
  <si>
    <t>임실초등학교</t>
  </si>
  <si>
    <t>전라북도 임실군 임실읍 봉황로 64-12</t>
  </si>
  <si>
    <t>임피중학교</t>
  </si>
  <si>
    <t>전라북도 군산시 서수면 항쟁로 138</t>
  </si>
  <si>
    <t>임피초등학교</t>
  </si>
  <si>
    <t>전라북도 군산시 임피면 동헌길 38</t>
  </si>
  <si>
    <t>입암중학교</t>
  </si>
  <si>
    <t>전라북도 정읍시 입암면 입고로 32-13</t>
  </si>
  <si>
    <t>입암초등학교</t>
  </si>
  <si>
    <t>전라북도 정읍시 입암면 입암중앙길 29</t>
  </si>
  <si>
    <t>자양고등학교</t>
    <phoneticPr fontId="22" type="noConversion"/>
  </si>
  <si>
    <t>서울특별시 광진구 뚝섬로37길 28</t>
    <phoneticPr fontId="22" type="noConversion"/>
  </si>
  <si>
    <t>박은영 선생님</t>
    <phoneticPr fontId="22" type="noConversion"/>
  </si>
  <si>
    <t>02-2049-4100</t>
    <phoneticPr fontId="22" type="noConversion"/>
  </si>
  <si>
    <t>jayang@sen.go.kr</t>
    <phoneticPr fontId="22" type="noConversion"/>
  </si>
  <si>
    <t>자운고등학교</t>
  </si>
  <si>
    <t>서울특별시 도봉구 노해로69길 150</t>
  </si>
  <si>
    <t>자유중학교</t>
  </si>
  <si>
    <t>전라북도 고창군 고창읍 보릿골로 176</t>
  </si>
  <si>
    <t>잠신고등학교</t>
    <phoneticPr fontId="22" type="noConversion"/>
  </si>
  <si>
    <t>서울특별시 송파구 잠실로 24</t>
  </si>
  <si>
    <t>010-3211-6268</t>
    <phoneticPr fontId="22" type="noConversion"/>
  </si>
  <si>
    <t>jamsin_hs@sen.go.kr</t>
    <phoneticPr fontId="22" type="noConversion"/>
  </si>
  <si>
    <t>잠신중학교</t>
    <phoneticPr fontId="22" type="noConversion"/>
  </si>
  <si>
    <t>서울 송파구 잠실로 12</t>
    <phoneticPr fontId="22" type="noConversion"/>
  </si>
  <si>
    <t>김혜민선생님</t>
    <phoneticPr fontId="22" type="noConversion"/>
  </si>
  <si>
    <t>010-2419-3329</t>
    <phoneticPr fontId="22" type="noConversion"/>
  </si>
  <si>
    <t>잠실고등학교</t>
  </si>
  <si>
    <t>서울특별시 송파구 올림픽로33길 71</t>
  </si>
  <si>
    <t>잠실여자고등학교</t>
  </si>
  <si>
    <t>잠실중학교</t>
  </si>
  <si>
    <t>서울특별시 송파구 올림픽로35길 130</t>
  </si>
  <si>
    <t>잠일고등학교</t>
  </si>
  <si>
    <t>서울특별시 송파구 백제고분로 21</t>
  </si>
  <si>
    <t>장계중학교</t>
  </si>
  <si>
    <t>전라북도 장수군 장계면 장무로 239-6</t>
  </si>
  <si>
    <t>장계초등학교</t>
  </si>
  <si>
    <t>전라북도 장수군 장계면 한들로 69</t>
  </si>
  <si>
    <t>장동초등학교</t>
  </si>
  <si>
    <t>대전광역시 대덕구 장동로 223-37</t>
  </si>
  <si>
    <t>장수고등학교</t>
  </si>
  <si>
    <t>전라북도 장수군 장수읍 장천로 254-16</t>
  </si>
  <si>
    <t>장수중학교</t>
  </si>
  <si>
    <t>전라북도 장수군 장수읍 호비로 68</t>
  </si>
  <si>
    <t>장수초등학교</t>
  </si>
  <si>
    <t>전라북도 장수군 장수읍 향교길 11-8</t>
  </si>
  <si>
    <t>장승중학교</t>
  </si>
  <si>
    <t>서울특별시 동작구 장승배기로10가길 25</t>
  </si>
  <si>
    <t>장승초등학교</t>
  </si>
  <si>
    <t>전라북도 진안군 부귀면 곰티로 1287</t>
  </si>
  <si>
    <t>장안중학교</t>
  </si>
  <si>
    <t>서울특별시 중랑구 동일로 780</t>
  </si>
  <si>
    <t>장원중학교</t>
  </si>
  <si>
    <t>서울특별시 중구 동호로15길 93-34</t>
  </si>
  <si>
    <t>장위중학교</t>
  </si>
  <si>
    <t>서울특별시 성북구 장위로4길 70</t>
  </si>
  <si>
    <t>장유고등학교</t>
    <phoneticPr fontId="18" type="noConversion"/>
  </si>
  <si>
    <t>경남 김해시 월산로 77</t>
    <phoneticPr fontId="18" type="noConversion"/>
  </si>
  <si>
    <t>김예림 보건선생님</t>
    <phoneticPr fontId="18" type="noConversion"/>
  </si>
  <si>
    <t>010-2753-9921</t>
    <phoneticPr fontId="18" type="noConversion"/>
  </si>
  <si>
    <t>장충고등학교</t>
  </si>
  <si>
    <t>서울특별시 중구 동호로15길 93</t>
  </si>
  <si>
    <t>장충중학교</t>
  </si>
  <si>
    <t>장평중학교</t>
  </si>
  <si>
    <t>서울특별시 동대문구 답십리로72길 158</t>
  </si>
  <si>
    <t>장훈고등학교</t>
  </si>
  <si>
    <t>서울특별시 영등포구 영등포로64길 26</t>
  </si>
  <si>
    <t>재현고등학교</t>
  </si>
  <si>
    <t>서울특별시 노원구 덕릉로82길 64</t>
  </si>
  <si>
    <t>재현중학교</t>
  </si>
  <si>
    <t>적상중학교</t>
  </si>
  <si>
    <t>전라북도 무주군 적상면 여용로 269</t>
  </si>
  <si>
    <t>적상초등학교</t>
  </si>
  <si>
    <t>전라북도 무주군 적상면 삼가로 16</t>
  </si>
  <si>
    <t>적성초등학교</t>
  </si>
  <si>
    <t>전라북도 순창군 적성면 적성로 149-7</t>
  </si>
  <si>
    <t>전농중학교</t>
  </si>
  <si>
    <t>서울특별시 동대문구 사가정로13길 71</t>
  </si>
  <si>
    <t>전동중학교</t>
  </si>
  <si>
    <t>서울특별시 동대문구 장안벚꽃로 291</t>
  </si>
  <si>
    <t>전라고등학교</t>
  </si>
  <si>
    <t>전라북도 전주시 덕진구 솔내7길 25</t>
  </si>
  <si>
    <t>전라중학교</t>
  </si>
  <si>
    <t>전라북도 전주시 덕진구 들사평1길 39</t>
  </si>
  <si>
    <t>전북과학고등학교</t>
  </si>
  <si>
    <t>전라북도 익산시 금마면 용순신기길 48-69</t>
  </si>
  <si>
    <t>전북기계공업고등학교</t>
  </si>
  <si>
    <t>전라북도 익산시 인북로32길 41</t>
  </si>
  <si>
    <t>전북남원초등학교</t>
    <phoneticPr fontId="18" type="noConversion"/>
  </si>
  <si>
    <t>전라북도 남원시 가방뜰길 18</t>
    <phoneticPr fontId="18" type="noConversion"/>
  </si>
  <si>
    <t>강주희 선생님</t>
    <phoneticPr fontId="18" type="noConversion"/>
  </si>
  <si>
    <t>063-630-8810</t>
    <phoneticPr fontId="18" type="noConversion"/>
  </si>
  <si>
    <t>전북대학교사범대학부설고등학교</t>
  </si>
  <si>
    <t>전라북도 전주시 덕진구 백제대로 567</t>
  </si>
  <si>
    <t>전북동화중학교</t>
  </si>
  <si>
    <t>전라북도 정읍시 태인면 정읍북로 1238</t>
  </si>
  <si>
    <t>전북양지초등학교</t>
    <phoneticPr fontId="18" type="noConversion"/>
  </si>
  <si>
    <t>전라북도 전주시 완산구 양지2길 11-26 (평화동2가)</t>
  </si>
  <si>
    <t>신 철 선생님</t>
    <phoneticPr fontId="18" type="noConversion"/>
  </si>
  <si>
    <t>010-3192-5878</t>
    <phoneticPr fontId="18" type="noConversion"/>
  </si>
  <si>
    <t>AS 멑티클래스 010-7723-7901</t>
    <phoneticPr fontId="18" type="noConversion"/>
  </si>
  <si>
    <t>전북여자고등학교</t>
  </si>
  <si>
    <t>전라북도 전주시 덕진구 여산로 232</t>
  </si>
  <si>
    <t>전북외국어고등학교</t>
  </si>
  <si>
    <t>전라북도 군산시 해망로 525</t>
  </si>
  <si>
    <t>전북유니텍고등학교</t>
  </si>
  <si>
    <t>전라북도 장수군 장계면 장계7길 3</t>
  </si>
  <si>
    <t>전북제일고등학교</t>
  </si>
  <si>
    <t>전북중학교</t>
  </si>
  <si>
    <t>전북체육고등학교</t>
  </si>
  <si>
    <t>전라북도 완주군 소양면 원암로 46</t>
  </si>
  <si>
    <t>전북체육중학교</t>
  </si>
  <si>
    <t>전북하이텍고등학교</t>
  </si>
  <si>
    <t>전라북도 완주군 삼례읍 삼례역로 41-1</t>
  </si>
  <si>
    <t>전일고등학교</t>
  </si>
  <si>
    <t>전라북도 전주시 완산구 우전로 249</t>
  </si>
  <si>
    <t>전일중학교</t>
  </si>
  <si>
    <t>서울특별시 동대문구 사가정로13길 67</t>
  </si>
  <si>
    <t>전주고등학교</t>
  </si>
  <si>
    <t>전라북도 전주시 완산구 권삼득로 2</t>
  </si>
  <si>
    <t>전주곤지중학교</t>
  </si>
  <si>
    <t>전라북도 전주시 완산구 매곡로 22</t>
  </si>
  <si>
    <t>전주공업고등학교</t>
  </si>
  <si>
    <t>전라북도 전주시 덕진구 여산로 101</t>
  </si>
  <si>
    <t>전주교육대학교군산부설초등학교</t>
  </si>
  <si>
    <t>전라북도 군산시 팔마로 185</t>
  </si>
  <si>
    <t>전주교육대학교전주부설초등학교</t>
  </si>
  <si>
    <t>전라북도 전주시 완산구 팔달로 74</t>
  </si>
  <si>
    <t>전주근영여자고등학교</t>
  </si>
  <si>
    <t>전라북도 전주시 완산구 영경1길 11</t>
  </si>
  <si>
    <t>전주근영중학교</t>
  </si>
  <si>
    <t>전주금암초등학교</t>
  </si>
  <si>
    <t>전라북도 전주시 덕진구 권삼득로 210</t>
  </si>
  <si>
    <t>전주금평초등학교</t>
  </si>
  <si>
    <t>전라북도 전주시 덕진구 명주3길 16</t>
  </si>
  <si>
    <t>전주기린중학교</t>
  </si>
  <si>
    <t>전라북도 전주시 덕진구 동부대로 739</t>
  </si>
  <si>
    <t>전주기린초등학교</t>
  </si>
  <si>
    <t>전라북도 전주시 덕진구 견훤로 260</t>
  </si>
  <si>
    <t>전주기전여자고등학교</t>
  </si>
  <si>
    <t>전라북도 전주시 완산구 유연로 133</t>
  </si>
  <si>
    <t>전주기전중학교</t>
  </si>
  <si>
    <t>전주남중학교</t>
  </si>
  <si>
    <t>전라북도 전주시 완산구 덕적골2길 30</t>
  </si>
  <si>
    <t>전주남초등학교</t>
    <phoneticPr fontId="18" type="noConversion"/>
  </si>
  <si>
    <t>전라북도 전주시 완산구 장승배기로 376 전주남초등학교</t>
    <phoneticPr fontId="18" type="noConversion"/>
  </si>
  <si>
    <t>홍현미 선생님</t>
    <phoneticPr fontId="18" type="noConversion"/>
  </si>
  <si>
    <t>010-4699-5121</t>
    <phoneticPr fontId="18" type="noConversion"/>
  </si>
  <si>
    <t>전주대성초등학교</t>
  </si>
  <si>
    <t>전라북도 전주시 완산구 고덕산1길 20</t>
  </si>
  <si>
    <t>전주대정초등학교</t>
  </si>
  <si>
    <t>전라북도 전주시 완산구 맏내로 57</t>
  </si>
  <si>
    <t>전주대학교사범대학부설고등학교</t>
  </si>
  <si>
    <t>전라북도 전주시 완산구 천잠로 313</t>
  </si>
  <si>
    <t>전주덕일중학교</t>
  </si>
  <si>
    <t>전라북도 전주시 덕진구 하가로 67</t>
  </si>
  <si>
    <t>전주덕일초등학교</t>
  </si>
  <si>
    <t>전라북도 전주시 덕진구 하가로 71</t>
  </si>
  <si>
    <t>전주덕진중학교</t>
  </si>
  <si>
    <t>전라북도 전주시 덕진구 기린대로 541-48</t>
  </si>
  <si>
    <t>전주덕진초등학교</t>
  </si>
  <si>
    <t>전라북도 전주시 덕진구 들사평로 61</t>
  </si>
  <si>
    <t>전주동북초등학교</t>
  </si>
  <si>
    <t>전라북도 전주시 덕진구 견훤왕궁로 227</t>
  </si>
  <si>
    <t>전주동신초등학교</t>
  </si>
  <si>
    <t>전라북도 전주시 덕진구 우아9길 1</t>
  </si>
  <si>
    <t>전주동중학교</t>
  </si>
  <si>
    <t>전라북도 전주시 덕진구 심방죽로 23</t>
  </si>
  <si>
    <t>전주동초등학교</t>
  </si>
  <si>
    <t>전라북도 전주시 완산구 물왕멀로 72</t>
  </si>
  <si>
    <t>전주만성초등학교</t>
  </si>
  <si>
    <t>전라북도 전주시 덕진구 중동로 32</t>
  </si>
  <si>
    <t>전주만수초등학교</t>
  </si>
  <si>
    <t>전라북도 전주시 덕진구 호성로 130</t>
  </si>
  <si>
    <t>전주문정초등학교</t>
  </si>
  <si>
    <t>전라북도 전주시 완산구 구이로 1979</t>
  </si>
  <si>
    <t>전주문학초등학교</t>
  </si>
  <si>
    <t>전라북도 전주시 완산구 문학로 30</t>
  </si>
  <si>
    <t>전주미산초등학교</t>
  </si>
  <si>
    <t>전라북도 전주시 덕진구 전미로 160</t>
  </si>
  <si>
    <t>전주반월초등학교</t>
  </si>
  <si>
    <t>전라북도 전주시 덕진구 혁신로 707</t>
  </si>
  <si>
    <t>김소희 선생님</t>
    <phoneticPr fontId="22" type="noConversion"/>
  </si>
  <si>
    <t>010-5516-9006</t>
    <phoneticPr fontId="22" type="noConversion"/>
  </si>
  <si>
    <t>glgl8285@naver.com</t>
    <phoneticPr fontId="22" type="noConversion"/>
  </si>
  <si>
    <t>전주북일초등학교</t>
  </si>
  <si>
    <t>전라북도 전주시 덕진구 견훤로 336</t>
  </si>
  <si>
    <t>전주북초등학교</t>
  </si>
  <si>
    <t>전라북도 전주시 덕진구 소리로 180</t>
  </si>
  <si>
    <t>전주삼천남초등학교</t>
  </si>
  <si>
    <t>전라북도 전주시 완산구 거마남로 65</t>
  </si>
  <si>
    <t>전주삼천초등학교</t>
  </si>
  <si>
    <t>전라북도 전주시 완산구 성지산로 38</t>
  </si>
  <si>
    <t>전주상업정보고등학교</t>
  </si>
  <si>
    <t>전라북도 전주시 완산구 따박골2길 21</t>
  </si>
  <si>
    <t>전주새연초등학교</t>
  </si>
  <si>
    <t>전라북도 전주시 완산구 봉곡로 60</t>
  </si>
  <si>
    <t>전주생명과학고등학교</t>
  </si>
  <si>
    <t>전라북도 전주시 덕진구 안덕원로 195</t>
  </si>
  <si>
    <t>전주서곡중학교</t>
  </si>
  <si>
    <t>전라북도 전주시 완산구 서곡6길 23</t>
  </si>
  <si>
    <t>전주서곡초등학교</t>
  </si>
  <si>
    <t>전라북도 전주시 완산구 서곡7길 30</t>
  </si>
  <si>
    <t>전주서문초등학교</t>
  </si>
  <si>
    <t>전라북도 전주시 완산구 서신천변11길 19</t>
  </si>
  <si>
    <t>전주서신중학교</t>
  </si>
  <si>
    <t>전라북도 전주시 완산구 안터2길 40</t>
  </si>
  <si>
    <t>전주서신초등학교</t>
  </si>
  <si>
    <t>전라북도 전주시 완산구 전룡로 119</t>
  </si>
  <si>
    <t>전주서원초등학교</t>
  </si>
  <si>
    <t>전라북도 전주시 완산구 오두정길 45</t>
  </si>
  <si>
    <t>전주서일초등학교</t>
  </si>
  <si>
    <t>전라북도 전주시 완산구 새터로 73</t>
  </si>
  <si>
    <t>전주서중학교</t>
  </si>
  <si>
    <t>전라북도 전주시 완산구 당산로 2</t>
  </si>
  <si>
    <t>전주서천초등학교</t>
  </si>
  <si>
    <t>전라북도 전주시 완산구 당산로 9</t>
  </si>
  <si>
    <t>전주성심여자고등학교</t>
  </si>
  <si>
    <t>전라북도 전주시 완산구 경기전길 130</t>
  </si>
  <si>
    <t>전주성심여자중학교</t>
  </si>
  <si>
    <t>전주솔내고등학교</t>
  </si>
  <si>
    <t>전라북도 전주시 덕진구 송천중앙로 170</t>
  </si>
  <si>
    <t>전주솔빛중학교</t>
  </si>
  <si>
    <t>전라북도 전주시 덕진구 솔내6길 33</t>
  </si>
  <si>
    <t>전주송북초등학교</t>
  </si>
  <si>
    <t>전라북도 전주시 덕진구 천마산로 16</t>
  </si>
  <si>
    <t>전주송원초등학교</t>
  </si>
  <si>
    <t>전라북도 전주시 덕진구 와룡로 25</t>
  </si>
  <si>
    <t>전주송천초등학교</t>
  </si>
  <si>
    <t>전라북도 전주시 덕진구 송천1길 10</t>
  </si>
  <si>
    <t>전주신동초등학교</t>
  </si>
  <si>
    <t>전라북도 전주시 덕진구 솔내로 211</t>
  </si>
  <si>
    <t>전주신성초등학교</t>
  </si>
  <si>
    <t>전라북도 전주시 완산구 평화8길 16-36</t>
  </si>
  <si>
    <t>전주신일중학교</t>
  </si>
  <si>
    <t>전라북도 전주시 완산구 견훤왕궁2길 8</t>
  </si>
  <si>
    <t>전주신흥고등학교</t>
  </si>
  <si>
    <t>전라북도 전주시 완산구 서원로 399</t>
  </si>
  <si>
    <t>전주신흥중학교</t>
  </si>
  <si>
    <t>전주아중중학교</t>
  </si>
  <si>
    <t>전라북도 전주시 덕진구 중상보로 16</t>
  </si>
  <si>
    <t>전주아중초등학교</t>
  </si>
  <si>
    <t>전라북도 전주시 덕진구 인교5길 23</t>
  </si>
  <si>
    <t>전주양지중학교</t>
  </si>
  <si>
    <t>전라북도 전주시 완산구 양지2길 11-16</t>
  </si>
  <si>
    <t>전주양지초등학교</t>
  </si>
  <si>
    <t>전라북도 전주시 완산구 양지2길 11-26</t>
  </si>
  <si>
    <t>전주양현중학교</t>
  </si>
  <si>
    <t>전라북도 전주시 덕진구 만성북4길 10</t>
  </si>
  <si>
    <t>전주양현초등학교</t>
  </si>
  <si>
    <t>전라북도 전주시 덕진구 만성서로 96</t>
  </si>
  <si>
    <t>전주여울초등학교</t>
  </si>
  <si>
    <t>전라북도 전주시 완산구 고사평8길 11</t>
  </si>
  <si>
    <t>전주여자고등학교</t>
  </si>
  <si>
    <t>전라북도 전주시 덕진구 모래내6길 14</t>
  </si>
  <si>
    <t>전주영생고등학교</t>
  </si>
  <si>
    <t>전라북도 전주시 완산구 천잠로 333</t>
  </si>
  <si>
    <t>전주예술고등학교</t>
  </si>
  <si>
    <t>전라북도 완주군 구이면 신전길 120</t>
  </si>
  <si>
    <t>전주예술중학교</t>
  </si>
  <si>
    <t>전주오송중학교</t>
  </si>
  <si>
    <t>전라북도 전주시 덕진구 천마산로 69</t>
  </si>
  <si>
    <t>전주오송초등학교</t>
    <phoneticPr fontId="18" type="noConversion"/>
  </si>
  <si>
    <t>전라북도 전주시 덕진구 천마산로 87</t>
    <phoneticPr fontId="18" type="noConversion"/>
  </si>
  <si>
    <t>010-8470-5938</t>
    <phoneticPr fontId="18" type="noConversion"/>
  </si>
  <si>
    <t>전주온고을중학교</t>
  </si>
  <si>
    <t>전라북도 전주시 덕진구 무삼지로 26</t>
  </si>
  <si>
    <t>전주온빛중학교</t>
  </si>
  <si>
    <t>전라북도 전주시 덕진구 틀못4길 10</t>
  </si>
  <si>
    <t>전주온빛초등학교</t>
  </si>
  <si>
    <t>전라북도 전주시 덕진구 틀못3길 7</t>
  </si>
  <si>
    <t>전주완산서초등학교</t>
  </si>
  <si>
    <t>전라북도 전주시 완산구 안행로 127</t>
  </si>
  <si>
    <t>전주완산초등학교</t>
  </si>
  <si>
    <t>전주용덕초등학교</t>
  </si>
  <si>
    <t>전라북도 전주시 덕진구 용덕길 30</t>
  </si>
  <si>
    <t>전주용소중학교</t>
  </si>
  <si>
    <t>전라북도 전주시 덕진구 송천로 112</t>
  </si>
  <si>
    <t>전주용소초등학교</t>
  </si>
  <si>
    <t>전라북도 전주시 덕진구 송천4길 38</t>
  </si>
  <si>
    <t>전주용와초등학교</t>
  </si>
  <si>
    <t>전라북도 전주시 완산구 장승배기로 14</t>
  </si>
  <si>
    <t>전주용흥중학교</t>
  </si>
  <si>
    <t>전라북도 전주시 완산구 장승배기로 12</t>
  </si>
  <si>
    <t>전주용흥초등학교</t>
  </si>
  <si>
    <t>전라북도 전주시 완산구 삼천천변1길 16</t>
  </si>
  <si>
    <t>전주우림중학교</t>
  </si>
  <si>
    <t>전라북도 전주시 완산구 우전로 119</t>
  </si>
  <si>
    <t>전주우림초등학교</t>
  </si>
  <si>
    <t>전라북도 전주시 완산구 소태정로 21</t>
  </si>
  <si>
    <t>전주우아중학교</t>
  </si>
  <si>
    <t>전라북도 전주시 덕진구 호성로 6</t>
  </si>
  <si>
    <t>전주우전중학교</t>
  </si>
  <si>
    <t>전라북도 전주시 완산구 쑥고개로 375-28</t>
  </si>
  <si>
    <t>전주우전초등학교</t>
  </si>
  <si>
    <t>전라북도 전주시 완산구 우전2길 11</t>
  </si>
  <si>
    <t>전주원동초등학교</t>
  </si>
  <si>
    <t>전라북도 전주시 덕진구 원동로 3</t>
  </si>
  <si>
    <t>전주인봉초등학교</t>
  </si>
  <si>
    <t>전라북도 전주시 덕진구 무삼지로 7</t>
  </si>
  <si>
    <t>전주인후초등학교</t>
  </si>
  <si>
    <t>전라북도 전주시 덕진구 무삼지로 67</t>
  </si>
  <si>
    <t>전주자연초등학교</t>
  </si>
  <si>
    <t>전라북도 전주시 덕진구 세병로 150</t>
  </si>
  <si>
    <t>전주장동초등학교</t>
  </si>
  <si>
    <t>전라북도 전주시 덕진구 원장동길 91-12</t>
  </si>
  <si>
    <t>전주전라초등학교</t>
  </si>
  <si>
    <t>전라북도 전주시 덕진구 심방죽로 24</t>
  </si>
  <si>
    <t>전주전일초등학교</t>
  </si>
  <si>
    <t>전라북도 전주시 덕진구 태진로 98</t>
  </si>
  <si>
    <t>전주제일고등학교</t>
  </si>
  <si>
    <t>전라북도 전주시 완산구 관선5길 15</t>
  </si>
  <si>
    <t>전주조촌초등학교</t>
  </si>
  <si>
    <t>전라북도 전주시 덕진구 쪽구름로 39</t>
  </si>
  <si>
    <t>전주중산초등학교</t>
  </si>
  <si>
    <t>전라북도 전주시 완산구 중산중앙로 9-10</t>
  </si>
  <si>
    <t>전주중앙여자고등학교</t>
  </si>
  <si>
    <t>전라북도 전주시 덕진구 석소로 25</t>
  </si>
  <si>
    <t>전주중앙중학교</t>
  </si>
  <si>
    <t>전라북도 전주시 덕진구 공북2길 20</t>
  </si>
  <si>
    <t>전주중앙초등학교</t>
  </si>
  <si>
    <t>전라북도 전주시 완산구 경기전길 99</t>
  </si>
  <si>
    <t>전주중인초등학교</t>
  </si>
  <si>
    <t>전라북도 전주시 완산구 중인1길 80</t>
  </si>
  <si>
    <t>전주중학교</t>
  </si>
  <si>
    <t>전라북도 전주시 덕진구 솔내5길 9</t>
  </si>
  <si>
    <t>전주지곡초등학교</t>
  </si>
  <si>
    <t>전라북도 전주시 완산구 평화로 85</t>
  </si>
  <si>
    <t>전주진북초등학교</t>
  </si>
  <si>
    <t>전라북도 전주시 덕진구 진북1길 11</t>
  </si>
  <si>
    <t>전주초등학교</t>
  </si>
  <si>
    <t>전라북도 전주시 완산구 대동로 33</t>
  </si>
  <si>
    <t>전주초포초등학교</t>
  </si>
  <si>
    <t>전라북도 전주시 덕진구 초포로 171</t>
  </si>
  <si>
    <t>전주팔복초등학교</t>
  </si>
  <si>
    <t>전라북도 전주시 덕진구 팔과정로 181</t>
  </si>
  <si>
    <t>전주평화중학교</t>
  </si>
  <si>
    <t>전라북도 전주시 완산구 평화로 74</t>
  </si>
  <si>
    <t>전주평화초등학교</t>
  </si>
  <si>
    <t>전라북도 전주시 완산구 꽃밭정로 65</t>
  </si>
  <si>
    <t>전주풍남중학교</t>
  </si>
  <si>
    <t>전라북도 전주시 완산구 거마평로 83</t>
  </si>
  <si>
    <t>전주풍남초등학교</t>
  </si>
  <si>
    <t>전라북도 전주시 완산구 견훤왕궁로 16</t>
  </si>
  <si>
    <t>전주하가초등학교</t>
  </si>
  <si>
    <t>전라북도 전주시 덕진구 경동로 11</t>
  </si>
  <si>
    <t>전주한들초등학교</t>
    <phoneticPr fontId="18" type="noConversion"/>
  </si>
  <si>
    <t>전라북도 전주시 완산구 화산천변8길 10</t>
    <phoneticPr fontId="18" type="noConversion"/>
  </si>
  <si>
    <t>010-3901-0992</t>
    <phoneticPr fontId="18" type="noConversion"/>
  </si>
  <si>
    <t>전주한일고등학교</t>
  </si>
  <si>
    <t>전라북도 전주시 완산구 백제대로 442</t>
  </si>
  <si>
    <t>전주해성고등학교</t>
  </si>
  <si>
    <t>전라북도 전주시 완산구 계룡산길 88</t>
  </si>
  <si>
    <t>전주해성중학교</t>
  </si>
  <si>
    <t>전주호성중학교</t>
  </si>
  <si>
    <t>전라북도 전주시 덕진구 배미실마을길 23</t>
  </si>
  <si>
    <t>전주홍산초등학교</t>
  </si>
  <si>
    <t>전라북도 전주시 완산구 마전들로 30</t>
  </si>
  <si>
    <t>전주화산초등학교</t>
  </si>
  <si>
    <t>전라북도 전주시 완산구 따박골7길 20</t>
  </si>
  <si>
    <t>전주화정중학교</t>
  </si>
  <si>
    <t>전라북도 전주시 덕진구 세병로 66</t>
  </si>
  <si>
    <t>전주화정초등학교</t>
  </si>
  <si>
    <t>전라북도 전주시 덕진구 세병로 55</t>
  </si>
  <si>
    <t>전주효림초등학교</t>
  </si>
  <si>
    <t>전라북도 전주시 완산구 강변로 128</t>
  </si>
  <si>
    <t>전주효문여자중학교</t>
  </si>
  <si>
    <t>전라북도 전주시 완산구 용리로 92</t>
  </si>
  <si>
    <t>전주효문초등학교</t>
  </si>
  <si>
    <t>전라북도 전주시 완산구 거마평로 105</t>
  </si>
  <si>
    <t>전주효자초등학교</t>
  </si>
  <si>
    <t>전라북도 전주시 완산구 송정로 47</t>
  </si>
  <si>
    <t>전주효정중학교</t>
  </si>
  <si>
    <t>전주효천초등학교</t>
  </si>
  <si>
    <t>전라북도 전주시 완산구 효천중앙로 31</t>
  </si>
  <si>
    <t>정남초등학교</t>
  </si>
  <si>
    <t>전라북도 정읍시 정우면 대산1길 90</t>
  </si>
  <si>
    <t>정문학교</t>
    <phoneticPr fontId="22" type="noConversion"/>
  </si>
  <si>
    <t>서울특별시 관악구 난향3길 31</t>
  </si>
  <si>
    <t>정산중학교</t>
  </si>
  <si>
    <t>전라북도 정읍시 산내면 능교신기길 12-20</t>
  </si>
  <si>
    <t>정신여자고등학교</t>
  </si>
  <si>
    <t>서울특별시 송파구 올림픽로4길 16</t>
  </si>
  <si>
    <t>정신여자중학교</t>
  </si>
  <si>
    <t>정우중학교</t>
  </si>
  <si>
    <t>전라북도 정읍시 정우면 양지1길 100-28</t>
  </si>
  <si>
    <t>정우초등학교</t>
  </si>
  <si>
    <t>전라북도 정읍시 정우면 금남길 28-24</t>
  </si>
  <si>
    <t>정원여자중학교</t>
  </si>
  <si>
    <t>서울특별시 서대문구 연희로37안길 51</t>
  </si>
  <si>
    <t>정읍고등학교</t>
  </si>
  <si>
    <t>전라북도 정읍시 정읍사로 594</t>
  </si>
  <si>
    <t>정읍남초등학교</t>
  </si>
  <si>
    <t>전라북도 정읍시 남산5길 25</t>
  </si>
  <si>
    <t>정읍동초등학교</t>
  </si>
  <si>
    <t>전라북도 정읍시 충정로 176</t>
  </si>
  <si>
    <t>정읍북초등학교</t>
  </si>
  <si>
    <t>전라북도 정읍시 명덕1길 41</t>
  </si>
  <si>
    <t>정읍서초등학교</t>
  </si>
  <si>
    <t>전라북도 정읍시 명륜길 32</t>
  </si>
  <si>
    <t>정읍수성초등학교</t>
  </si>
  <si>
    <t>전라북도 정읍시 수성3로 21</t>
  </si>
  <si>
    <t>정읍여자고등학교</t>
  </si>
  <si>
    <t>전라북도 정읍시 충정로 56-11</t>
  </si>
  <si>
    <t>정읍여자중학교</t>
  </si>
  <si>
    <t>전라북도 정읍시 초산로 110</t>
  </si>
  <si>
    <t>정읍제일고등학교</t>
  </si>
  <si>
    <t>전라북도 정읍시 충정로 252</t>
  </si>
  <si>
    <t>정읍중학교</t>
  </si>
  <si>
    <t>정읍초등학교</t>
  </si>
  <si>
    <t>전라북도 정읍시 마곡로 33</t>
  </si>
  <si>
    <t>윤정희 선생님</t>
    <phoneticPr fontId="22" type="noConversion"/>
  </si>
  <si>
    <t>010-8101-1995</t>
    <phoneticPr fontId="22" type="noConversion"/>
  </si>
  <si>
    <t>정의여자고등학교</t>
  </si>
  <si>
    <t>서울특별시 도봉구 노해로49길 69</t>
  </si>
  <si>
    <t>정의여자중학교</t>
  </si>
  <si>
    <t>정일여자중학교</t>
  </si>
  <si>
    <t>전라북도 정읍시 충정로 511</t>
  </si>
  <si>
    <t>정일초등학교</t>
  </si>
  <si>
    <t>전라북도 정읍시 정문들목길 26-19</t>
  </si>
  <si>
    <t>정주고등학교</t>
  </si>
  <si>
    <t>전라북도 정읍시 정주1길 42</t>
  </si>
  <si>
    <t>정화여자상업고등학교</t>
  </si>
  <si>
    <t>서울특별시 동대문구 홍릉로15길 50</t>
  </si>
  <si>
    <t>정화여자중학교</t>
  </si>
  <si>
    <t>정화통신</t>
    <phoneticPr fontId="18" type="noConversion"/>
  </si>
  <si>
    <t>강릉 18 전투비행단</t>
    <phoneticPr fontId="18" type="noConversion"/>
  </si>
  <si>
    <t>제네시스 디지털 코리아</t>
    <phoneticPr fontId="22" type="noConversion"/>
  </si>
  <si>
    <t>서울시 금천구 가산디지털1로 205 KCC 웰츠밸리 1207호</t>
    <phoneticPr fontId="22" type="noConversion"/>
  </si>
  <si>
    <t>이정민 대표님</t>
    <phoneticPr fontId="22" type="noConversion"/>
  </si>
  <si>
    <t>010-9856-9831</t>
    <phoneticPr fontId="22" type="noConversion"/>
  </si>
  <si>
    <t>paullee@genesisdigital.co.kr</t>
    <phoneticPr fontId="22" type="noConversion"/>
  </si>
  <si>
    <t>제주특별자치도교육청</t>
    <phoneticPr fontId="18" type="noConversion"/>
  </si>
  <si>
    <t>젤루텍</t>
    <phoneticPr fontId="22" type="noConversion"/>
  </si>
  <si>
    <t>서울특별시 영등포구 경인로 775, 1동 722호</t>
    <phoneticPr fontId="22" type="noConversion"/>
  </si>
  <si>
    <t>조림초등학교</t>
  </si>
  <si>
    <t>전라북도 진안군 정천면 봉학로 52</t>
  </si>
  <si>
    <t>조종고</t>
  </si>
  <si>
    <t>경기도 가평군 조종면 연등윗길 22</t>
  </si>
  <si>
    <t>김상희 선생님</t>
  </si>
  <si>
    <t>010-4841-4786</t>
  </si>
  <si>
    <t>종암중학교</t>
  </si>
  <si>
    <t>서울특별시 성북구 종암로5길 80-17</t>
  </si>
  <si>
    <t>종정초등학교</t>
  </si>
  <si>
    <t>전라북도 김제시 백산면 종정1길 143</t>
  </si>
  <si>
    <t>주산중학교</t>
  </si>
  <si>
    <t>전라북도 부안군 주산면 주산로 30</t>
  </si>
  <si>
    <t>주산초등학교</t>
  </si>
  <si>
    <t>전라북도 부안군 주산면 주산초교길 86-11</t>
  </si>
  <si>
    <t>주생초등학교</t>
  </si>
  <si>
    <t>전라북도 남원시 주생면 소지길 21-5</t>
  </si>
  <si>
    <t>주식회사 베로센</t>
    <phoneticPr fontId="18" type="noConversion"/>
  </si>
  <si>
    <t>경기도 광주시 두월길 119</t>
    <phoneticPr fontId="18" type="noConversion"/>
  </si>
  <si>
    <t>오유찬 님</t>
    <phoneticPr fontId="18" type="noConversion"/>
  </si>
  <si>
    <t>031-769-1779</t>
    <phoneticPr fontId="18" type="noConversion"/>
  </si>
  <si>
    <t>omy55555@naver.com</t>
    <phoneticPr fontId="18" type="noConversion"/>
  </si>
  <si>
    <t>경기도 성남시 분당구 구미동 158번지 하나 EZ타워 607호 주원</t>
    <phoneticPr fontId="18" type="noConversion"/>
  </si>
  <si>
    <t>주원정보통신</t>
    <phoneticPr fontId="22" type="noConversion"/>
  </si>
  <si>
    <t>서울특별시 송파구 거마로5길 4, 2층 3호</t>
    <phoneticPr fontId="22" type="noConversion"/>
  </si>
  <si>
    <t>김종석님</t>
    <phoneticPr fontId="22" type="noConversion"/>
  </si>
  <si>
    <t>010-6855-5915</t>
    <phoneticPr fontId="22" type="noConversion"/>
  </si>
  <si>
    <t>kimjoongsuk@naver.com</t>
    <phoneticPr fontId="22" type="noConversion"/>
  </si>
  <si>
    <t>주인도대사관</t>
  </si>
  <si>
    <t>주천중학교</t>
  </si>
  <si>
    <t>전라북도 진안군 주천면 동상주천로 2267</t>
  </si>
  <si>
    <t>주천초등학교</t>
  </si>
  <si>
    <t>전라북도 진안군 주천면 동상주천로 2225</t>
  </si>
  <si>
    <t>죽산초등학교</t>
  </si>
  <si>
    <t>전라북도 김제시 죽산면 죽산2길 13</t>
  </si>
  <si>
    <t>줄포자동차공업고등학교</t>
  </si>
  <si>
    <t>전라북도 부안군 줄포면 우포로 10</t>
  </si>
  <si>
    <t>줄포중학교</t>
  </si>
  <si>
    <t>전라북도 부안군 줄포면 부안로 938</t>
  </si>
  <si>
    <t>줄포초등학교</t>
  </si>
  <si>
    <t>전라북도 부안군 줄포면 줄포초교길 16</t>
  </si>
  <si>
    <t>중경고등학교</t>
    <phoneticPr fontId="18" type="noConversion"/>
  </si>
  <si>
    <t>서울시 용산구 이촌로 84길 34</t>
    <phoneticPr fontId="18" type="noConversion"/>
  </si>
  <si>
    <t>진승광 선생님</t>
    <phoneticPr fontId="18" type="noConversion"/>
  </si>
  <si>
    <t>010-2051-1724</t>
    <phoneticPr fontId="18" type="noConversion"/>
  </si>
  <si>
    <t>중계중학교</t>
  </si>
  <si>
    <t>서울특별시 노원구 덕릉로76길 23</t>
  </si>
  <si>
    <t>중동고등학교</t>
  </si>
  <si>
    <t>서울특별시 강남구 일원로 7</t>
  </si>
  <si>
    <t>중동중학교</t>
  </si>
  <si>
    <t>서울특별시 강남구 일원로8길 37</t>
  </si>
  <si>
    <t>중랑중학교</t>
  </si>
  <si>
    <t>서울특별시 중랑구 동일로140길 33</t>
  </si>
  <si>
    <t>중리중학교</t>
  </si>
  <si>
    <t>대전광역시 대덕구 중리동로 85</t>
  </si>
  <si>
    <t>중산고등학교</t>
  </si>
  <si>
    <t>서울특별시 강남구 일원로14길 22</t>
  </si>
  <si>
    <t>중암중학교</t>
  </si>
  <si>
    <t>서울특별시 마포구 월드컵북로38길 25</t>
  </si>
  <si>
    <t>중앙고등학교</t>
  </si>
  <si>
    <t>서울특별시 종로구 창덕궁길 164</t>
  </si>
  <si>
    <t>중앙대학교사범대학부속고등학교</t>
  </si>
  <si>
    <t>서울특별시 강남구 선릉로 207</t>
  </si>
  <si>
    <t>중앙대학교사범대학부속중학교</t>
  </si>
  <si>
    <t>서울특별시 동작구 서달로 124</t>
  </si>
  <si>
    <t>중앙대학교사범대학부속초등학교</t>
  </si>
  <si>
    <t>서울특별시 동작구 서달로 135</t>
  </si>
  <si>
    <t>중앙여자고등학교</t>
  </si>
  <si>
    <t>서울특별시 서대문구 북아현로11가길 7</t>
  </si>
  <si>
    <t>중앙여자중학교</t>
  </si>
  <si>
    <t>중앙중학교</t>
  </si>
  <si>
    <t>중원중학교</t>
  </si>
  <si>
    <t>서울특별시 노원구 공릉로 420</t>
  </si>
  <si>
    <t>중일고등학교</t>
  </si>
  <si>
    <t>대전광역시 유성구 배울2로 68</t>
  </si>
  <si>
    <t>중평중학교</t>
  </si>
  <si>
    <t>서울특별시 노원구 동일로203길 87</t>
  </si>
  <si>
    <t>중화고등학교</t>
  </si>
  <si>
    <t>서울특별시 중랑구 봉화산로27길 62</t>
  </si>
  <si>
    <t>중화중학교</t>
  </si>
  <si>
    <t>서울특별시 중랑구 용마산로 364</t>
  </si>
  <si>
    <t>증산중학교</t>
  </si>
  <si>
    <t>서울특별시 은평구 증산로5길 27-30</t>
  </si>
  <si>
    <t>지구정보기술</t>
  </si>
  <si>
    <t>경기도 부천시 송내대로265번길 23</t>
  </si>
  <si>
    <t>지사운드</t>
  </si>
  <si>
    <t>전라북도 정읍시 수성동 659-10 지사운드</t>
  </si>
  <si>
    <t>김태준</t>
  </si>
  <si>
    <t>063-537-4220</t>
  </si>
  <si>
    <t>ktjart@hanmail.net</t>
  </si>
  <si>
    <t>지사중학교</t>
  </si>
  <si>
    <t>전라북도 임실군 지사면 충효로 2469</t>
  </si>
  <si>
    <t>지사초등학교</t>
  </si>
  <si>
    <t>전라북도 임실군 지사면 방계3길 10</t>
  </si>
  <si>
    <t>지엔씨에너지</t>
    <phoneticPr fontId="18" type="noConversion"/>
  </si>
  <si>
    <t>서울시 영등포구 양산로 43, 1007호</t>
    <phoneticPr fontId="18" type="noConversion"/>
  </si>
  <si>
    <t>조효준 책임님</t>
    <phoneticPr fontId="18" type="noConversion"/>
  </si>
  <si>
    <t>02-2164-9211</t>
    <phoneticPr fontId="18" type="noConversion"/>
  </si>
  <si>
    <t>chj27@gncenergy.co.kr</t>
    <phoneticPr fontId="18" type="noConversion"/>
  </si>
  <si>
    <t>지평선고등학교</t>
  </si>
  <si>
    <t>전라북도 김제시 성덕면 성동길 183-4</t>
  </si>
  <si>
    <t>지평선중학교</t>
  </si>
  <si>
    <t>진경여자고등학교</t>
  </si>
  <si>
    <t>전라북도 익산시 황등면 황등서로 40-92</t>
  </si>
  <si>
    <t>진경여자중학교</t>
  </si>
  <si>
    <t>전라북도 익산시 황등면 황등서로 104</t>
  </si>
  <si>
    <t>진관고등학교</t>
  </si>
  <si>
    <t>서울특별시 은평구 진관4로 26</t>
  </si>
  <si>
    <t>진관중학교</t>
  </si>
  <si>
    <t>서울특별시 은평구 진관4로 36</t>
  </si>
  <si>
    <t>진명여자고등학교</t>
  </si>
  <si>
    <t>서울특별시 양천구 목동로 170</t>
  </si>
  <si>
    <t>진봉초등학교</t>
  </si>
  <si>
    <t>전라북도 김제시 진봉면 진봉로 302</t>
  </si>
  <si>
    <t>진북고등공민학교</t>
  </si>
  <si>
    <t>전라북도 전주시 덕진구 숲정이3길 35</t>
  </si>
  <si>
    <t>진선여자고등학교</t>
  </si>
  <si>
    <t>서울특별시 강남구 선릉로85길 27</t>
  </si>
  <si>
    <t>진선여자중학교</t>
  </si>
  <si>
    <t>진성정보통신</t>
    <phoneticPr fontId="22" type="noConversion"/>
  </si>
  <si>
    <t>서울특별시 강서구 화곡로 27길 30 (3층 진성정보기술)</t>
    <phoneticPr fontId="22" type="noConversion"/>
  </si>
  <si>
    <t>한보라 주임님</t>
    <phoneticPr fontId="22" type="noConversion"/>
  </si>
  <si>
    <t>02-3662-0179</t>
    <phoneticPr fontId="22" type="noConversion"/>
  </si>
  <si>
    <t>kimhg0924@hanmail.net</t>
    <phoneticPr fontId="22" type="noConversion"/>
  </si>
  <si>
    <t>진성중학교</t>
  </si>
  <si>
    <t>전라북도 진안군 성수면 관진로 719</t>
  </si>
  <si>
    <t>진안공업고등학교</t>
  </si>
  <si>
    <t>전라북도 진안군 진안읍 상역로 96</t>
  </si>
  <si>
    <t>진안여자중학교</t>
  </si>
  <si>
    <t>전라북도 진안군 진안읍 어영골길 33</t>
  </si>
  <si>
    <t>진안제일고등학교</t>
  </si>
  <si>
    <t>전라북도 진안군 진안읍 대광3길 25-5</t>
  </si>
  <si>
    <t>진안중앙초등학교</t>
  </si>
  <si>
    <t>전라북도 진안군 진안읍 학천변길 37-6</t>
  </si>
  <si>
    <t>진안중학교</t>
  </si>
  <si>
    <t>전라북도 진안군 진안읍 상역로 86</t>
  </si>
  <si>
    <t>진안초등학교</t>
  </si>
  <si>
    <t>전라북도 진안군 진안읍 중앙로 55</t>
  </si>
  <si>
    <t>진잠중학교</t>
  </si>
  <si>
    <t>대전광역시 유성구 진잠로 60-23</t>
  </si>
  <si>
    <t>진잠초등학교</t>
  </si>
  <si>
    <t>대전광역시 유성구 진잠로59번길 53</t>
  </si>
  <si>
    <t>진주제일병원</t>
  </si>
  <si>
    <t xml:space="preserve">경상남도 진주시 진주대로 885(제일병원) 본관 5층 의료전산부 </t>
  </si>
  <si>
    <t>이현수</t>
  </si>
  <si>
    <t>010-2001-7962</t>
  </si>
  <si>
    <t>진주컴</t>
    <phoneticPr fontId="18" type="noConversion"/>
  </si>
  <si>
    <t>jinjucom@naver.com</t>
    <phoneticPr fontId="18" type="noConversion"/>
  </si>
  <si>
    <t>창덕여자고등학교</t>
  </si>
  <si>
    <t>서울특별시 송파구 양재대로 1240</t>
  </si>
  <si>
    <t>창덕여자중학교</t>
  </si>
  <si>
    <t>서울특별시 중구 정동길 22</t>
  </si>
  <si>
    <t>김미현 선생님</t>
    <phoneticPr fontId="22" type="noConversion"/>
  </si>
  <si>
    <t>010-2033-7697</t>
    <phoneticPr fontId="22" type="noConversion"/>
  </si>
  <si>
    <t>창동고등학교</t>
  </si>
  <si>
    <t>서울특별시 도봉구 노해로62길 7</t>
  </si>
  <si>
    <t>창동중학교</t>
  </si>
  <si>
    <t>서울특별시 도봉구 방학로 32</t>
  </si>
  <si>
    <t>창문여자고등학교</t>
  </si>
  <si>
    <t>서울특별시 강북구 월계로 61</t>
  </si>
  <si>
    <t>이화순</t>
    <phoneticPr fontId="22" type="noConversion"/>
  </si>
  <si>
    <t>010-3522-3947</t>
    <phoneticPr fontId="22" type="noConversion"/>
  </si>
  <si>
    <t>창문여자중학교</t>
    <phoneticPr fontId="18" type="noConversion"/>
  </si>
  <si>
    <t>서울특별시 강북구 월계로 61</t>
    <phoneticPr fontId="18" type="noConversion"/>
  </si>
  <si>
    <t>행정실 이정아</t>
    <phoneticPr fontId="18" type="noConversion"/>
  </si>
  <si>
    <t>010-2360-2175</t>
    <phoneticPr fontId="18" type="noConversion"/>
  </si>
  <si>
    <t>wjddk43@sen.go.kr</t>
    <phoneticPr fontId="18" type="noConversion"/>
  </si>
  <si>
    <t>창북중학교</t>
  </si>
  <si>
    <t>서울특별시 도봉구 노해로62길 33</t>
  </si>
  <si>
    <t>창북초등학교</t>
  </si>
  <si>
    <t>전라북도 부안군 계화면 창북중앙길 115</t>
  </si>
  <si>
    <t>창오초등학교</t>
  </si>
  <si>
    <t>전라북도 군산시 성산면 동군산로 393</t>
  </si>
  <si>
    <t>창일중학교</t>
  </si>
  <si>
    <t>서울특별시 도봉구 노해로66길 60</t>
  </si>
  <si>
    <t>창일초등학교</t>
    <phoneticPr fontId="22" type="noConversion"/>
  </si>
  <si>
    <t>서울시 도봉구 노해로 66길 84</t>
    <phoneticPr fontId="22" type="noConversion"/>
  </si>
  <si>
    <t>이화숙 선생님</t>
    <phoneticPr fontId="22" type="noConversion"/>
  </si>
  <si>
    <t>010-8339-6782</t>
    <phoneticPr fontId="22" type="noConversion"/>
  </si>
  <si>
    <t>채광선 님</t>
    <phoneticPr fontId="22" type="noConversion"/>
  </si>
  <si>
    <t>(35351) 대전광역시 서구 도안동 966 한라비발디 101동 1602호</t>
    <phoneticPr fontId="22" type="noConversion"/>
  </si>
  <si>
    <t>0502-0521-8313</t>
    <phoneticPr fontId="22" type="noConversion"/>
  </si>
  <si>
    <t>천서초등학교</t>
  </si>
  <si>
    <t>전라북도 익산시 춘포면 천서길 221</t>
  </si>
  <si>
    <t>천왕중학교</t>
  </si>
  <si>
    <t>서울특별시 구로구 천왕로 63</t>
  </si>
  <si>
    <t>천일중학교</t>
  </si>
  <si>
    <t>서울특별시 강동구 천중로 57</t>
  </si>
  <si>
    <t>천천중학교</t>
  </si>
  <si>
    <t>전라북도 장수군 천천면 춘송길 47</t>
  </si>
  <si>
    <t>천천초등학교</t>
  </si>
  <si>
    <t>전라북도 장수군 천천면 송탄로 22</t>
  </si>
  <si>
    <t>천호중학교</t>
  </si>
  <si>
    <t>서울특별시 강동구 상암로 153</t>
  </si>
  <si>
    <t>청담고등학교</t>
  </si>
  <si>
    <t>서울특별시 강남구 압구정로 419</t>
  </si>
  <si>
    <t>청담중학교</t>
  </si>
  <si>
    <t>서울특별시 강남구 압구정로61길 36</t>
  </si>
  <si>
    <t>청란여자고등학교</t>
  </si>
  <si>
    <t>대전광역시 중구 보문로95번길 40</t>
  </si>
  <si>
    <t>청란여자중학교</t>
  </si>
  <si>
    <t>청량고등학교</t>
  </si>
  <si>
    <t>서울특별시 동대문구 왕산로 303</t>
  </si>
  <si>
    <t>청량중학교</t>
  </si>
  <si>
    <t>서울특별시 동대문구 왕산로 301</t>
  </si>
  <si>
    <t>청명초등학교</t>
  </si>
  <si>
    <t>전라북도 완주군 구이면 구이로 1712</t>
  </si>
  <si>
    <t>청암중고등학교</t>
  </si>
  <si>
    <t>청와대 경호실</t>
    <phoneticPr fontId="22" type="noConversion"/>
  </si>
  <si>
    <t>김홍주님</t>
    <phoneticPr fontId="22" type="noConversion"/>
  </si>
  <si>
    <t>02-770-5721</t>
    <phoneticPr fontId="22" type="noConversion"/>
  </si>
  <si>
    <t>kimhj2@pss.go.kr</t>
    <phoneticPr fontId="22" type="noConversion"/>
  </si>
  <si>
    <t>청와대 경호처</t>
    <phoneticPr fontId="22" type="noConversion"/>
  </si>
  <si>
    <t>rickhong@pss.go.kr</t>
    <phoneticPr fontId="22" type="noConversion"/>
  </si>
  <si>
    <t>청완초등학교</t>
  </si>
  <si>
    <t>전라북도 완주군 봉동읍 완주산단9로 80</t>
  </si>
  <si>
    <t>청우특허법률사무소</t>
    <phoneticPr fontId="18" type="noConversion"/>
  </si>
  <si>
    <t>서울특별시 강남구 역삼로 136(역삼동, 신명빌딩 3층)</t>
    <phoneticPr fontId="18" type="noConversion"/>
  </si>
  <si>
    <t>권영미 님</t>
    <phoneticPr fontId="18" type="noConversion"/>
  </si>
  <si>
    <t>esolpat@naver.com</t>
    <phoneticPr fontId="18" type="noConversion"/>
  </si>
  <si>
    <t>청운중학교</t>
    <phoneticPr fontId="18" type="noConversion"/>
  </si>
  <si>
    <t>서울특별시 종로구 창의문로 51</t>
    <phoneticPr fontId="18" type="noConversion"/>
  </si>
  <si>
    <t>02-737-0582</t>
    <phoneticPr fontId="18" type="noConversion"/>
  </si>
  <si>
    <t>청운초등학교</t>
  </si>
  <si>
    <t>전라북도 김제시 금구면 황토로 168-30</t>
  </si>
  <si>
    <t>청웅중학교</t>
  </si>
  <si>
    <t>전라북도 임실군 청웅면 청웅로 131-7</t>
  </si>
  <si>
    <t>청웅초등학교</t>
  </si>
  <si>
    <t>전라북도 임실군 청웅면 청웅로 188</t>
  </si>
  <si>
    <t>청원고등학교</t>
  </si>
  <si>
    <t>서울특별시 노원구 한글비석로 506</t>
  </si>
  <si>
    <t>청원여자고등학교</t>
  </si>
  <si>
    <t>청원중학교</t>
  </si>
  <si>
    <t>청원초등학교</t>
  </si>
  <si>
    <t>청풍리조트</t>
    <phoneticPr fontId="18" type="noConversion"/>
  </si>
  <si>
    <t>충북 제천시 청풍면 청풍호로 1798상세주소 열기/닫기</t>
    <phoneticPr fontId="18" type="noConversion"/>
  </si>
  <si>
    <t xml:space="preserve">백운봉 선생님 </t>
    <phoneticPr fontId="18" type="noConversion"/>
  </si>
  <si>
    <t>010-5444-0375</t>
    <phoneticPr fontId="18" type="noConversion"/>
  </si>
  <si>
    <t>청하중학교</t>
  </si>
  <si>
    <t>전라북도 김제시 청하면 청하6길 68</t>
  </si>
  <si>
    <t>청하초등학교</t>
  </si>
  <si>
    <t>전라북도 김제시 청하면 대청4길 25</t>
  </si>
  <si>
    <t>초처초등학교</t>
  </si>
  <si>
    <t>전라북도 김제시 봉남면 초처로 233</t>
  </si>
  <si>
    <t>춘포초등학교</t>
  </si>
  <si>
    <t>전라북도 익산시 춘포면 춘포로 408</t>
  </si>
  <si>
    <t>충남고등학교</t>
  </si>
  <si>
    <t>대전광역시 서구 문정로 171</t>
  </si>
  <si>
    <t>충남기계공업고등학교</t>
  </si>
  <si>
    <t>대전광역시 중구 산성로 154</t>
  </si>
  <si>
    <t>충남서부장애인복지관</t>
  </si>
  <si>
    <t>충남 보령시 주교면 보령북로 404</t>
  </si>
  <si>
    <t>이희나님</t>
  </si>
  <si>
    <t>010-9322-8714</t>
  </si>
  <si>
    <t>충남여자고등학교</t>
  </si>
  <si>
    <t>대전광역시 중구 선화로43번길 77</t>
  </si>
  <si>
    <t>충남여자중학교</t>
  </si>
  <si>
    <t>대전광역시 중구 동서대로 1368</t>
  </si>
  <si>
    <t>충남중학교</t>
  </si>
  <si>
    <t>대전광역시 동구 계족로 123</t>
  </si>
  <si>
    <t>충남홍성지역자활센터</t>
    <phoneticPr fontId="18" type="noConversion"/>
  </si>
  <si>
    <t>충남 홍성군 홍성읍 의사로72번길 41-8</t>
    <phoneticPr fontId="18" type="noConversion"/>
  </si>
  <si>
    <t xml:space="preserve">권혁찬 담당자님 </t>
    <phoneticPr fontId="18" type="noConversion"/>
  </si>
  <si>
    <t>041-631-5815</t>
    <phoneticPr fontId="18" type="noConversion"/>
  </si>
  <si>
    <t>충암고등학교</t>
  </si>
  <si>
    <t>서울특별시 은평구 가좌로5길 5</t>
  </si>
  <si>
    <t>충암중학교</t>
    <phoneticPr fontId="18" type="noConversion"/>
  </si>
  <si>
    <t>서울특별시 은평구 가좌로5길 5 충암중학교 본관1층 행정실</t>
    <phoneticPr fontId="18" type="noConversion"/>
  </si>
  <si>
    <t>010-5169-6422</t>
    <phoneticPr fontId="18" type="noConversion"/>
  </si>
  <si>
    <t>junyh777@sen.go.kr</t>
    <phoneticPr fontId="18" type="noConversion"/>
  </si>
  <si>
    <t>출고 후 입금</t>
    <phoneticPr fontId="18" type="noConversion"/>
  </si>
  <si>
    <t>충암초등학교</t>
  </si>
  <si>
    <t>충청남도교육청서부평생교육원</t>
    <phoneticPr fontId="18" type="noConversion"/>
  </si>
  <si>
    <t>충청남도 서산시 동서1로 41-4</t>
    <phoneticPr fontId="18" type="noConversion"/>
  </si>
  <si>
    <t>오창수 담당자님</t>
    <phoneticPr fontId="18" type="noConversion"/>
  </si>
  <si>
    <t>010-6426-7727</t>
    <phoneticPr fontId="18" type="noConversion"/>
  </si>
  <si>
    <t>치문초등학교</t>
  </si>
  <si>
    <t>전라북도 김제시 백구면 유강11길 43</t>
  </si>
  <si>
    <t>칠보고등학교</t>
  </si>
  <si>
    <t>전라북도 정읍시 칠보면 건흥길 26-5</t>
  </si>
  <si>
    <t>칠보중학교</t>
  </si>
  <si>
    <t>전라북도 정읍시 칠보면 검단1길 53</t>
  </si>
  <si>
    <t>칠보초등학교</t>
  </si>
  <si>
    <t>전라북도 정읍시 칠보면 칠보중앙로 130</t>
  </si>
  <si>
    <t>카디날</t>
    <phoneticPr fontId="18" type="noConversion"/>
  </si>
  <si>
    <t>경기도 성남시 분당구 구미로 9번길 3-10 글로리파워 402호</t>
    <phoneticPr fontId="18" type="noConversion"/>
  </si>
  <si>
    <t>홍순환 대표님</t>
    <phoneticPr fontId="18" type="noConversion"/>
  </si>
  <si>
    <t>010-3241-8290</t>
    <phoneticPr fontId="18" type="noConversion"/>
  </si>
  <si>
    <t>케비스전자</t>
    <phoneticPr fontId="18" type="noConversion"/>
  </si>
  <si>
    <t>경기도 군포시 고산로 148번길 17 군포 아이티밸리 B동 1307호 우)</t>
    <phoneticPr fontId="18" type="noConversion"/>
  </si>
  <si>
    <t>김학용 과장님</t>
    <phoneticPr fontId="18" type="noConversion"/>
  </si>
  <si>
    <t>010-3233-3533</t>
    <phoneticPr fontId="18" type="noConversion"/>
  </si>
  <si>
    <t>acttokimhak@naver.com</t>
    <phoneticPr fontId="18" type="noConversion"/>
  </si>
  <si>
    <t>케어마일</t>
    <phoneticPr fontId="18" type="noConversion"/>
  </si>
  <si>
    <t>서울시 강남구 도산대로 541 세신빌딩 14층</t>
    <phoneticPr fontId="18" type="noConversion"/>
  </si>
  <si>
    <t>한동희님</t>
    <phoneticPr fontId="18" type="noConversion"/>
  </si>
  <si>
    <t>02-6949-2955</t>
    <phoneticPr fontId="18" type="noConversion"/>
  </si>
  <si>
    <t>peter@caremile.co.kr</t>
    <phoneticPr fontId="18" type="noConversion"/>
  </si>
  <si>
    <t>케이원테크</t>
  </si>
  <si>
    <t xml:space="preserve">경상남도 거제시 상동동 계룡로 5길 5-1 </t>
  </si>
  <si>
    <t>이태영</t>
  </si>
  <si>
    <t>010-9218-1237</t>
  </si>
  <si>
    <t>코난테크놀로지</t>
    <phoneticPr fontId="22" type="noConversion"/>
  </si>
  <si>
    <t>서울특별시 서초구 강남대로 327 대륭서초타워 6, 7층</t>
    <phoneticPr fontId="22" type="noConversion"/>
  </si>
  <si>
    <t>부영선님</t>
    <phoneticPr fontId="22" type="noConversion"/>
  </si>
  <si>
    <t>02-3469-8500</t>
    <phoneticPr fontId="22" type="noConversion"/>
  </si>
  <si>
    <t>yeongseon.bu@konantech.com</t>
    <phoneticPr fontId="22" type="noConversion"/>
  </si>
  <si>
    <t>클레버긱스</t>
    <phoneticPr fontId="18" type="noConversion"/>
  </si>
  <si>
    <t>이동규 전무님</t>
    <phoneticPr fontId="18" type="noConversion"/>
  </si>
  <si>
    <t>010-4936-2066</t>
    <phoneticPr fontId="18" type="noConversion"/>
  </si>
  <si>
    <t>clevergeeks@kakao.com</t>
    <phoneticPr fontId="18" type="noConversion"/>
  </si>
  <si>
    <t>클로</t>
  </si>
  <si>
    <t>태강삼육초등학교</t>
  </si>
  <si>
    <t>서울특별시 노원구 화랑로 815</t>
  </si>
  <si>
    <t>태랑중학교</t>
  </si>
  <si>
    <t>서울특별시 노원구 화랑로51나길 51</t>
  </si>
  <si>
    <t>태릉고등학교</t>
  </si>
  <si>
    <t>서울특별시 중랑구 신내로23길 36</t>
  </si>
  <si>
    <t>태릉중학교</t>
  </si>
  <si>
    <t>서울특별시 중랑구 공릉로2길 60-25</t>
  </si>
  <si>
    <t>태봉초등학교</t>
  </si>
  <si>
    <t>전라북도 완주군 구이면 덕평로 289</t>
  </si>
  <si>
    <t>태양산업</t>
  </si>
  <si>
    <t>경남 거제시 계룡로 5길 5-1</t>
  </si>
  <si>
    <t>양창호 님</t>
  </si>
  <si>
    <t>010-6562-8888</t>
  </si>
  <si>
    <t>태인고등학교</t>
  </si>
  <si>
    <t>전라북도 정읍시 태인면 석지로 1469</t>
  </si>
  <si>
    <t>태인중학교</t>
  </si>
  <si>
    <t>태인초등학교</t>
  </si>
  <si>
    <t>전라북도 정읍시 태인면 동헌길 16</t>
  </si>
  <si>
    <t>탬프주식회사</t>
    <phoneticPr fontId="22" type="noConversion"/>
  </si>
  <si>
    <t>울산광역시 울주군 청량읍 용암길 72</t>
    <phoneticPr fontId="22" type="noConversion"/>
  </si>
  <si>
    <t>이현남님</t>
    <phoneticPr fontId="22" type="noConversion"/>
  </si>
  <si>
    <t>010-8405-4895</t>
    <phoneticPr fontId="22" type="noConversion"/>
  </si>
  <si>
    <t>tampsales4@tamp.co.kr</t>
  </si>
  <si>
    <t>토비스</t>
  </si>
  <si>
    <t>팔덕초등학교</t>
  </si>
  <si>
    <t>전라북도 순창군 팔덕면 강천로 328</t>
  </si>
  <si>
    <t>포스코 건설 철강견적 그룹</t>
    <phoneticPr fontId="18" type="noConversion"/>
  </si>
  <si>
    <t>현영수 부장님</t>
    <phoneticPr fontId="18" type="noConversion"/>
  </si>
  <si>
    <t>053-223-5323</t>
    <phoneticPr fontId="18" type="noConversion"/>
  </si>
  <si>
    <t>hys1225@poscoenc.com</t>
    <phoneticPr fontId="18" type="noConversion"/>
  </si>
  <si>
    <t>포이에마예수교회</t>
  </si>
  <si>
    <t>서울시 송파구 양재대로 1278 (방이동, 보성고등학교내 강당 및 지층 사무실 101호)</t>
  </si>
  <si>
    <t>김미정 선생님</t>
  </si>
  <si>
    <t>010-3901-4093</t>
  </si>
  <si>
    <t>포인트애니빔</t>
    <phoneticPr fontId="18" type="noConversion"/>
  </si>
  <si>
    <t>서울시 금천구 가산동 481-10 경인벽산 디지털밸리 2차 518호</t>
    <phoneticPr fontId="18" type="noConversion"/>
  </si>
  <si>
    <t>이성창님</t>
    <phoneticPr fontId="18" type="noConversion"/>
  </si>
  <si>
    <t>02-2113-0300</t>
    <phoneticPr fontId="18" type="noConversion"/>
  </si>
  <si>
    <t>ceo@bnbsys.co.kr</t>
    <phoneticPr fontId="18" type="noConversion"/>
  </si>
  <si>
    <t>포테닛주식회사</t>
    <phoneticPr fontId="18" type="noConversion"/>
  </si>
  <si>
    <t>서울특별시 구로구 디지털로 33길 55, 이앤씨벤처드림타워 2차 제4층 401호</t>
    <phoneticPr fontId="18" type="noConversion"/>
  </si>
  <si>
    <t>노치원 부사장님</t>
    <phoneticPr fontId="18" type="noConversion"/>
  </si>
  <si>
    <t>010-3344-6762</t>
    <phoneticPr fontId="18" type="noConversion"/>
  </si>
  <si>
    <t>cwroh@potenit.com</t>
    <phoneticPr fontId="18" type="noConversion"/>
  </si>
  <si>
    <t>포트릭코리아</t>
  </si>
  <si>
    <t>경기도 안양시 동안구 광양동 906-4 디지털 엠파이어 B동 903호</t>
  </si>
  <si>
    <t>권용준 주임님</t>
  </si>
  <si>
    <t>010-9380-4863</t>
  </si>
  <si>
    <t>jun@fotrickkorea.co.kr</t>
  </si>
  <si>
    <t>푸른꿈고등학교</t>
  </si>
  <si>
    <t>전라북도 무주군 안성면 진성로 2312-9</t>
  </si>
  <si>
    <t>풍납중학교</t>
  </si>
  <si>
    <t>서울특별시 송파구 올림픽로43길 20</t>
  </si>
  <si>
    <t>풍문고등학교</t>
  </si>
  <si>
    <t>서울특별시 강남구 자곡로 152</t>
  </si>
  <si>
    <t>풍산초등학교</t>
  </si>
  <si>
    <t>전라북도 순창군 풍산면 금풍로 997-10</t>
  </si>
  <si>
    <t>풍성중학교</t>
  </si>
  <si>
    <t>서울특별시 송파구 강동대로2길 27</t>
  </si>
  <si>
    <t xml:space="preserve">퓨어만 </t>
    <phoneticPr fontId="18" type="noConversion"/>
  </si>
  <si>
    <t>대전시 유성구 가정로 141 한국</t>
    <phoneticPr fontId="18" type="noConversion"/>
  </si>
  <si>
    <t>송진호 부장님</t>
    <phoneticPr fontId="18" type="noConversion"/>
  </si>
  <si>
    <t>010-3412-7794</t>
    <phoneticPr fontId="18" type="noConversion"/>
  </si>
  <si>
    <t>서울시 구로구 디지털로 242 한화비즈메트로 1차 812호</t>
    <phoneticPr fontId="18" type="noConversion"/>
  </si>
  <si>
    <t>김태훈 님</t>
    <phoneticPr fontId="18" type="noConversion"/>
  </si>
  <si>
    <t>02-868-5257</t>
    <phoneticPr fontId="18" type="noConversion"/>
  </si>
  <si>
    <t>thkim@proatec.co.kr</t>
    <phoneticPr fontId="18" type="noConversion"/>
  </si>
  <si>
    <t>필라넷</t>
    <phoneticPr fontId="18" type="noConversion"/>
  </si>
  <si>
    <t>하계중학교</t>
  </si>
  <si>
    <t>서울특별시 노원구 노원로 261-8</t>
  </si>
  <si>
    <t>하나고등학교</t>
  </si>
  <si>
    <t>서울특별시 은평구 연서로 535</t>
  </si>
  <si>
    <t>하나티엔에스</t>
  </si>
  <si>
    <t>경기도 광명시 하안로 60 광명SK테크노파트 D동 1412</t>
    <phoneticPr fontId="18" type="noConversion"/>
  </si>
  <si>
    <t>김성식</t>
    <phoneticPr fontId="18" type="noConversion"/>
  </si>
  <si>
    <t>010-2637-1095</t>
    <phoneticPr fontId="18" type="noConversion"/>
  </si>
  <si>
    <t>하비에르 국제학교</t>
    <phoneticPr fontId="22" type="noConversion"/>
  </si>
  <si>
    <t>서울특별시 종로구 비봉길 23</t>
    <phoneticPr fontId="22" type="noConversion"/>
  </si>
  <si>
    <t>시설기사님</t>
    <phoneticPr fontId="22" type="noConversion"/>
  </si>
  <si>
    <t>010-5056-0413</t>
    <phoneticPr fontId="22" type="noConversion"/>
  </si>
  <si>
    <t>하서중학교</t>
  </si>
  <si>
    <t>전라북도 부안군 하서면 변산로 852</t>
  </si>
  <si>
    <t>하서초등학교</t>
  </si>
  <si>
    <t>전라북도 부안군 하서면 서당로 99</t>
  </si>
  <si>
    <t>하슬라테크</t>
    <phoneticPr fontId="18" type="noConversion"/>
  </si>
  <si>
    <t>심재신 님</t>
    <phoneticPr fontId="18" type="noConversion"/>
  </si>
  <si>
    <t>tlawotls@naver.com</t>
    <phoneticPr fontId="18" type="noConversion"/>
  </si>
  <si>
    <t>학교</t>
    <phoneticPr fontId="18" type="noConversion"/>
  </si>
  <si>
    <t>mijeong@sen.go.kr</t>
    <phoneticPr fontId="18" type="noConversion"/>
  </si>
  <si>
    <t>학산고등학교</t>
  </si>
  <si>
    <t>전라북도 정읍시 학산로 89</t>
  </si>
  <si>
    <t>학산중학교</t>
  </si>
  <si>
    <t>학하초등학교</t>
  </si>
  <si>
    <t>대전광역시 유성구 진잠옛로 165</t>
  </si>
  <si>
    <t>한가람고등학교</t>
  </si>
  <si>
    <t>서울특별시 양천구 목동서로 15</t>
  </si>
  <si>
    <t>한강미디어고등학교</t>
  </si>
  <si>
    <t>서울특별시 영등포구 선유로55길 22</t>
  </si>
  <si>
    <t>한강중학교</t>
    <phoneticPr fontId="18" type="noConversion"/>
  </si>
  <si>
    <t>한광고등학교</t>
  </si>
  <si>
    <t>서울특별시 강서구 등촌로13길 110</t>
  </si>
  <si>
    <t>한국게임과학고등학교</t>
  </si>
  <si>
    <t>전라북도 완주군 운주면 대둔산로 1336</t>
  </si>
  <si>
    <t>한국경마축산고등학교</t>
  </si>
  <si>
    <t>전라북도 남원시 운봉읍 황산로 952</t>
  </si>
  <si>
    <t>한국계측기기연구조합</t>
  </si>
  <si>
    <t>경기도 부천시 약대동 192 부천테크노파크 203동 901호</t>
  </si>
  <si>
    <t>안남성</t>
  </si>
  <si>
    <t>010-2276-4571</t>
  </si>
  <si>
    <t xml:space="preserve">한국공항공사 </t>
    <phoneticPr fontId="18" type="noConversion"/>
  </si>
  <si>
    <t>서울특별시 강서구 하늘길76 한국공항공사 서울지역본부 운영계획부</t>
    <phoneticPr fontId="18" type="noConversion"/>
  </si>
  <si>
    <t>백경희 담당자님</t>
    <phoneticPr fontId="18" type="noConversion"/>
  </si>
  <si>
    <t>010-9162-3819</t>
    <phoneticPr fontId="18" type="noConversion"/>
  </si>
  <si>
    <t>한국마사고등학교</t>
  </si>
  <si>
    <t>전라북도 장수군 장계면 명덕길 14</t>
  </si>
  <si>
    <t>한국삼육고등학교</t>
  </si>
  <si>
    <t>한국전통문화고등학교</t>
  </si>
  <si>
    <t>전라북도 전주시 완산구 중인1길 68-13</t>
  </si>
  <si>
    <t>한국치즈과학고등학교</t>
  </si>
  <si>
    <t>전라북도 임실군 강진면 갈담3길 48</t>
  </si>
  <si>
    <t>한국한방고등학교</t>
  </si>
  <si>
    <t>전라북도 진안군 진안읍 임진로 2765</t>
  </si>
  <si>
    <t>한들고등학교</t>
  </si>
  <si>
    <t>한림연예예술고등학교</t>
    <phoneticPr fontId="18" type="noConversion"/>
  </si>
  <si>
    <t>서울특별시 송파구 충민로 172</t>
    <phoneticPr fontId="18" type="noConversion"/>
  </si>
  <si>
    <t>강정화 선생님</t>
    <phoneticPr fontId="18" type="noConversion"/>
  </si>
  <si>
    <t>010-9656-7667</t>
    <phoneticPr fontId="18" type="noConversion"/>
  </si>
  <si>
    <t>한밭고등학교</t>
  </si>
  <si>
    <t>대전광역시 서구 신갈마로141번길 58</t>
  </si>
  <si>
    <t>한밭여자중학교</t>
  </si>
  <si>
    <t>대전광역시 동구 동대전로110번길 74-57</t>
  </si>
  <si>
    <t>한밭중학교</t>
  </si>
  <si>
    <t>대전광역시 동구 태전로 67</t>
  </si>
  <si>
    <t>한밭초등학교</t>
  </si>
  <si>
    <t>대전광역시 서구 문정로 221</t>
  </si>
  <si>
    <t>한별고등학교</t>
  </si>
  <si>
    <t>전라북도 완주군 삼례읍 충혼안길 20</t>
  </si>
  <si>
    <t>한빛고등학교</t>
  </si>
  <si>
    <t>전라남도 담양군 대전면 추성1로 501</t>
  </si>
  <si>
    <t>한빛고 행정실</t>
  </si>
  <si>
    <t>061-383-8361</t>
  </si>
  <si>
    <t>한산중학교</t>
  </si>
  <si>
    <t>서울특별시 강동구 풍성로 251</t>
  </si>
  <si>
    <t>한서고등학교</t>
  </si>
  <si>
    <t>서울특별시 강서구 양천로11길 47</t>
  </si>
  <si>
    <t>한성고등학교</t>
  </si>
  <si>
    <t>서울특별시 서대문구 북아현로1길 24</t>
  </si>
  <si>
    <t>한성과학고등학교</t>
  </si>
  <si>
    <t>서울특별시 서대문구 통일로 279-79</t>
  </si>
  <si>
    <t>한성여자고등학교</t>
  </si>
  <si>
    <t>서울특별시 성북구 삼선교로16길 117</t>
  </si>
  <si>
    <t>한성여자중학교</t>
  </si>
  <si>
    <t>서울특별시 성북구 삼선교로16길 118</t>
  </si>
  <si>
    <t>한성중학교</t>
  </si>
  <si>
    <t>한세사이버보안고등학교</t>
  </si>
  <si>
    <t>서울특별시 마포구 마포대로11길 44-80</t>
  </si>
  <si>
    <t>한솔초등학교</t>
  </si>
  <si>
    <t>전라북도 정읍시 학산로 69</t>
  </si>
  <si>
    <t>한신초등학교</t>
  </si>
  <si>
    <t>한양공업고등학교</t>
  </si>
  <si>
    <t>서울특별시 중구 을지로 299</t>
  </si>
  <si>
    <t>한양대학교 기계공학부</t>
    <phoneticPr fontId="18" type="noConversion"/>
  </si>
  <si>
    <t>서울특별시 성동구 왕십리로 222 (사근동, 한양대학교내 한양종합기술연구원 11호)</t>
    <phoneticPr fontId="18" type="noConversion"/>
  </si>
  <si>
    <t>성정빈 연구원님</t>
    <phoneticPr fontId="18" type="noConversion"/>
  </si>
  <si>
    <t>010-9707-9121</t>
    <phoneticPr fontId="18" type="noConversion"/>
  </si>
  <si>
    <t>zbding@naver.com</t>
    <phoneticPr fontId="18" type="noConversion"/>
  </si>
  <si>
    <t>한양대학교사범대학부속고등학교</t>
  </si>
  <si>
    <t>서울특별시 성동구 마조로 42</t>
  </si>
  <si>
    <t>한양대학교사범대학부속중학교</t>
  </si>
  <si>
    <t>한양중학교</t>
  </si>
  <si>
    <t>한양초등학교</t>
  </si>
  <si>
    <t>서울특별시 성동구 살곶이길 208</t>
  </si>
  <si>
    <t>한영고등학교</t>
  </si>
  <si>
    <t>서울특별시 강동구 동남로 832</t>
  </si>
  <si>
    <t>한영외국어고등학교</t>
  </si>
  <si>
    <t>서울강동구 동남로 832</t>
  </si>
  <si>
    <t>선춘규 선생님</t>
  </si>
  <si>
    <t>010-5207-3380</t>
  </si>
  <si>
    <t>한영중학교</t>
  </si>
  <si>
    <t>홍남기 선생님</t>
    <phoneticPr fontId="22" type="noConversion"/>
  </si>
  <si>
    <t>010-3000-8094</t>
  </si>
  <si>
    <t>한울중학교</t>
  </si>
  <si>
    <t>서울특별시 금천구 독산로50길 60</t>
  </si>
  <si>
    <t>한천중학교</t>
  </si>
  <si>
    <t>서울특별시 노원구 공릉로 265</t>
  </si>
  <si>
    <t>한천초등학교</t>
    <phoneticPr fontId="22" type="noConversion"/>
  </si>
  <si>
    <t>서울 노원구 마들로 45</t>
    <phoneticPr fontId="22" type="noConversion"/>
  </si>
  <si>
    <t>최오수선생님</t>
    <phoneticPr fontId="22" type="noConversion"/>
  </si>
  <si>
    <t>한컴인텔리전스</t>
    <phoneticPr fontId="18" type="noConversion"/>
  </si>
  <si>
    <t>경기도 성남시 분당구 대왕판교로 644번길 49, 3층 (삼평동, 한컴타워)</t>
    <phoneticPr fontId="18" type="noConversion"/>
  </si>
  <si>
    <t>이홍규 차장님</t>
    <phoneticPr fontId="18" type="noConversion"/>
  </si>
  <si>
    <t>031-627-3055</t>
    <phoneticPr fontId="18" type="noConversion"/>
  </si>
  <si>
    <t>hongkyu@hancomit.com</t>
    <phoneticPr fontId="18" type="noConversion"/>
  </si>
  <si>
    <t>함라중학교</t>
  </si>
  <si>
    <t>전라북도 익산시 함라면 함낭로 61-18</t>
  </si>
  <si>
    <t>함라초등학교</t>
  </si>
  <si>
    <t>전라북도 익산시 함라면 함라1길 66</t>
  </si>
  <si>
    <t>함열고등학교</t>
  </si>
  <si>
    <t>전라북도 익산시 함열읍 와리3길 19-3</t>
  </si>
  <si>
    <t>김순주 선생님</t>
  </si>
  <si>
    <t>010-5136-6267</t>
  </si>
  <si>
    <t>함열여자고등학교</t>
  </si>
  <si>
    <t>전라북도 익산시 함열읍 익산대로 1852</t>
  </si>
  <si>
    <t>함열여자중학교</t>
  </si>
  <si>
    <t>전라북도 익산시 함열읍 정자길 31</t>
  </si>
  <si>
    <t>함열중학교</t>
  </si>
  <si>
    <t>전라북도 익산시 함열읍 함열3길 37</t>
  </si>
  <si>
    <t>함열초등학교</t>
  </si>
  <si>
    <t>전라북도 익산시 함열읍 함열8길 2</t>
  </si>
  <si>
    <t>항동중학교</t>
  </si>
  <si>
    <t>서울특별시 구로구 연동로 239-2</t>
  </si>
  <si>
    <t>해돋이</t>
    <phoneticPr fontId="18" type="noConversion"/>
  </si>
  <si>
    <t>jcy1922@naver.com</t>
    <phoneticPr fontId="18" type="noConversion"/>
  </si>
  <si>
    <t>해리고등학교</t>
  </si>
  <si>
    <t>전라북도 고창군 해리면 해리중앙로 146</t>
  </si>
  <si>
    <t>해리중학교</t>
  </si>
  <si>
    <t>전라북도 고창군 해리면 해리중앙로 120</t>
  </si>
  <si>
    <t>해리초등학교</t>
  </si>
  <si>
    <t>전라북도 고창군 해리면 해리중앙로 152</t>
  </si>
  <si>
    <t>해성고등학교</t>
    <phoneticPr fontId="22" type="noConversion"/>
  </si>
  <si>
    <t>경상남도 거제시 두모길 4 해성고등학교</t>
    <phoneticPr fontId="22" type="noConversion"/>
  </si>
  <si>
    <t>010-9218-1237</t>
    <phoneticPr fontId="22" type="noConversion"/>
  </si>
  <si>
    <t>해성국제컨벤션고등학교</t>
  </si>
  <si>
    <t>서울특별시 동대문구 전농로20길 31</t>
  </si>
  <si>
    <t>해성여자고등학교</t>
  </si>
  <si>
    <t>해성초등학교</t>
  </si>
  <si>
    <t>전라북도 군산시 옥성남길 21</t>
  </si>
  <si>
    <t>행당중학교</t>
  </si>
  <si>
    <t>서울특별시 성동구 왕십리로 189</t>
  </si>
  <si>
    <t>행안초등학교</t>
  </si>
  <si>
    <t>전라북도 부안군 행안면 월륜길 18</t>
  </si>
  <si>
    <t>허니웰</t>
  </si>
  <si>
    <t>현대고등학교</t>
  </si>
  <si>
    <t>서울특별시 강남구 압구정로 127</t>
  </si>
  <si>
    <t>혜성여자고등학교</t>
  </si>
  <si>
    <t>서울특별시 노원구 노원로16길 2</t>
  </si>
  <si>
    <t>혜원여자고등학교</t>
  </si>
  <si>
    <t>서울특별시 중랑구 봉우재로58길 39</t>
  </si>
  <si>
    <t>혜원여자중학교</t>
  </si>
  <si>
    <t>혜화여자고등학교</t>
  </si>
  <si>
    <t>서울특별시 강북구 인수봉로 127</t>
  </si>
  <si>
    <t>호남고등학교</t>
  </si>
  <si>
    <t>전라북도 정읍시 정읍남로 1364-13</t>
  </si>
  <si>
    <t>호남제일고등학교</t>
  </si>
  <si>
    <t>전라북도 전주시 완산구 서원로 53</t>
  </si>
  <si>
    <t>호남중학교</t>
  </si>
  <si>
    <t>호수돈여자고등학교</t>
  </si>
  <si>
    <t>대전광역시 중구 선화로 50</t>
  </si>
  <si>
    <t>호수돈여자중학교</t>
  </si>
  <si>
    <t>홍은중학교</t>
  </si>
  <si>
    <t>서울특별시 서대문구 연희로41길 94</t>
  </si>
  <si>
    <t>홍익대학교사범대학부속고등학교</t>
  </si>
  <si>
    <t>서울특별시 성북구 성북로14가길 23</t>
  </si>
  <si>
    <t>홍익대학교사범대학부속여자고등학교</t>
  </si>
  <si>
    <t>서울특별시 마포구 성미산로 51</t>
  </si>
  <si>
    <t>홍익대학교사범대학부속여자중학교</t>
  </si>
  <si>
    <t>홍익대학교사범대학부속중학교</t>
  </si>
  <si>
    <t>홍익대학교사범대학부속초등학교</t>
  </si>
  <si>
    <t>홍익디자인고등학교</t>
  </si>
  <si>
    <t>화계중학교</t>
  </si>
  <si>
    <t>서울특별시 강북구 화계사길 63</t>
  </si>
  <si>
    <t>화곡고등학교</t>
  </si>
  <si>
    <t>서울특별시 강서구 강서로45길 69</t>
  </si>
  <si>
    <t>화곡보건경영고등학교</t>
  </si>
  <si>
    <t>서울특별시 강서구 강서로45길 70</t>
  </si>
  <si>
    <t>화곡중학교</t>
  </si>
  <si>
    <t>화랑초등학교</t>
  </si>
  <si>
    <t>서울특별시 노원구 화랑로 621</t>
  </si>
  <si>
    <t>화산중학교</t>
  </si>
  <si>
    <t>전라북도 완주군 화산면 화산로 874</t>
  </si>
  <si>
    <t>화산초등학교</t>
  </si>
  <si>
    <t>전라북도 완주군 화산면 화산로 830</t>
  </si>
  <si>
    <t>서울시 구로구 구로2동 1258 중앙유통단지 가-1330호 업무 A동 201호</t>
    <phoneticPr fontId="18" type="noConversion"/>
  </si>
  <si>
    <t>김이식 상무님</t>
    <phoneticPr fontId="18" type="noConversion"/>
  </si>
  <si>
    <t>02-2681-7878</t>
    <phoneticPr fontId="18" type="noConversion"/>
  </si>
  <si>
    <t>hstek1@daum.net</t>
    <phoneticPr fontId="18" type="noConversion"/>
  </si>
  <si>
    <t>제품 포장시 거래명세표 제거</t>
    <phoneticPr fontId="18" type="noConversion"/>
  </si>
  <si>
    <t>화원중학교</t>
  </si>
  <si>
    <t>서울특별시 강서구 강서로17나길 86</t>
  </si>
  <si>
    <t>화율초등학교</t>
  </si>
  <si>
    <t>전라북도 김제시 금산면 수류로 587</t>
  </si>
  <si>
    <t>화홍병원</t>
  </si>
  <si>
    <t>경기도 수원시 권선구 호매실로 90번길 98, 화홍병원 3층 통합 행정사무실 구매팀</t>
  </si>
  <si>
    <t>원희주</t>
  </si>
  <si>
    <t>010-5005-4724</t>
  </si>
  <si>
    <t>hh60058@swhh.co.kr</t>
  </si>
  <si>
    <t xml:space="preserve">화홍병원 </t>
    <phoneticPr fontId="18" type="noConversion"/>
  </si>
  <si>
    <t>경기도 수원시 권선구 호매실로 90번길 98, 화홍병원 3층 통합행정사무실 구매팀</t>
    <phoneticPr fontId="18" type="noConversion"/>
  </si>
  <si>
    <t>원희주</t>
    <phoneticPr fontId="18" type="noConversion"/>
  </si>
  <si>
    <t>010-5005-4724</t>
    <phoneticPr fontId="18" type="noConversion"/>
  </si>
  <si>
    <t>hh60058@swhh.co.kr</t>
    <phoneticPr fontId="18" type="noConversion"/>
  </si>
  <si>
    <t>환일고등학교</t>
  </si>
  <si>
    <t>서울특별시 중구 환일길 47</t>
  </si>
  <si>
    <t>황강초등학교</t>
  </si>
  <si>
    <t>전라북도 김제시 공덕면 유강4길 94</t>
  </si>
  <si>
    <t>황등남초등학교</t>
  </si>
  <si>
    <t>전라북도 익산시 황등면 황등서로 44</t>
  </si>
  <si>
    <t>황등중학교</t>
  </si>
  <si>
    <t>전라북도 익산시 황등면 황금로 18</t>
  </si>
  <si>
    <t>황등초등학교</t>
  </si>
  <si>
    <t>전라북도 익산시 황등면 황금로 17-6</t>
  </si>
  <si>
    <t>황산초등학교</t>
  </si>
  <si>
    <t>전라북도 김제시 황산면 용마로 75</t>
  </si>
  <si>
    <t>회덕중학교</t>
  </si>
  <si>
    <t>대전광역시 대덕구 신탄진로218번길 22</t>
  </si>
  <si>
    <t>회덕초등학교</t>
  </si>
  <si>
    <t>대전광역시 대덕구 대전로 1350</t>
  </si>
  <si>
    <t>회현중학교</t>
  </si>
  <si>
    <t>전라북도 군산시 회현면 대위로 426</t>
  </si>
  <si>
    <t>회현초등학교</t>
  </si>
  <si>
    <t>전라북도 군산시 회현면 회현로 139</t>
  </si>
  <si>
    <t>효문고등학교</t>
  </si>
  <si>
    <t>서울특별시 도봉구 우이천로 432</t>
  </si>
  <si>
    <t>효문중학교</t>
  </si>
  <si>
    <t>휘경공업고등학교</t>
  </si>
  <si>
    <t>서울특별시 동대문구 겸재로 21</t>
  </si>
  <si>
    <t>휘경여자고등학교</t>
  </si>
  <si>
    <t>서울특별시 동대문구 한천로 247</t>
  </si>
  <si>
    <t>휘경여자중학교</t>
  </si>
  <si>
    <t>휘경중학교</t>
  </si>
  <si>
    <t>서울특별시 동대문구 망우로18나길 20</t>
  </si>
  <si>
    <t>휘문고등학교</t>
  </si>
  <si>
    <t>서울특별시 강남구 역삼로 541</t>
  </si>
  <si>
    <t>휘문중학교</t>
  </si>
  <si>
    <t>휘봉고등학교</t>
  </si>
  <si>
    <t>서울특별시 동대문구 한천로 290</t>
  </si>
  <si>
    <t>휴먼라이브</t>
  </si>
  <si>
    <t>강원도 원주시 동부순환로 2-4 , 1층</t>
    <phoneticPr fontId="18" type="noConversion"/>
  </si>
  <si>
    <t>남경현 팀장님</t>
    <phoneticPr fontId="18" type="noConversion"/>
  </si>
  <si>
    <t>010-6486-1850</t>
    <phoneticPr fontId="18" type="noConversion"/>
  </si>
  <si>
    <t>nkh@humanlib.co.kr</t>
    <phoneticPr fontId="18" type="noConversion"/>
  </si>
  <si>
    <t>흥덕중학교</t>
  </si>
  <si>
    <t>전라북도 고창군 흥덕면 잿말길 21</t>
  </si>
  <si>
    <t>흥덕초등학교</t>
  </si>
  <si>
    <t>전라북도 고창군 흥덕면 흥덕초등길 13</t>
  </si>
  <si>
    <t>흥도초등학교</t>
  </si>
  <si>
    <t>대전광역시 유성구 원신흥남로 20</t>
  </si>
  <si>
    <t>흥왕초등학교</t>
  </si>
  <si>
    <t>전라북도 익산시 용동면 흥왕1길 17</t>
  </si>
  <si>
    <t>세라콤</t>
    <phoneticPr fontId="22" type="noConversion"/>
  </si>
  <si>
    <t>충남 천안시 서북구 백석공단 1로 42, 2층 203</t>
    <phoneticPr fontId="22" type="noConversion"/>
  </si>
  <si>
    <t>오현택 과장님</t>
    <phoneticPr fontId="22" type="noConversion"/>
  </si>
  <si>
    <t>010-9112-3290</t>
    <phoneticPr fontId="22" type="noConversion"/>
  </si>
  <si>
    <t>taek@ceracomp.com</t>
    <phoneticPr fontId="22" type="noConversion"/>
  </si>
  <si>
    <t>전주삼천남초등학교</t>
    <phoneticPr fontId="22" type="noConversion"/>
  </si>
  <si>
    <t>전라북도 전주시 완산구 거마남로 65</t>
    <phoneticPr fontId="22" type="noConversion"/>
  </si>
  <si>
    <t>010-5633-1203</t>
    <phoneticPr fontId="22" type="noConversion"/>
  </si>
  <si>
    <t>sammam2915@hanmail.net</t>
    <phoneticPr fontId="22" type="noConversion"/>
  </si>
  <si>
    <t>Rootvision</t>
    <phoneticPr fontId="22" type="noConversion"/>
  </si>
  <si>
    <t>황건하님</t>
    <phoneticPr fontId="22" type="noConversion"/>
  </si>
  <si>
    <t>010-4399-0855</t>
    <phoneticPr fontId="22" type="noConversion"/>
  </si>
  <si>
    <t>master@rootvision.co.kr</t>
    <phoneticPr fontId="22" type="noConversion"/>
  </si>
  <si>
    <t>피플즈리즈</t>
    <phoneticPr fontId="22" type="noConversion"/>
  </si>
  <si>
    <t>대전광역시 대덕구 대화로 133, D-201호</t>
    <phoneticPr fontId="22" type="noConversion"/>
  </si>
  <si>
    <t>황원준 대표님</t>
    <phoneticPr fontId="22" type="noConversion"/>
  </si>
  <si>
    <t>010-4657-4801</t>
    <phoneticPr fontId="22" type="noConversion"/>
  </si>
  <si>
    <t>wonjun@peoplesleague.co.kr</t>
    <phoneticPr fontId="22" type="noConversion"/>
  </si>
  <si>
    <t>와이넷</t>
    <phoneticPr fontId="22" type="noConversion"/>
  </si>
  <si>
    <t>김나은 님</t>
    <phoneticPr fontId="22" type="noConversion"/>
  </si>
  <si>
    <t>02-381-2300</t>
    <phoneticPr fontId="22" type="noConversion"/>
  </si>
  <si>
    <t>whynetco@naver.com</t>
    <phoneticPr fontId="22" type="noConversion"/>
  </si>
  <si>
    <t>인텔리빅스</t>
    <phoneticPr fontId="22" type="noConversion"/>
  </si>
  <si>
    <t>서울시 서초구 효령로 34길 4 (방배동, 프린스 효령빌딩 6층)</t>
    <phoneticPr fontId="22" type="noConversion"/>
  </si>
  <si>
    <t>김영민 부장님</t>
    <phoneticPr fontId="22" type="noConversion"/>
  </si>
  <si>
    <t>010-7443-5427</t>
    <phoneticPr fontId="22" type="noConversion"/>
  </si>
  <si>
    <t>ymkim@intellivix.com</t>
    <phoneticPr fontId="22" type="noConversion"/>
  </si>
  <si>
    <t>Soluciones Electricas Selec SPA</t>
    <phoneticPr fontId="22" type="noConversion"/>
  </si>
  <si>
    <t>Chile</t>
  </si>
  <si>
    <t>RUT 76917494-K, Av. Irarrázaval 5185, Ofic. 503 Ñuñoa Santiago</t>
    <phoneticPr fontId="22" type="noConversion"/>
  </si>
  <si>
    <t xml:space="preserve">María Rengifo </t>
    <phoneticPr fontId="22" type="noConversion"/>
  </si>
  <si>
    <t>maria@selec.cl</t>
    <phoneticPr fontId="22" type="noConversion"/>
  </si>
  <si>
    <t>개별 수출허가 要</t>
    <phoneticPr fontId="22" type="noConversion"/>
  </si>
  <si>
    <t>ECSA comercial Ltda.</t>
    <phoneticPr fontId="22" type="noConversion"/>
  </si>
  <si>
    <t>1 Y 2 DE OCTUBRE 193 POBL. PEDRO EMILIO CUADRA, RANCAGUA</t>
    <phoneticPr fontId="22" type="noConversion"/>
  </si>
  <si>
    <t xml:space="preserve">Lennier Jara </t>
    <phoneticPr fontId="22" type="noConversion"/>
  </si>
  <si>
    <t>76.695.130-9</t>
    <phoneticPr fontId="22" type="noConversion"/>
  </si>
  <si>
    <t>ventas@grupoecsa.cl</t>
    <phoneticPr fontId="22" type="noConversion"/>
  </si>
  <si>
    <t>L.O.Trading</t>
    <phoneticPr fontId="22" type="noConversion"/>
  </si>
  <si>
    <t>United states</t>
    <phoneticPr fontId="22" type="noConversion"/>
  </si>
  <si>
    <t>10800 NW 21st Street, #250, Miami, FL 33172</t>
    <phoneticPr fontId="22" type="noConversion"/>
  </si>
  <si>
    <t>Mariana Obando</t>
    <phoneticPr fontId="22" type="noConversion"/>
  </si>
  <si>
    <t xml:space="preserve">305 477 7630 </t>
    <phoneticPr fontId="22" type="noConversion"/>
  </si>
  <si>
    <r>
      <t>mariana.obando@lotrading.com</t>
    </r>
    <r>
      <rPr>
        <u/>
        <sz val="11"/>
        <color theme="10"/>
        <rFont val="맑은 고딕"/>
        <family val="3"/>
        <charset val="129"/>
        <scheme val="minor"/>
      </rPr>
      <t xml:space="preserve"> </t>
    </r>
  </si>
  <si>
    <t>포괄 수출허가 要</t>
    <phoneticPr fontId="22" type="noConversion"/>
  </si>
  <si>
    <t>경기도 안양시 동안구 시민대로 109번길 29, 에이스 하이테크시티 범계 10층 1001~3호</t>
    <phoneticPr fontId="22" type="noConversion"/>
  </si>
  <si>
    <t>성동준 차장님</t>
    <phoneticPr fontId="22" type="noConversion"/>
  </si>
  <si>
    <t>010-2857-3450</t>
    <phoneticPr fontId="22" type="noConversion"/>
  </si>
  <si>
    <t>djsung@ntsys.kr</t>
  </si>
  <si>
    <t>서울양정중학교</t>
    <phoneticPr fontId="22" type="noConversion"/>
  </si>
  <si>
    <t>서울 양천구 안양천로 1039</t>
    <phoneticPr fontId="22" type="noConversion"/>
  </si>
  <si>
    <t>이수용부장님</t>
    <phoneticPr fontId="22" type="noConversion"/>
  </si>
  <si>
    <t>02-2649-7078</t>
    <phoneticPr fontId="22" type="noConversion"/>
  </si>
  <si>
    <t xml:space="preserve">ceccll@sen.go.kr </t>
    <phoneticPr fontId="22" type="noConversion"/>
  </si>
  <si>
    <t>㈜씨티테크</t>
    <phoneticPr fontId="22" type="noConversion"/>
  </si>
  <si>
    <t>부산시 연제구 토곡남로 15 (연산동 30-1) 상가동 지하 101호 (대우아파트)</t>
    <phoneticPr fontId="22" type="noConversion"/>
  </si>
  <si>
    <t>백승우 이사님</t>
    <phoneticPr fontId="22" type="noConversion"/>
  </si>
  <si>
    <t>010-7706-8338</t>
    <phoneticPr fontId="22" type="noConversion"/>
  </si>
  <si>
    <t>fazhan8338@naver.com</t>
    <phoneticPr fontId="22" type="noConversion"/>
  </si>
  <si>
    <t>㈜이케이오스</t>
    <phoneticPr fontId="22" type="noConversion"/>
  </si>
  <si>
    <t>서울시 영등포구 여의도동 제일빌딩 706</t>
    <phoneticPr fontId="22" type="noConversion"/>
  </si>
  <si>
    <t>윤길산부장님</t>
    <phoneticPr fontId="22" type="noConversion"/>
  </si>
  <si>
    <t>010-6749-8411</t>
    <phoneticPr fontId="22" type="noConversion"/>
  </si>
  <si>
    <t>hypark@echaos.co.kr</t>
    <phoneticPr fontId="22" type="noConversion"/>
  </si>
  <si>
    <t>한일상사</t>
    <phoneticPr fontId="22" type="noConversion"/>
  </si>
  <si>
    <t>경기도 부천시 옥산로 138번길 30, 2층 9호 (춘의동, 광성 프라자)</t>
    <phoneticPr fontId="22" type="noConversion"/>
  </si>
  <si>
    <t>박정숙님</t>
    <phoneticPr fontId="22" type="noConversion"/>
  </si>
  <si>
    <t>02-868-5257</t>
  </si>
  <si>
    <t>thkim@proatec.co.kr</t>
  </si>
  <si>
    <t>부산대학교</t>
    <phoneticPr fontId="22" type="noConversion"/>
  </si>
  <si>
    <t>문정민 님</t>
    <phoneticPr fontId="22" type="noConversion"/>
  </si>
  <si>
    <t>mjm1202@pusan.ac.kr</t>
    <phoneticPr fontId="22" type="noConversion"/>
  </si>
  <si>
    <t>빅텍</t>
    <phoneticPr fontId="22" type="noConversion"/>
  </si>
  <si>
    <t>LIG Nex1</t>
    <phoneticPr fontId="18" type="noConversion"/>
  </si>
  <si>
    <t>경상남도 창원시 진해구 중원동로 49 KT진해지사 2층</t>
    <phoneticPr fontId="18" type="noConversion"/>
  </si>
  <si>
    <t>배희종 매니저님</t>
    <phoneticPr fontId="18" type="noConversion"/>
  </si>
  <si>
    <t>010-5166-9623</t>
    <phoneticPr fontId="18" type="noConversion"/>
  </si>
  <si>
    <t>heejong.bae@lignex1.com</t>
    <phoneticPr fontId="18" type="noConversion"/>
  </si>
  <si>
    <t>지세포중학교</t>
    <phoneticPr fontId="22" type="noConversion"/>
  </si>
  <si>
    <t>경상남도 거제시 일운면 지세포3길 3</t>
  </si>
  <si>
    <t>행정실 담당자님</t>
    <phoneticPr fontId="22" type="noConversion"/>
  </si>
  <si>
    <t>055-682-1810</t>
  </si>
  <si>
    <t>jisepo@korea.kr</t>
    <phoneticPr fontId="22" type="noConversion"/>
  </si>
  <si>
    <t>TECNOLOTEC</t>
    <phoneticPr fontId="22" type="noConversion"/>
  </si>
  <si>
    <t>Chile</t>
    <phoneticPr fontId="22" type="noConversion"/>
  </si>
  <si>
    <t>Santiago de Chile</t>
    <phoneticPr fontId="22" type="noConversion"/>
  </si>
  <si>
    <t>Mauricio Caicedo Paredes</t>
    <phoneticPr fontId="22" type="noConversion"/>
  </si>
  <si>
    <t>m.caicedo@tecnolotec.com</t>
    <phoneticPr fontId="22" type="noConversion"/>
  </si>
  <si>
    <t>유리엠</t>
    <phoneticPr fontId="22" type="noConversion"/>
  </si>
  <si>
    <t>서울특별시 영등포구 여의동로 213, 에이동 618호</t>
    <phoneticPr fontId="22" type="noConversion"/>
  </si>
  <si>
    <t>박윤희</t>
    <phoneticPr fontId="22" type="noConversion"/>
  </si>
  <si>
    <t>㈜지오</t>
    <phoneticPr fontId="22" type="noConversion"/>
  </si>
  <si>
    <t>최은주 과장님</t>
    <phoneticPr fontId="22" type="noConversion"/>
  </si>
  <si>
    <t>010-5444-0131</t>
    <phoneticPr fontId="22" type="noConversion"/>
  </si>
  <si>
    <t>gioins@gioins.com</t>
    <phoneticPr fontId="22" type="noConversion"/>
  </si>
  <si>
    <t>Resolution</t>
  </si>
  <si>
    <t>Usage</t>
  </si>
  <si>
    <t>Type</t>
  </si>
  <si>
    <t>품목분류</t>
    <phoneticPr fontId="18" type="noConversion"/>
  </si>
  <si>
    <t>렌즈사이즈</t>
    <phoneticPr fontId="18" type="noConversion"/>
  </si>
  <si>
    <t>렌즈구분</t>
    <phoneticPr fontId="18" type="noConversion"/>
  </si>
  <si>
    <t>16 port NVR Recorder</t>
    <phoneticPr fontId="18" type="noConversion"/>
  </si>
  <si>
    <t>n/a</t>
    <phoneticPr fontId="18" type="noConversion"/>
  </si>
  <si>
    <t>Accessory</t>
    <phoneticPr fontId="18" type="noConversion"/>
  </si>
  <si>
    <t>485 to IP convertor</t>
    <phoneticPr fontId="18" type="noConversion"/>
  </si>
  <si>
    <t>8 port NVR Recorder</t>
  </si>
  <si>
    <t>Others</t>
    <phoneticPr fontId="18" type="noConversion"/>
  </si>
  <si>
    <t>8884-VT OUTDOOR CAMERA
HOUSING WITH WIBER AND FAN</t>
  </si>
  <si>
    <t>Housing</t>
    <phoneticPr fontId="18" type="noConversion"/>
  </si>
  <si>
    <t>A 10.3mm</t>
  </si>
  <si>
    <t>Lens</t>
    <phoneticPr fontId="18" type="noConversion"/>
  </si>
  <si>
    <t>10.3mm</t>
  </si>
  <si>
    <t>Athermalized</t>
    <phoneticPr fontId="18" type="noConversion"/>
  </si>
  <si>
    <t>A 12.3mm</t>
    <phoneticPr fontId="18" type="noConversion"/>
  </si>
  <si>
    <t>12.3mm</t>
    <phoneticPr fontId="18" type="noConversion"/>
  </si>
  <si>
    <t>A 13mm f1.0</t>
  </si>
  <si>
    <t>13mm</t>
  </si>
  <si>
    <t>A 14mm f1.2</t>
  </si>
  <si>
    <t>14mm</t>
  </si>
  <si>
    <t>A 15mm</t>
  </si>
  <si>
    <t>15mm</t>
  </si>
  <si>
    <t>A 19mm</t>
    <phoneticPr fontId="18" type="noConversion"/>
  </si>
  <si>
    <t>19mm</t>
  </si>
  <si>
    <t>A 25mm</t>
  </si>
  <si>
    <t>25mm</t>
  </si>
  <si>
    <t>A 3.2mm</t>
    <phoneticPr fontId="22" type="noConversion"/>
  </si>
  <si>
    <t>x</t>
    <phoneticPr fontId="22" type="noConversion"/>
  </si>
  <si>
    <t>Lens</t>
    <phoneticPr fontId="22" type="noConversion"/>
  </si>
  <si>
    <t>A 3.2mm f0.8</t>
  </si>
  <si>
    <t>3.2mm</t>
  </si>
  <si>
    <t>35mm</t>
  </si>
  <si>
    <t>A 4.0mm</t>
    <phoneticPr fontId="18" type="noConversion"/>
  </si>
  <si>
    <t>4.0mm</t>
  </si>
  <si>
    <t>A 4.3mm</t>
  </si>
  <si>
    <t>4.3mm</t>
  </si>
  <si>
    <t>A 40mm</t>
    <phoneticPr fontId="22" type="noConversion"/>
  </si>
  <si>
    <t>A 50mm</t>
    <phoneticPr fontId="18" type="noConversion"/>
  </si>
  <si>
    <t>50mm</t>
    <phoneticPr fontId="18" type="noConversion"/>
  </si>
  <si>
    <t>A 60mm f1.25</t>
    <phoneticPr fontId="18" type="noConversion"/>
  </si>
  <si>
    <t>60mm</t>
    <phoneticPr fontId="18" type="noConversion"/>
  </si>
  <si>
    <t>7.1mm</t>
  </si>
  <si>
    <t>A 7.5mm</t>
    <phoneticPr fontId="18" type="noConversion"/>
  </si>
  <si>
    <t>7.5mm</t>
  </si>
  <si>
    <t>A 8.1mm</t>
  </si>
  <si>
    <t>8.1mm</t>
  </si>
  <si>
    <t>8mm</t>
  </si>
  <si>
    <t>A x0.6 x2</t>
  </si>
  <si>
    <t>x0.6</t>
    <phoneticPr fontId="18" type="noConversion"/>
  </si>
  <si>
    <t>AF board</t>
    <phoneticPr fontId="22" type="noConversion"/>
  </si>
  <si>
    <t>AF module</t>
  </si>
  <si>
    <t>AIO320</t>
    <phoneticPr fontId="18" type="noConversion"/>
  </si>
  <si>
    <t>VGA</t>
    <phoneticPr fontId="18" type="noConversion"/>
  </si>
  <si>
    <t>RADIOMETRIC</t>
    <phoneticPr fontId="10" type="noConversion"/>
  </si>
  <si>
    <t>ANALOGUE</t>
    <phoneticPr fontId="10" type="noConversion"/>
  </si>
  <si>
    <t>Thermal Camera</t>
    <phoneticPr fontId="18" type="noConversion"/>
  </si>
  <si>
    <t>AIO320B</t>
    <phoneticPr fontId="18" type="noConversion"/>
  </si>
  <si>
    <t>Air purge nozzle</t>
    <phoneticPr fontId="18" type="noConversion"/>
  </si>
  <si>
    <t>AISI 316L</t>
    <phoneticPr fontId="18" type="noConversion"/>
  </si>
  <si>
    <t>PT DRIVE &amp; HOUSING</t>
    <phoneticPr fontId="18" type="noConversion"/>
  </si>
  <si>
    <t>Balance</t>
    <phoneticPr fontId="18" type="noConversion"/>
  </si>
  <si>
    <t>Bank fee</t>
    <phoneticPr fontId="22" type="noConversion"/>
  </si>
  <si>
    <t>BGCC640</t>
    <phoneticPr fontId="18" type="noConversion"/>
  </si>
  <si>
    <t>Bracket</t>
    <phoneticPr fontId="22" type="noConversion"/>
  </si>
  <si>
    <t>BRACKET HOUSING</t>
  </si>
  <si>
    <t>Bracket(HOUSING)</t>
  </si>
  <si>
    <t>C Type USB to Lan 젠더</t>
    <phoneticPr fontId="18" type="noConversion"/>
  </si>
  <si>
    <t>Cable</t>
  </si>
  <si>
    <t>Calibration</t>
    <phoneticPr fontId="18" type="noConversion"/>
  </si>
  <si>
    <t>Service</t>
    <phoneticPr fontId="18" type="noConversion"/>
  </si>
  <si>
    <t>Camera Accessory</t>
    <phoneticPr fontId="10" type="noConversion"/>
  </si>
  <si>
    <t>CAMERA BRAKETS</t>
  </si>
  <si>
    <t>CB55</t>
    <phoneticPr fontId="18" type="noConversion"/>
  </si>
  <si>
    <t>Blackbody</t>
    <phoneticPr fontId="18" type="noConversion"/>
  </si>
  <si>
    <t>CCH2317_110V HOUSING</t>
  </si>
  <si>
    <t>CCH2317_220V HOUSING</t>
  </si>
  <si>
    <t>CF320</t>
    <phoneticPr fontId="18" type="noConversion"/>
  </si>
  <si>
    <t>QVGA</t>
    <phoneticPr fontId="10" type="noConversion"/>
  </si>
  <si>
    <t>CF320B</t>
    <phoneticPr fontId="18" type="noConversion"/>
  </si>
  <si>
    <t>CF640</t>
    <phoneticPr fontId="18" type="noConversion"/>
  </si>
  <si>
    <t>VGA</t>
    <phoneticPr fontId="10" type="noConversion"/>
  </si>
  <si>
    <t>CF640B</t>
    <phoneticPr fontId="18" type="noConversion"/>
  </si>
  <si>
    <t>CG1000</t>
    <phoneticPr fontId="10" type="noConversion"/>
  </si>
  <si>
    <t>XGA</t>
    <phoneticPr fontId="10" type="noConversion"/>
  </si>
  <si>
    <t>SECURITY</t>
    <phoneticPr fontId="10" type="noConversion"/>
  </si>
  <si>
    <t>CG1000IP</t>
    <phoneticPr fontId="10" type="noConversion"/>
  </si>
  <si>
    <t>NETWORK</t>
    <phoneticPr fontId="10" type="noConversion"/>
  </si>
  <si>
    <t>CG1024</t>
    <phoneticPr fontId="10" type="noConversion"/>
  </si>
  <si>
    <t>CG1024IP</t>
    <phoneticPr fontId="10" type="noConversion"/>
  </si>
  <si>
    <t>CG300</t>
    <phoneticPr fontId="10" type="noConversion"/>
  </si>
  <si>
    <t>CG300IP</t>
    <phoneticPr fontId="10" type="noConversion"/>
  </si>
  <si>
    <t>CG300-IP-B</t>
    <phoneticPr fontId="18" type="noConversion"/>
  </si>
  <si>
    <t>CG300-IP-H</t>
    <phoneticPr fontId="18" type="noConversion"/>
  </si>
  <si>
    <t>CG300NM</t>
    <phoneticPr fontId="18" type="noConversion"/>
  </si>
  <si>
    <t>Module</t>
    <phoneticPr fontId="18" type="noConversion"/>
  </si>
  <si>
    <t>CG320</t>
    <phoneticPr fontId="10" type="noConversion"/>
  </si>
  <si>
    <t>CG320 렌즈교체</t>
    <phoneticPr fontId="10" type="noConversion"/>
  </si>
  <si>
    <t>CG320IP</t>
    <phoneticPr fontId="10" type="noConversion"/>
  </si>
  <si>
    <t>CG320IP-20MM NUC shutter</t>
    <phoneticPr fontId="18" type="noConversion"/>
  </si>
  <si>
    <t>CG320-IP-H</t>
    <phoneticPr fontId="18" type="noConversion"/>
  </si>
  <si>
    <t>CG600</t>
    <phoneticPr fontId="10" type="noConversion"/>
  </si>
  <si>
    <t>CG600IP</t>
    <phoneticPr fontId="10" type="noConversion"/>
  </si>
  <si>
    <t>CG600-IP-B</t>
    <phoneticPr fontId="18" type="noConversion"/>
  </si>
  <si>
    <t>CG600-IP-H</t>
    <phoneticPr fontId="18" type="noConversion"/>
  </si>
  <si>
    <t>CG600NM</t>
    <phoneticPr fontId="18" type="noConversion"/>
  </si>
  <si>
    <t>CG640</t>
    <phoneticPr fontId="10" type="noConversion"/>
  </si>
  <si>
    <t>CG640IP</t>
    <phoneticPr fontId="10" type="noConversion"/>
  </si>
  <si>
    <t>CG640-IP-H</t>
    <phoneticPr fontId="18" type="noConversion"/>
  </si>
  <si>
    <t>Changing Lens</t>
    <phoneticPr fontId="18" type="noConversion"/>
  </si>
  <si>
    <t>CHP-VAC2-Base block</t>
    <phoneticPr fontId="18" type="noConversion"/>
  </si>
  <si>
    <t>CN300</t>
    <phoneticPr fontId="10" type="noConversion"/>
  </si>
  <si>
    <t>NIGHT VISION</t>
    <phoneticPr fontId="10" type="noConversion"/>
  </si>
  <si>
    <t>CN300M</t>
    <phoneticPr fontId="10" type="noConversion"/>
  </si>
  <si>
    <t>CN300M wt ECU</t>
    <phoneticPr fontId="10" type="noConversion"/>
  </si>
  <si>
    <t>CN300M wt monitor</t>
    <phoneticPr fontId="10" type="noConversion"/>
  </si>
  <si>
    <t>CN300-NM</t>
    <phoneticPr fontId="22" type="noConversion"/>
  </si>
  <si>
    <t>QVGA</t>
    <phoneticPr fontId="22" type="noConversion"/>
  </si>
  <si>
    <t>CN600</t>
    <phoneticPr fontId="10" type="noConversion"/>
  </si>
  <si>
    <t>CN600M</t>
    <phoneticPr fontId="10" type="noConversion"/>
  </si>
  <si>
    <t>CN600M wt ECU</t>
    <phoneticPr fontId="10" type="noConversion"/>
  </si>
  <si>
    <t>CN600M wt monitor</t>
    <phoneticPr fontId="10" type="noConversion"/>
  </si>
  <si>
    <t>convertor</t>
    <phoneticPr fontId="18" type="noConversion"/>
  </si>
  <si>
    <t>COX640AV</t>
    <phoneticPr fontId="18" type="noConversion"/>
  </si>
  <si>
    <t>Cooled</t>
    <phoneticPr fontId="18" type="noConversion"/>
  </si>
  <si>
    <t>CPT-VAC2 + BH5200S</t>
    <phoneticPr fontId="18" type="noConversion"/>
  </si>
  <si>
    <t>CPT-VAC2 + CTH-10</t>
    <phoneticPr fontId="18" type="noConversion"/>
  </si>
  <si>
    <t>CTH30</t>
    <phoneticPr fontId="18" type="noConversion"/>
  </si>
  <si>
    <t>CTH-30</t>
    <phoneticPr fontId="18" type="noConversion"/>
  </si>
  <si>
    <t>CTH-31</t>
    <phoneticPr fontId="18" type="noConversion"/>
  </si>
  <si>
    <t>HOUSING</t>
    <phoneticPr fontId="18" type="noConversion"/>
  </si>
  <si>
    <t>CTH35</t>
    <phoneticPr fontId="18" type="noConversion"/>
  </si>
  <si>
    <t>CTH-35</t>
    <phoneticPr fontId="18" type="noConversion"/>
  </si>
  <si>
    <t>CTH-50</t>
    <phoneticPr fontId="18" type="noConversion"/>
  </si>
  <si>
    <t>Housing(New Design)</t>
    <phoneticPr fontId="18" type="noConversion"/>
  </si>
  <si>
    <t>CTP-VAC2</t>
    <phoneticPr fontId="18" type="noConversion"/>
  </si>
  <si>
    <t>CV320</t>
    <phoneticPr fontId="18" type="noConversion"/>
  </si>
  <si>
    <t>CVX500+CTH30</t>
    <phoneticPr fontId="18" type="noConversion"/>
  </si>
  <si>
    <t>CVX5000</t>
    <phoneticPr fontId="18" type="noConversion"/>
  </si>
  <si>
    <t>PTZ</t>
    <phoneticPr fontId="18" type="noConversion"/>
  </si>
  <si>
    <t>PTZ</t>
    <phoneticPr fontId="22" type="noConversion"/>
  </si>
  <si>
    <t>CVX-5000</t>
    <phoneticPr fontId="18" type="noConversion"/>
  </si>
  <si>
    <t>Pantilit Drive</t>
    <phoneticPr fontId="18" type="noConversion"/>
  </si>
  <si>
    <t>CX1000</t>
    <phoneticPr fontId="10" type="noConversion"/>
  </si>
  <si>
    <t>CX1000IP</t>
    <phoneticPr fontId="10" type="noConversion"/>
  </si>
  <si>
    <t>CX300</t>
    <phoneticPr fontId="10" type="noConversion"/>
  </si>
  <si>
    <t>CX600</t>
    <phoneticPr fontId="10" type="noConversion"/>
  </si>
  <si>
    <t>CXP series motion - VO5 board</t>
    <phoneticPr fontId="10" type="noConversion"/>
  </si>
  <si>
    <t>CZ1000</t>
    <phoneticPr fontId="10" type="noConversion"/>
  </si>
  <si>
    <t>CZ1000IP</t>
    <phoneticPr fontId="10" type="noConversion"/>
  </si>
  <si>
    <t>CZ1024</t>
    <phoneticPr fontId="10" type="noConversion"/>
  </si>
  <si>
    <t>CZ1024IP</t>
    <phoneticPr fontId="10" type="noConversion"/>
  </si>
  <si>
    <t>CZ300IP</t>
    <phoneticPr fontId="18" type="noConversion"/>
  </si>
  <si>
    <t>CZ320</t>
    <phoneticPr fontId="10" type="noConversion"/>
  </si>
  <si>
    <t>CZ320IP</t>
    <phoneticPr fontId="10" type="noConversion"/>
  </si>
  <si>
    <t>CZ600</t>
    <phoneticPr fontId="22" type="noConversion"/>
  </si>
  <si>
    <t>CZ600IP</t>
    <phoneticPr fontId="18" type="noConversion"/>
  </si>
  <si>
    <t>CZ600-NM</t>
    <phoneticPr fontId="18" type="noConversion"/>
  </si>
  <si>
    <t>CZ640</t>
    <phoneticPr fontId="10" type="noConversion"/>
  </si>
  <si>
    <t>CZ640IP</t>
    <phoneticPr fontId="10" type="noConversion"/>
  </si>
  <si>
    <t>D60x16.7 SR4DE-V21</t>
    <phoneticPr fontId="18" type="noConversion"/>
  </si>
  <si>
    <t>Zoom Lens</t>
    <phoneticPr fontId="18" type="noConversion"/>
  </si>
  <si>
    <t>Zoom</t>
    <phoneticPr fontId="18" type="noConversion"/>
  </si>
  <si>
    <t>D60x16.7 SR4FE-ZP1C</t>
    <phoneticPr fontId="18" type="noConversion"/>
  </si>
  <si>
    <t>DC48V, 7A</t>
    <phoneticPr fontId="18" type="noConversion"/>
  </si>
  <si>
    <t>SMPS</t>
    <phoneticPr fontId="18" type="noConversion"/>
  </si>
  <si>
    <t>DC-Z6291X(IDIS)</t>
    <phoneticPr fontId="18" type="noConversion"/>
  </si>
  <si>
    <t>Visible camera</t>
    <phoneticPr fontId="18" type="noConversion"/>
  </si>
  <si>
    <t>DH-5100</t>
    <phoneticPr fontId="18" type="noConversion"/>
  </si>
  <si>
    <t>Discount</t>
    <phoneticPr fontId="18" type="noConversion"/>
  </si>
  <si>
    <t>ECU</t>
    <phoneticPr fontId="18" type="noConversion"/>
  </si>
  <si>
    <t>Ethernet cable</t>
    <phoneticPr fontId="22" type="noConversion"/>
  </si>
  <si>
    <t>External length of cable</t>
  </si>
  <si>
    <t>Fan/heater/hub/컨버터</t>
    <phoneticPr fontId="18" type="noConversion"/>
  </si>
  <si>
    <t>PT drive</t>
    <phoneticPr fontId="18" type="noConversion"/>
  </si>
  <si>
    <t>Fish-eye</t>
    <phoneticPr fontId="22" type="noConversion"/>
  </si>
  <si>
    <t>Freight</t>
    <phoneticPr fontId="18" type="noConversion"/>
  </si>
  <si>
    <t>FS-05HW</t>
    <phoneticPr fontId="18" type="noConversion"/>
  </si>
  <si>
    <t>Bullet Case</t>
    <phoneticPr fontId="18" type="noConversion"/>
  </si>
  <si>
    <t>G 100mm</t>
  </si>
  <si>
    <t>100mm</t>
  </si>
  <si>
    <t>Manual</t>
    <phoneticPr fontId="18" type="noConversion"/>
  </si>
  <si>
    <t>G 12mm</t>
  </si>
  <si>
    <t>12mm</t>
  </si>
  <si>
    <t>G 130mm</t>
  </si>
  <si>
    <t>130mm</t>
  </si>
  <si>
    <t>20mm</t>
  </si>
  <si>
    <t>G 25mm</t>
  </si>
  <si>
    <t>G 39mm f1.0</t>
  </si>
  <si>
    <t>39mm</t>
  </si>
  <si>
    <t>4.8mm</t>
  </si>
  <si>
    <t>G 50mm</t>
  </si>
  <si>
    <t>50mm</t>
  </si>
  <si>
    <t>G 75mm</t>
  </si>
  <si>
    <t>75mm</t>
  </si>
  <si>
    <t>G 75mm f1.2</t>
  </si>
  <si>
    <t>G 75mm f1.4</t>
  </si>
  <si>
    <t>G 8.5mm</t>
  </si>
  <si>
    <t>8.5mm</t>
  </si>
  <si>
    <t>Insurance</t>
    <phoneticPr fontId="18" type="noConversion"/>
  </si>
  <si>
    <t>Interface board</t>
    <phoneticPr fontId="18" type="noConversion"/>
  </si>
  <si>
    <t>IPTIME</t>
    <phoneticPr fontId="18" type="noConversion"/>
  </si>
  <si>
    <t>4PORT SWITCH</t>
    <phoneticPr fontId="18" type="noConversion"/>
  </si>
  <si>
    <t>16PORT SWITCH</t>
    <phoneticPr fontId="18" type="noConversion"/>
  </si>
  <si>
    <t>JD1/1.9-40X10 40 X ZOOM LENS</t>
  </si>
  <si>
    <t>JD1/1-50X12 50 X ZOOM LENS</t>
  </si>
  <si>
    <t>Joystick</t>
  </si>
  <si>
    <t>Junction box</t>
    <phoneticPr fontId="18" type="noConversion"/>
  </si>
  <si>
    <t>lap top</t>
    <phoneticPr fontId="18" type="noConversion"/>
  </si>
  <si>
    <t>LED LAMP</t>
    <phoneticPr fontId="18" type="noConversion"/>
  </si>
  <si>
    <t>LED LAMP</t>
  </si>
  <si>
    <t>Lens</t>
  </si>
  <si>
    <t>Lens mount</t>
    <phoneticPr fontId="18" type="noConversion"/>
  </si>
  <si>
    <t>Lens mount and adaptor</t>
    <phoneticPr fontId="22" type="noConversion"/>
  </si>
  <si>
    <t>LTCN05</t>
    <phoneticPr fontId="18" type="noConversion"/>
  </si>
  <si>
    <t>LTEG05</t>
    <phoneticPr fontId="18" type="noConversion"/>
  </si>
  <si>
    <t>LTEG05XL</t>
    <phoneticPr fontId="18" type="noConversion"/>
  </si>
  <si>
    <t>LTEG05XXL</t>
    <phoneticPr fontId="18" type="noConversion"/>
  </si>
  <si>
    <t>LTEG07</t>
    <phoneticPr fontId="18" type="noConversion"/>
  </si>
  <si>
    <t>LTEV01</t>
  </si>
  <si>
    <t>LTMH33</t>
    <phoneticPr fontId="18" type="noConversion"/>
  </si>
  <si>
    <t>LTMP03</t>
    <phoneticPr fontId="18" type="noConversion"/>
  </si>
  <si>
    <t>M 100mm-motor</t>
  </si>
  <si>
    <t>100mm</t>
    <phoneticPr fontId="18" type="noConversion"/>
  </si>
  <si>
    <t>Motorized</t>
    <phoneticPr fontId="18" type="noConversion"/>
  </si>
  <si>
    <t>M 110mm f1.4 motor</t>
  </si>
  <si>
    <t>110mm</t>
    <phoneticPr fontId="18" type="noConversion"/>
  </si>
  <si>
    <t>M 120mm-motor</t>
    <phoneticPr fontId="18" type="noConversion"/>
  </si>
  <si>
    <t>120mm</t>
    <phoneticPr fontId="18" type="noConversion"/>
  </si>
  <si>
    <t>motorized</t>
    <phoneticPr fontId="18" type="noConversion"/>
  </si>
  <si>
    <t>M 12mm-motor</t>
  </si>
  <si>
    <t>12mm</t>
    <phoneticPr fontId="18" type="noConversion"/>
  </si>
  <si>
    <t>M 130mm-motor f1.0</t>
  </si>
  <si>
    <t>130mm f1.0</t>
    <phoneticPr fontId="18" type="noConversion"/>
  </si>
  <si>
    <t>M 130mm-motor f1.2</t>
  </si>
  <si>
    <t>130mm f1.2</t>
    <phoneticPr fontId="18" type="noConversion"/>
  </si>
  <si>
    <t>M 150mm-motor</t>
    <phoneticPr fontId="18" type="noConversion"/>
  </si>
  <si>
    <t>M 150mm-motor f1.2</t>
  </si>
  <si>
    <t>150mm f1.2</t>
  </si>
  <si>
    <t>M 180mm-motor</t>
  </si>
  <si>
    <t>180mm</t>
    <phoneticPr fontId="18" type="noConversion"/>
  </si>
  <si>
    <t>20mm</t>
    <phoneticPr fontId="18" type="noConversion"/>
  </si>
  <si>
    <t>M 250mm-motor</t>
    <phoneticPr fontId="22" type="noConversion"/>
  </si>
  <si>
    <t>M 300mm-motor</t>
    <phoneticPr fontId="22" type="noConversion"/>
  </si>
  <si>
    <t>M 35mm-motor</t>
  </si>
  <si>
    <t>M 4.8mm-motor</t>
  </si>
  <si>
    <t>4.8mm</t>
    <phoneticPr fontId="18" type="noConversion"/>
  </si>
  <si>
    <t>M 40mm-motor</t>
  </si>
  <si>
    <t>40mm</t>
  </si>
  <si>
    <t>M 50mm-motor</t>
  </si>
  <si>
    <t>M 55mm-motor</t>
  </si>
  <si>
    <t>55mm</t>
  </si>
  <si>
    <t>M 60mm-motor</t>
  </si>
  <si>
    <t>60mm</t>
  </si>
  <si>
    <t>MB-HG15C</t>
  </si>
  <si>
    <t>MB-HS368</t>
  </si>
  <si>
    <t>MF 100mm-motor</t>
    <phoneticPr fontId="18" type="noConversion"/>
  </si>
  <si>
    <t xml:space="preserve">100mm </t>
    <phoneticPr fontId="18" type="noConversion"/>
  </si>
  <si>
    <t>Motorized flange</t>
    <phoneticPr fontId="18" type="noConversion"/>
  </si>
  <si>
    <t>MF 150mm-motor</t>
    <phoneticPr fontId="18" type="noConversion"/>
  </si>
  <si>
    <t>150mm</t>
    <phoneticPr fontId="18" type="noConversion"/>
  </si>
  <si>
    <t>Micro objective x0.6</t>
    <phoneticPr fontId="18" type="noConversion"/>
  </si>
  <si>
    <t>Micro objective x1</t>
    <phoneticPr fontId="18" type="noConversion"/>
  </si>
  <si>
    <t>Micro objective x2</t>
    <phoneticPr fontId="18" type="noConversion"/>
  </si>
  <si>
    <t>Monitor</t>
    <phoneticPr fontId="22" type="noConversion"/>
  </si>
  <si>
    <t>Motion board</t>
    <phoneticPr fontId="18" type="noConversion"/>
  </si>
  <si>
    <t>Motor</t>
    <phoneticPr fontId="22" type="noConversion"/>
  </si>
  <si>
    <t>Motor/Gear set</t>
    <phoneticPr fontId="18" type="noConversion"/>
  </si>
  <si>
    <t>Motorize Control B/D</t>
  </si>
  <si>
    <t>Omega BB703</t>
    <phoneticPr fontId="18" type="noConversion"/>
  </si>
  <si>
    <t>Payment</t>
    <phoneticPr fontId="18" type="noConversion"/>
  </si>
  <si>
    <t>Power adaptor</t>
    <phoneticPr fontId="18" type="noConversion"/>
  </si>
  <si>
    <t>Power adaptor</t>
  </si>
  <si>
    <t>Power Cable</t>
  </si>
  <si>
    <t>Power supply</t>
    <phoneticPr fontId="18" type="noConversion"/>
  </si>
  <si>
    <t>PT control board</t>
    <phoneticPr fontId="18" type="noConversion"/>
  </si>
  <si>
    <t>PT Ethernet switch hub</t>
    <phoneticPr fontId="18" type="noConversion"/>
  </si>
  <si>
    <t>Repair</t>
    <phoneticPr fontId="18" type="noConversion"/>
  </si>
  <si>
    <t>Repeater(tx-rx)</t>
    <phoneticPr fontId="18" type="noConversion"/>
  </si>
  <si>
    <t>SC-IPC3001EU</t>
    <phoneticPr fontId="18" type="noConversion"/>
  </si>
  <si>
    <t>UTP REPEATER 800M</t>
    <phoneticPr fontId="18" type="noConversion"/>
  </si>
  <si>
    <t>Seagate</t>
    <phoneticPr fontId="18" type="noConversion"/>
  </si>
  <si>
    <t>4TB HDD</t>
    <phoneticPr fontId="18" type="noConversion"/>
  </si>
  <si>
    <t>Sensor plate</t>
    <phoneticPr fontId="18" type="noConversion"/>
  </si>
  <si>
    <t>Shutter</t>
    <phoneticPr fontId="18" type="noConversion"/>
  </si>
  <si>
    <t>SLA-M2890PN</t>
    <phoneticPr fontId="18" type="noConversion"/>
  </si>
  <si>
    <t>MEGA PIXEL LENS</t>
    <phoneticPr fontId="18" type="noConversion"/>
  </si>
  <si>
    <t>2.8~9mm</t>
    <phoneticPr fontId="18" type="noConversion"/>
  </si>
  <si>
    <t>SNP-5000</t>
    <phoneticPr fontId="18" type="noConversion"/>
  </si>
  <si>
    <t>SNP-60307T</t>
    <phoneticPr fontId="18" type="noConversion"/>
  </si>
  <si>
    <t>SOH1500</t>
  </si>
  <si>
    <t>SPE-110</t>
    <phoneticPr fontId="18" type="noConversion"/>
  </si>
  <si>
    <t>ENCODER</t>
    <phoneticPr fontId="18" type="noConversion"/>
  </si>
  <si>
    <t>SPH1200</t>
  </si>
  <si>
    <t>SPT-1200</t>
    <phoneticPr fontId="18" type="noConversion"/>
  </si>
  <si>
    <t>SPT-7080B</t>
    <phoneticPr fontId="22" type="noConversion"/>
  </si>
  <si>
    <t>PT drive</t>
    <phoneticPr fontId="22" type="noConversion"/>
  </si>
  <si>
    <t>SPT8080BE</t>
    <phoneticPr fontId="18" type="noConversion"/>
  </si>
  <si>
    <t>stm32h750ib</t>
    <phoneticPr fontId="18" type="noConversion"/>
  </si>
  <si>
    <t>Micom</t>
    <phoneticPr fontId="18" type="noConversion"/>
  </si>
  <si>
    <t>STP-1200</t>
    <phoneticPr fontId="18" type="noConversion"/>
  </si>
  <si>
    <t>STX-1085</t>
    <phoneticPr fontId="22" type="noConversion"/>
  </si>
  <si>
    <t>SUS316L</t>
  </si>
  <si>
    <t>Switching hub</t>
    <phoneticPr fontId="18" type="noConversion"/>
  </si>
  <si>
    <t>Switching hub bracket</t>
    <phoneticPr fontId="18" type="noConversion"/>
  </si>
  <si>
    <t>Terminal block</t>
    <phoneticPr fontId="18" type="noConversion"/>
  </si>
  <si>
    <t xml:space="preserve">Thermal expert Q1 plus </t>
    <phoneticPr fontId="18" type="noConversion"/>
  </si>
  <si>
    <t>Tri-pod</t>
  </si>
  <si>
    <t>USB 3.0 cable</t>
    <phoneticPr fontId="18" type="noConversion"/>
  </si>
  <si>
    <t>USB to Ethernet 젠더</t>
    <phoneticPr fontId="22" type="noConversion"/>
  </si>
  <si>
    <t>UTP switch</t>
    <phoneticPr fontId="22" type="noConversion"/>
  </si>
  <si>
    <t>VTL-HNC</t>
    <phoneticPr fontId="18" type="noConversion"/>
  </si>
  <si>
    <t>VTL-WM</t>
    <phoneticPr fontId="18" type="noConversion"/>
  </si>
  <si>
    <t>Vurix 128CH</t>
    <phoneticPr fontId="18" type="noConversion"/>
  </si>
  <si>
    <t>Vurix 16CH</t>
    <phoneticPr fontId="18" type="noConversion"/>
  </si>
  <si>
    <t>Vurix 32CH</t>
    <phoneticPr fontId="18" type="noConversion"/>
  </si>
  <si>
    <t>Vurix 64CH</t>
    <phoneticPr fontId="18" type="noConversion"/>
  </si>
  <si>
    <t>VuRix Box</t>
  </si>
  <si>
    <t>VURIX-NVR16RS</t>
    <phoneticPr fontId="18" type="noConversion"/>
  </si>
  <si>
    <t>VURIX-NVR</t>
    <phoneticPr fontId="18" type="noConversion"/>
  </si>
  <si>
    <t>Wall mount</t>
    <phoneticPr fontId="18" type="noConversion"/>
  </si>
  <si>
    <t>Wall mount bracket</t>
    <phoneticPr fontId="18" type="noConversion"/>
  </si>
  <si>
    <t>Window 105x5t</t>
    <phoneticPr fontId="18" type="noConversion"/>
  </si>
  <si>
    <t>Ge window</t>
    <phoneticPr fontId="18" type="noConversion"/>
  </si>
  <si>
    <t>105x5t</t>
    <phoneticPr fontId="18" type="noConversion"/>
  </si>
  <si>
    <t>Window 110x5t</t>
  </si>
  <si>
    <t>110x5t</t>
    <phoneticPr fontId="18" type="noConversion"/>
  </si>
  <si>
    <t>Window 110x6.5t</t>
  </si>
  <si>
    <t>110x6.5t</t>
    <phoneticPr fontId="18" type="noConversion"/>
  </si>
  <si>
    <t>Window 112x5t</t>
  </si>
  <si>
    <t>112x5t</t>
    <phoneticPr fontId="18" type="noConversion"/>
  </si>
  <si>
    <t>Window 30x3t</t>
  </si>
  <si>
    <t>30x3t</t>
    <phoneticPr fontId="18" type="noConversion"/>
  </si>
  <si>
    <t>Window 32x2t</t>
  </si>
  <si>
    <t>32x2t</t>
    <phoneticPr fontId="18" type="noConversion"/>
  </si>
  <si>
    <t>40x3t</t>
  </si>
  <si>
    <t>Window 45x3t</t>
    <phoneticPr fontId="18" type="noConversion"/>
  </si>
  <si>
    <t>45x3t</t>
  </si>
  <si>
    <t>Window 45x5t</t>
    <phoneticPr fontId="18" type="noConversion"/>
  </si>
  <si>
    <t>45x5t</t>
    <phoneticPr fontId="18" type="noConversion"/>
  </si>
  <si>
    <t>Window 50x3t</t>
    <phoneticPr fontId="18" type="noConversion"/>
  </si>
  <si>
    <t>50x3t</t>
    <phoneticPr fontId="18" type="noConversion"/>
  </si>
  <si>
    <t>Window 50x5t</t>
    <phoneticPr fontId="18" type="noConversion"/>
  </si>
  <si>
    <t>50x5t</t>
    <phoneticPr fontId="18" type="noConversion"/>
  </si>
  <si>
    <t>Window 60x3t</t>
  </si>
  <si>
    <t>60x3t</t>
  </si>
  <si>
    <t>Window 60x4t</t>
    <phoneticPr fontId="18" type="noConversion"/>
  </si>
  <si>
    <t>60x4t</t>
  </si>
  <si>
    <t>Window 62x10t</t>
    <phoneticPr fontId="22" type="noConversion"/>
  </si>
  <si>
    <t>Window</t>
    <phoneticPr fontId="18" type="noConversion"/>
  </si>
  <si>
    <t>Window 70x4t</t>
    <phoneticPr fontId="18" type="noConversion"/>
  </si>
  <si>
    <t>70x4t</t>
    <phoneticPr fontId="18" type="noConversion"/>
  </si>
  <si>
    <t>Window 72x4t</t>
  </si>
  <si>
    <t>72x4t</t>
  </si>
  <si>
    <t>85x4t</t>
  </si>
  <si>
    <t>Wiper motor set</t>
    <phoneticPr fontId="22" type="noConversion"/>
  </si>
  <si>
    <t>Wiper rubber</t>
    <phoneticPr fontId="18" type="noConversion"/>
  </si>
  <si>
    <t>WT-TX30 PAN &amp; TILT MOTOR</t>
  </si>
  <si>
    <t>X 100mm-motor XGA</t>
  </si>
  <si>
    <t>10mm</t>
    <phoneticPr fontId="18" type="noConversion"/>
  </si>
  <si>
    <t>Motorized-XGA</t>
    <phoneticPr fontId="18" type="noConversion"/>
  </si>
  <si>
    <t>X 35mm XGA</t>
  </si>
  <si>
    <t>X 50mm XGA</t>
  </si>
  <si>
    <t>X 50mm-motor XGA</t>
  </si>
  <si>
    <t>X36 Zoom Module</t>
    <phoneticPr fontId="18" type="noConversion"/>
  </si>
  <si>
    <t>IP Box Camera</t>
    <phoneticPr fontId="18" type="noConversion"/>
  </si>
  <si>
    <t>XNB-6005</t>
    <phoneticPr fontId="18" type="noConversion"/>
  </si>
  <si>
    <t>IP BOX CAMERA 2M</t>
    <phoneticPr fontId="18" type="noConversion"/>
  </si>
  <si>
    <t>XNB-6005-E</t>
    <phoneticPr fontId="18" type="noConversion"/>
  </si>
  <si>
    <t>Box Camera</t>
    <phoneticPr fontId="18" type="noConversion"/>
  </si>
  <si>
    <t>XNZ-L6320</t>
    <phoneticPr fontId="18" type="noConversion"/>
  </si>
  <si>
    <t>XNZ-L6320(E)</t>
    <phoneticPr fontId="18" type="noConversion"/>
  </si>
  <si>
    <t>XRN-2010A</t>
    <phoneticPr fontId="18" type="noConversion"/>
  </si>
  <si>
    <t>NVR 32CH 4TB</t>
    <phoneticPr fontId="18" type="noConversion"/>
  </si>
  <si>
    <t>Y64Z16RHADP8EVT</t>
    <phoneticPr fontId="18" type="noConversion"/>
  </si>
  <si>
    <t>16.0~1030mm</t>
    <phoneticPr fontId="18" type="noConversion"/>
  </si>
  <si>
    <t>Z 20~100mm motor zoom</t>
  </si>
  <si>
    <t>20~225mm</t>
    <phoneticPr fontId="18" type="noConversion"/>
  </si>
  <si>
    <t>Z 20~225mm motor zoom</t>
    <phoneticPr fontId="18" type="noConversion"/>
  </si>
  <si>
    <t>25~225mm</t>
    <phoneticPr fontId="18" type="noConversion"/>
  </si>
  <si>
    <t>Z 25~100mm motor zoom</t>
    <phoneticPr fontId="18" type="noConversion"/>
  </si>
  <si>
    <t>Z 25~125mm motor zoom</t>
    <phoneticPr fontId="18" type="noConversion"/>
  </si>
  <si>
    <t>25~125mm</t>
    <phoneticPr fontId="18" type="noConversion"/>
  </si>
  <si>
    <t>Z 25~225mm motor zoom</t>
  </si>
  <si>
    <t>25~225mm</t>
  </si>
  <si>
    <t>Z 25~75mm motor zoom</t>
    <phoneticPr fontId="18" type="noConversion"/>
  </si>
  <si>
    <t>20~100mm</t>
    <phoneticPr fontId="18" type="noConversion"/>
  </si>
  <si>
    <t>Z 25-850mm motor zoom</t>
    <phoneticPr fontId="18" type="noConversion"/>
  </si>
  <si>
    <t>25-850mm</t>
    <phoneticPr fontId="18" type="noConversion"/>
  </si>
  <si>
    <t>cooled type</t>
    <phoneticPr fontId="18" type="noConversion"/>
  </si>
  <si>
    <t>Z 30~120mm motor zoom</t>
    <phoneticPr fontId="18" type="noConversion"/>
  </si>
  <si>
    <t>30~120mm</t>
    <phoneticPr fontId="18" type="noConversion"/>
  </si>
  <si>
    <t>Z 30~140mm motor zoom</t>
    <phoneticPr fontId="18" type="noConversion"/>
  </si>
  <si>
    <t>30~140mm</t>
    <phoneticPr fontId="18" type="noConversion"/>
  </si>
  <si>
    <t>Z 30~150mm motor zoom</t>
  </si>
  <si>
    <t>30~225mm</t>
  </si>
  <si>
    <t>Z 30~180mm motor zoom</t>
    <phoneticPr fontId="22" type="noConversion"/>
  </si>
  <si>
    <t>30~180mm</t>
    <phoneticPr fontId="22" type="noConversion"/>
  </si>
  <si>
    <t>Z 40~160mm motor zoom</t>
    <phoneticPr fontId="18" type="noConversion"/>
  </si>
  <si>
    <t>40~160mm</t>
    <phoneticPr fontId="18" type="noConversion"/>
  </si>
  <si>
    <t>Z 40-800mm-motor f4.0 zoom lens</t>
    <phoneticPr fontId="22" type="noConversion"/>
  </si>
  <si>
    <t>Z 41-825mm-motor f4.0 zoom</t>
    <phoneticPr fontId="22" type="noConversion"/>
  </si>
  <si>
    <t>ZOOM LENS</t>
    <phoneticPr fontId="22" type="noConversion"/>
  </si>
  <si>
    <t>구형 하우징</t>
    <phoneticPr fontId="18" type="noConversion"/>
  </si>
  <si>
    <t>렌즈 교체비</t>
    <phoneticPr fontId="18" type="noConversion"/>
  </si>
  <si>
    <t>보정비</t>
    <phoneticPr fontId="18" type="noConversion"/>
  </si>
  <si>
    <t>수리비</t>
    <phoneticPr fontId="18" type="noConversion"/>
  </si>
  <si>
    <t>은행 수수료</t>
    <phoneticPr fontId="18" type="noConversion"/>
  </si>
  <si>
    <t>이더넷 케이블</t>
    <phoneticPr fontId="18" type="noConversion"/>
  </si>
  <si>
    <t>입금</t>
    <phoneticPr fontId="18" type="noConversion"/>
  </si>
  <si>
    <t>전원 어댑터</t>
    <phoneticPr fontId="18" type="noConversion"/>
  </si>
  <si>
    <t>제작</t>
    <phoneticPr fontId="18" type="noConversion"/>
  </si>
  <si>
    <t>출장비</t>
    <phoneticPr fontId="22" type="noConversion"/>
  </si>
  <si>
    <t>퀵 서비스</t>
    <phoneticPr fontId="18" type="noConversion"/>
  </si>
  <si>
    <t>운송비</t>
    <phoneticPr fontId="18" type="noConversion"/>
  </si>
  <si>
    <t>택배비</t>
    <phoneticPr fontId="22" type="noConversion"/>
  </si>
  <si>
    <t>전자 모듈</t>
    <phoneticPr fontId="22" type="noConversion"/>
  </si>
  <si>
    <t>XGA</t>
    <phoneticPr fontId="22" type="noConversion"/>
  </si>
  <si>
    <t>Module</t>
    <phoneticPr fontId="22" type="noConversion"/>
  </si>
  <si>
    <t>렌즈</t>
    <phoneticPr fontId="18" type="noConversion"/>
  </si>
  <si>
    <t>개발비</t>
    <phoneticPr fontId="22" type="noConversion"/>
  </si>
  <si>
    <t>인건비</t>
    <phoneticPr fontId="22" type="noConversion"/>
  </si>
  <si>
    <t>개발비</t>
    <phoneticPr fontId="18" type="noConversion"/>
  </si>
  <si>
    <t>재료비</t>
    <phoneticPr fontId="22" type="noConversion"/>
  </si>
  <si>
    <t>시제품 제작비</t>
    <phoneticPr fontId="22" type="noConversion"/>
  </si>
  <si>
    <t>재작업</t>
    <phoneticPr fontId="22" type="noConversion"/>
  </si>
  <si>
    <t>IC 류</t>
    <phoneticPr fontId="22" type="noConversion"/>
  </si>
  <si>
    <t>LWG22, Wire, Clamp 외 9종</t>
    <phoneticPr fontId="22" type="noConversion"/>
  </si>
  <si>
    <t>Quotation</t>
    <phoneticPr fontId="18" type="noConversion"/>
  </si>
  <si>
    <t>Customer :</t>
    <phoneticPr fontId="18" type="noConversion"/>
  </si>
  <si>
    <t>Item</t>
    <phoneticPr fontId="18" type="noConversion"/>
  </si>
  <si>
    <t>Model name</t>
    <phoneticPr fontId="18" type="noConversion"/>
  </si>
  <si>
    <t>Unit Price</t>
    <phoneticPr fontId="18" type="noConversion"/>
  </si>
  <si>
    <t>Amount</t>
    <phoneticPr fontId="18" type="noConversion"/>
  </si>
  <si>
    <t>Total</t>
    <phoneticPr fontId="18" type="noConversion"/>
  </si>
  <si>
    <t>NOTE</t>
    <phoneticPr fontId="18" type="noConversion"/>
  </si>
  <si>
    <t>1. Price Validity: 30 days</t>
    <phoneticPr fontId="22" type="noConversion"/>
  </si>
  <si>
    <t>President</t>
    <phoneticPr fontId="18" type="noConversion"/>
  </si>
  <si>
    <t>2. Payment term: T/T in advance</t>
    <phoneticPr fontId="22" type="noConversion"/>
  </si>
  <si>
    <t>3. Price term: EXW</t>
    <phoneticPr fontId="22" type="noConversion"/>
  </si>
  <si>
    <t>4. Delivery : 4 weeks after order confirmation (T/T)</t>
    <phoneticPr fontId="22" type="noConversion"/>
  </si>
  <si>
    <t>5. Warranty: 2 years conditional</t>
    <phoneticPr fontId="22" type="noConversion"/>
  </si>
  <si>
    <t>견적서</t>
    <phoneticPr fontId="18" type="noConversion"/>
  </si>
  <si>
    <t>옵션</t>
    <phoneticPr fontId="18" type="noConversion"/>
  </si>
  <si>
    <t>수량</t>
    <phoneticPr fontId="18" type="noConversion"/>
  </si>
  <si>
    <t>단가</t>
    <phoneticPr fontId="18" type="noConversion"/>
  </si>
  <si>
    <t>금액</t>
    <phoneticPr fontId="18" type="noConversion"/>
  </si>
  <si>
    <t>합계</t>
    <phoneticPr fontId="18" type="noConversion"/>
  </si>
  <si>
    <t>합계(VAT포함)</t>
    <phoneticPr fontId="18" type="noConversion"/>
  </si>
  <si>
    <t>문서번호</t>
    <phoneticPr fontId="12" type="noConversion"/>
  </si>
  <si>
    <t>일렬번호</t>
    <phoneticPr fontId="12" type="noConversion"/>
  </si>
  <si>
    <t>Wiper arm for CTP-VAC2</t>
    <phoneticPr fontId="12" type="noConversion"/>
  </si>
  <si>
    <t>품명</t>
    <phoneticPr fontId="12" type="noConversion"/>
  </si>
  <si>
    <t>Description</t>
    <phoneticPr fontId="12" type="noConversion"/>
  </si>
  <si>
    <t>G 8mm_Normal</t>
  </si>
  <si>
    <t>G 8mm_Medium</t>
  </si>
  <si>
    <t>G 20mm_Normal</t>
  </si>
  <si>
    <t>G 20mm_High</t>
  </si>
  <si>
    <t>G 4.8mm_Medium</t>
  </si>
  <si>
    <t>G 4.8mm_Normal</t>
  </si>
  <si>
    <t>G 35mm_High</t>
  </si>
  <si>
    <t>M 25mm-motor_Normal</t>
  </si>
  <si>
    <t>M 8mm-motor_Medium</t>
  </si>
  <si>
    <t>M 150mm-motor_High</t>
  </si>
  <si>
    <t>M 25mm-motor_High</t>
  </si>
  <si>
    <t>M 20mm-motor_Normal</t>
  </si>
  <si>
    <t>M 20mm-motor_High</t>
  </si>
  <si>
    <t>A 4.7mm_Medium</t>
  </si>
  <si>
    <t>M 8mm-motor_High</t>
  </si>
  <si>
    <t>M 50mm-motor_Normal</t>
  </si>
  <si>
    <t>M 4.8mm-motor_Medium</t>
  </si>
  <si>
    <t>Thermal camera</t>
  </si>
  <si>
    <t>Others</t>
    <phoneticPr fontId="12" type="noConversion"/>
  </si>
  <si>
    <t>Service</t>
    <phoneticPr fontId="12" type="noConversion"/>
  </si>
  <si>
    <t>Ge window</t>
    <phoneticPr fontId="12" type="noConversion"/>
  </si>
  <si>
    <t>Housing</t>
    <phoneticPr fontId="12" type="noConversion"/>
  </si>
  <si>
    <t>Repairment</t>
    <phoneticPr fontId="12" type="noConversion"/>
  </si>
  <si>
    <t xml:space="preserve">구매자: </t>
    <phoneticPr fontId="18" type="noConversion"/>
  </si>
  <si>
    <t xml:space="preserve">발행일: </t>
    <phoneticPr fontId="18" type="noConversion"/>
  </si>
  <si>
    <t xml:space="preserve">문서번호: </t>
    <phoneticPr fontId="18" type="noConversion"/>
  </si>
  <si>
    <t>비고</t>
    <phoneticPr fontId="18" type="noConversion"/>
  </si>
  <si>
    <t>온도/옵션</t>
    <phoneticPr fontId="11" type="noConversion"/>
  </si>
  <si>
    <t>일렬번호</t>
    <phoneticPr fontId="13" type="noConversion"/>
  </si>
  <si>
    <t>문서번호</t>
    <phoneticPr fontId="13" type="noConversion"/>
  </si>
  <si>
    <t>Description</t>
    <phoneticPr fontId="13" type="noConversion"/>
  </si>
  <si>
    <t>A 19mm_Normal</t>
    <phoneticPr fontId="13" type="noConversion"/>
  </si>
  <si>
    <t>A 35mm_Normal</t>
  </si>
  <si>
    <t>A 4.0_Normal</t>
  </si>
  <si>
    <t>A 4.7mm_Extreme</t>
  </si>
  <si>
    <t>A 8.1mm_Normal</t>
  </si>
  <si>
    <t>G 12mm_High</t>
  </si>
  <si>
    <t>M 12mm-motor_Normal</t>
  </si>
  <si>
    <t>M 8mm-motor_Normal</t>
  </si>
  <si>
    <t>_</t>
  </si>
  <si>
    <t>A 8mm</t>
    <phoneticPr fontId="13" type="noConversion"/>
  </si>
  <si>
    <t>M 75mm-motor</t>
    <phoneticPr fontId="13" type="noConversion"/>
  </si>
  <si>
    <t>Z 30-150mm-motor</t>
    <phoneticPr fontId="13" type="noConversion"/>
  </si>
  <si>
    <t>AND</t>
    <phoneticPr fontId="13" type="noConversion"/>
  </si>
  <si>
    <t>CZ600IP</t>
    <phoneticPr fontId="13" type="noConversion"/>
  </si>
  <si>
    <t>TCB-4244A</t>
    <phoneticPr fontId="13" type="noConversion"/>
  </si>
  <si>
    <t>1/2 CMOS 광학 44x, f=6.3-278mm</t>
    <phoneticPr fontId="13" type="noConversion"/>
  </si>
  <si>
    <t>PTZ</t>
    <phoneticPr fontId="13" type="noConversion"/>
  </si>
  <si>
    <t>SNP-60000 series</t>
    <phoneticPr fontId="13" type="noConversion"/>
  </si>
  <si>
    <t>Pan 360, Tilt -90~40도, IP66</t>
    <phoneticPr fontId="13" type="noConversion"/>
  </si>
  <si>
    <t>납품전 완납조건,22사단</t>
    <phoneticPr fontId="13" type="noConversion"/>
  </si>
  <si>
    <t>A 4mm_Normal</t>
    <phoneticPr fontId="13" type="noConversion"/>
  </si>
  <si>
    <t>M 4.8mm-motor_Normal</t>
    <phoneticPr fontId="13" type="noConversion"/>
  </si>
  <si>
    <t>M 8mm-motor_Normal</t>
    <phoneticPr fontId="13" type="noConversion"/>
  </si>
  <si>
    <t>M 12mm-motor_Normal</t>
    <phoneticPr fontId="13" type="noConversion"/>
  </si>
  <si>
    <t>DH-5140SHB</t>
    <phoneticPr fontId="13" type="noConversion"/>
  </si>
  <si>
    <t>품목</t>
    <phoneticPr fontId="18" type="noConversion"/>
  </si>
  <si>
    <t>실화상 카메라</t>
    <phoneticPr fontId="13" type="noConversion"/>
  </si>
  <si>
    <t>렌즈</t>
    <phoneticPr fontId="13" type="noConversion"/>
  </si>
  <si>
    <t>기타</t>
    <phoneticPr fontId="13" type="noConversion"/>
  </si>
  <si>
    <t>열화상 카메라</t>
    <phoneticPr fontId="13" type="noConversion"/>
  </si>
  <si>
    <t>듀얼 카메라</t>
    <phoneticPr fontId="13" type="noConversion"/>
  </si>
  <si>
    <t>하우징</t>
    <phoneticPr fontId="13" type="noConversion"/>
  </si>
  <si>
    <t>윈도우</t>
    <phoneticPr fontId="13" type="noConversion"/>
  </si>
  <si>
    <t>서비스</t>
    <phoneticPr fontId="13" type="noConversion"/>
  </si>
  <si>
    <t>주식회사 프로아테크</t>
    <phoneticPr fontId="18" type="noConversion"/>
  </si>
  <si>
    <t>주식회사 주원</t>
    <phoneticPr fontId="18" type="noConversion"/>
  </si>
  <si>
    <t>박영근 차장님</t>
    <phoneticPr fontId="18" type="noConversion"/>
  </si>
  <si>
    <t>15사단(6685부대)</t>
    <phoneticPr fontId="10" type="noConversion"/>
  </si>
  <si>
    <t>AND</t>
    <phoneticPr fontId="10" type="noConversion"/>
  </si>
  <si>
    <t>SK</t>
    <phoneticPr fontId="10" type="noConversion"/>
  </si>
  <si>
    <t>인사이트파워</t>
    <phoneticPr fontId="10" type="noConversion"/>
  </si>
  <si>
    <t>주식회사 삼성이엔지</t>
    <phoneticPr fontId="10" type="noConversion"/>
  </si>
  <si>
    <t>Israel</t>
    <phoneticPr fontId="18" type="noConversion"/>
  </si>
  <si>
    <t>Videoset</t>
    <phoneticPr fontId="12" type="noConversion"/>
  </si>
  <si>
    <t>발주일</t>
  </si>
  <si>
    <t>Profoma Invoice</t>
    <phoneticPr fontId="18" type="noConversion"/>
  </si>
  <si>
    <t>Description</t>
    <phoneticPr fontId="18" type="noConversion"/>
  </si>
  <si>
    <t>Qty</t>
    <phoneticPr fontId="18" type="noConversion"/>
  </si>
  <si>
    <t>*Estimated delivery date will be 4 weeks from order confirmation</t>
    <phoneticPr fontId="18" type="noConversion"/>
  </si>
  <si>
    <t>Harmonized CODE : 8525899000, ECCN : 6A003.b.4.b. ,Country of Origin: S. Korea</t>
    <phoneticPr fontId="29" type="noConversion"/>
  </si>
  <si>
    <t>Harmonized CODE for AIO320B (9Hz) : 8525899000, ECCN : 6A993.a. ,Country of Origin: S. Korea</t>
    <phoneticPr fontId="29" type="noConversion"/>
  </si>
  <si>
    <t xml:space="preserve"> REMARK</t>
    <phoneticPr fontId="10" type="noConversion"/>
  </si>
  <si>
    <r>
      <t xml:space="preserve">  1. The exporter of the products covered by this document customs authorisation No 010-13-200210</t>
    </r>
    <r>
      <rPr>
        <sz val="9"/>
        <color indexed="8"/>
        <rFont val="Arial"/>
        <family val="2"/>
      </rPr>
      <t xml:space="preserve"> declares that, </t>
    </r>
  </si>
  <si>
    <t xml:space="preserve">      except where otherwise clearly indicated, these products are of Korea preferential origin.</t>
  </si>
  <si>
    <t xml:space="preserve">  2. INCOTERMS : EXW(Door-To-Door Shipping)</t>
  </si>
  <si>
    <t xml:space="preserve">  3. Bank transaction fee shall be paid by customer.</t>
  </si>
  <si>
    <t xml:space="preserve">  4. Warranty terms</t>
  </si>
  <si>
    <t xml:space="preserve">      (1) It is warranted by COX against defective workmanship or materials for one full year from date of shipment.</t>
  </si>
  <si>
    <t xml:space="preserve">      (2) Warranty for the 2nd year shall be subjected to restriction.</t>
  </si>
  <si>
    <t xml:space="preserve">          1) Cost for parts requiried for repairing, except sensor, shall not be charged. </t>
  </si>
  <si>
    <t xml:space="preserve">          2) Labor cost for repairing shall not be charged.</t>
    <phoneticPr fontId="29" type="noConversion"/>
  </si>
  <si>
    <t xml:space="preserve">          3) One way freight cost shall be born by distributor.</t>
  </si>
  <si>
    <t xml:space="preserve"> 5. Payment is proceeded by 100% T/T in advance</t>
    <phoneticPr fontId="29" type="noConversion"/>
  </si>
  <si>
    <t xml:space="preserve"> Bank Information</t>
  </si>
  <si>
    <t xml:space="preserve">   Bank name: Industrial Bank of Korea</t>
    <phoneticPr fontId="10" type="noConversion"/>
  </si>
  <si>
    <t xml:space="preserve">   Bank branch: Bundang Parkview Branch</t>
    <phoneticPr fontId="10" type="noConversion"/>
  </si>
  <si>
    <t xml:space="preserve">                            Jungja-Dong, Sungnam, Gyeonggi, Korea</t>
    <phoneticPr fontId="10" type="noConversion"/>
  </si>
  <si>
    <t xml:space="preserve">   SWIFT Code: IBKOKRSEXXX</t>
    <phoneticPr fontId="10" type="noConversion"/>
  </si>
  <si>
    <t xml:space="preserve">   Account No.: 420-043389-56-00010</t>
    <phoneticPr fontId="10" type="noConversion"/>
  </si>
  <si>
    <t xml:space="preserve">          BUYER AUTHORIZED SIGNATURE</t>
  </si>
  <si>
    <t>SELLER AUTHORIZED SIGNATURE</t>
  </si>
  <si>
    <t>Bill to</t>
    <phoneticPr fontId="18" type="noConversion"/>
  </si>
  <si>
    <t xml:space="preserve">Date: </t>
    <phoneticPr fontId="18" type="noConversion"/>
  </si>
  <si>
    <t xml:space="preserve">Ref: </t>
    <phoneticPr fontId="18" type="noConversion"/>
  </si>
  <si>
    <t xml:space="preserve">From: </t>
    <phoneticPr fontId="18" type="noConversion"/>
  </si>
  <si>
    <t xml:space="preserve">To: </t>
    <phoneticPr fontId="18" type="noConversion"/>
  </si>
  <si>
    <t>시리얼 기재란</t>
    <phoneticPr fontId="18" type="noConversion"/>
  </si>
  <si>
    <t>기타요청사항</t>
    <phoneticPr fontId="18" type="noConversion"/>
  </si>
  <si>
    <t>상세</t>
    <phoneticPr fontId="18" type="noConversion"/>
  </si>
  <si>
    <t>품목명</t>
    <phoneticPr fontId="18" type="noConversion"/>
  </si>
  <si>
    <t>Num</t>
    <phoneticPr fontId="18" type="noConversion"/>
  </si>
  <si>
    <t>주        소</t>
    <phoneticPr fontId="22" type="noConversion"/>
  </si>
  <si>
    <t>운   송   계   정</t>
    <phoneticPr fontId="18" type="noConversion"/>
  </si>
  <si>
    <t>형        태</t>
  </si>
  <si>
    <t>연      락      처</t>
  </si>
  <si>
    <t>생산부</t>
    <phoneticPr fontId="22" type="noConversion"/>
  </si>
  <si>
    <t>수        신</t>
  </si>
  <si>
    <t>출고희망일</t>
  </si>
  <si>
    <t>출고요청일</t>
  </si>
  <si>
    <t>업      체      명</t>
    <phoneticPr fontId="18" type="noConversion"/>
  </si>
  <si>
    <t>운   송   방   법</t>
    <phoneticPr fontId="18" type="noConversion"/>
  </si>
  <si>
    <t>-</t>
    <phoneticPr fontId="18" type="noConversion"/>
  </si>
  <si>
    <t>판매</t>
    <phoneticPr fontId="18" type="noConversion"/>
  </si>
  <si>
    <t>번호</t>
    <phoneticPr fontId="18" type="noConversion"/>
  </si>
  <si>
    <t>구분</t>
    <phoneticPr fontId="18" type="noConversion"/>
  </si>
  <si>
    <t>DH5100-SHBD</t>
    <phoneticPr fontId="12" type="noConversion"/>
  </si>
  <si>
    <t>GC-XBN-T5L</t>
    <phoneticPr fontId="12" type="noConversion"/>
  </si>
  <si>
    <t>삼성전기</t>
  </si>
  <si>
    <t>삼성전기</t>
    <phoneticPr fontId="18" type="noConversion"/>
  </si>
  <si>
    <t>경기도 수원시 영통구 매영로 150</t>
    <phoneticPr fontId="18" type="noConversion"/>
  </si>
  <si>
    <t>허정인 프로님</t>
    <phoneticPr fontId="18" type="noConversion"/>
  </si>
  <si>
    <t>july.s2.heo@samsung.com</t>
  </si>
  <si>
    <t>COX640AVSEM</t>
    <phoneticPr fontId="13" type="noConversion"/>
  </si>
  <si>
    <t>VGA(640*512), 15um, NETD :&lt;20mK@without lens, F No 4.0</t>
    <phoneticPr fontId="13" type="noConversion"/>
  </si>
  <si>
    <t>-</t>
    <phoneticPr fontId="13" type="noConversion"/>
  </si>
  <si>
    <t>113-86-39237</t>
    <phoneticPr fontId="18" type="noConversion"/>
  </si>
  <si>
    <t>주식회사 콕스</t>
    <phoneticPr fontId="18" type="noConversion"/>
  </si>
  <si>
    <t>조덕상</t>
    <phoneticPr fontId="18" type="noConversion"/>
  </si>
  <si>
    <t>거래명세서</t>
    <phoneticPr fontId="18" type="noConversion"/>
  </si>
  <si>
    <t>규격</t>
    <phoneticPr fontId="18" type="noConversion"/>
  </si>
  <si>
    <t>상호</t>
    <phoneticPr fontId="18" type="noConversion"/>
  </si>
  <si>
    <t>성명</t>
    <phoneticPr fontId="18" type="noConversion"/>
  </si>
  <si>
    <t>공 급   자</t>
    <phoneticPr fontId="18" type="noConversion"/>
  </si>
  <si>
    <t>Tel</t>
    <phoneticPr fontId="18" type="noConversion"/>
  </si>
  <si>
    <t>사업자등록번호</t>
    <phoneticPr fontId="18" type="noConversion"/>
  </si>
  <si>
    <t xml:space="preserve">서울시 구로구 디지털로 242 
한화비즈메트로 1차 810호 </t>
    <phoneticPr fontId="18" type="noConversion"/>
  </si>
  <si>
    <t>귀중</t>
    <phoneticPr fontId="18" type="noConversion"/>
  </si>
  <si>
    <t>계</t>
    <phoneticPr fontId="18" type="noConversion"/>
  </si>
  <si>
    <t xml:space="preserve"> 아래와 같이 계산합니다.</t>
    <phoneticPr fontId="18" type="noConversion"/>
  </si>
  <si>
    <t>공급가액</t>
    <phoneticPr fontId="18" type="noConversion"/>
  </si>
  <si>
    <t>세액</t>
    <phoneticPr fontId="18" type="noConversion"/>
  </si>
  <si>
    <t>(공급가액+세액)</t>
    <phoneticPr fontId="18" type="noConversion"/>
  </si>
  <si>
    <t>13mm lens</t>
    <phoneticPr fontId="13" type="noConversion"/>
  </si>
  <si>
    <t>인수자</t>
    <phoneticPr fontId="14" type="noConversion"/>
  </si>
  <si>
    <t>(인)</t>
    <phoneticPr fontId="14" type="noConversion"/>
  </si>
  <si>
    <t>해당 물품은 산업통상자원부 전략물자수출입고시에 고시된 전략물자로써, 
해외 수출 시 전략물자관리원의 수출 허가를 받아야 합니다.</t>
    <phoneticPr fontId="18" type="noConversion"/>
  </si>
  <si>
    <t>PRICE FOR CAMERA ONLY</t>
    <phoneticPr fontId="18" type="noConversion"/>
  </si>
  <si>
    <t>IMI TECH-Cox 완제품 할인폭</t>
    <phoneticPr fontId="22" type="noConversion"/>
  </si>
  <si>
    <t>별도 가격 업체 리스트</t>
    <phoneticPr fontId="18" type="noConversion"/>
  </si>
  <si>
    <t>PRICE FOR 화신텍</t>
    <phoneticPr fontId="18" type="noConversion"/>
  </si>
  <si>
    <t>Model</t>
    <phoneticPr fontId="18" type="noConversion"/>
  </si>
  <si>
    <t>원가</t>
    <phoneticPr fontId="18" type="noConversion"/>
  </si>
  <si>
    <t>이익율</t>
    <phoneticPr fontId="18" type="noConversion"/>
  </si>
  <si>
    <t>판매가</t>
    <phoneticPr fontId="18" type="noConversion"/>
  </si>
  <si>
    <t>아시안브릿지 V 시리즈(피에조)/낱개가격</t>
    <phoneticPr fontId="22" type="noConversion"/>
  </si>
  <si>
    <t>아시안브릿지 V 시리즈(피에조)/50개 기준</t>
    <phoneticPr fontId="22" type="noConversion"/>
  </si>
  <si>
    <t>보안모델: 28%
온도모델: 38%</t>
    <phoneticPr fontId="22" type="noConversion"/>
  </si>
  <si>
    <t>Offer Date</t>
    <phoneticPr fontId="18" type="noConversion"/>
  </si>
  <si>
    <t>제품</t>
    <phoneticPr fontId="22" type="noConversion"/>
  </si>
  <si>
    <t>사양</t>
    <phoneticPr fontId="22" type="noConversion"/>
  </si>
  <si>
    <t>화신텍 2015 가격</t>
    <phoneticPr fontId="22" type="noConversion"/>
  </si>
  <si>
    <t>CG320</t>
    <phoneticPr fontId="18" type="noConversion"/>
  </si>
  <si>
    <t>Digital Watchdog</t>
    <phoneticPr fontId="18" type="noConversion"/>
  </si>
  <si>
    <t>CX640 Body</t>
    <phoneticPr fontId="22" type="noConversion"/>
  </si>
  <si>
    <t>CG320IP</t>
    <phoneticPr fontId="18" type="noConversion"/>
  </si>
  <si>
    <t>GIT System</t>
    <phoneticPr fontId="18" type="noConversion"/>
  </si>
  <si>
    <t>CX600 Body</t>
    <phoneticPr fontId="22" type="noConversion"/>
  </si>
  <si>
    <t xml:space="preserve">Lens 200mm </t>
    <phoneticPr fontId="22" type="noConversion"/>
  </si>
  <si>
    <t>CG640</t>
    <phoneticPr fontId="18" type="noConversion"/>
  </si>
  <si>
    <t>China Hope Wish</t>
    <phoneticPr fontId="18" type="noConversion"/>
  </si>
  <si>
    <t>CX300 Body</t>
    <phoneticPr fontId="22" type="noConversion"/>
  </si>
  <si>
    <t xml:space="preserve">Lens 200mm </t>
  </si>
  <si>
    <t>CG640IP</t>
    <phoneticPr fontId="18" type="noConversion"/>
  </si>
  <si>
    <t>Instonic</t>
    <phoneticPr fontId="18" type="noConversion"/>
  </si>
  <si>
    <t>CX610 Body</t>
    <phoneticPr fontId="22" type="noConversion"/>
  </si>
  <si>
    <t>lens 250mm</t>
    <phoneticPr fontId="22" type="noConversion"/>
  </si>
  <si>
    <t>CG300</t>
    <phoneticPr fontId="18" type="noConversion"/>
  </si>
  <si>
    <t>PELCO</t>
    <phoneticPr fontId="18" type="noConversion"/>
  </si>
  <si>
    <t>CX320 Body</t>
    <phoneticPr fontId="22" type="noConversion"/>
  </si>
  <si>
    <t>Lens 250mm</t>
    <phoneticPr fontId="22" type="noConversion"/>
  </si>
  <si>
    <t>CG300IP</t>
    <phoneticPr fontId="18" type="noConversion"/>
  </si>
  <si>
    <t>AXIOM</t>
    <phoneticPr fontId="18" type="noConversion"/>
  </si>
  <si>
    <t>Optic Zoom 25~75</t>
    <phoneticPr fontId="22" type="noConversion"/>
  </si>
  <si>
    <t>CG600</t>
    <phoneticPr fontId="18" type="noConversion"/>
  </si>
  <si>
    <t>Tanz Security</t>
    <phoneticPr fontId="18" type="noConversion"/>
  </si>
  <si>
    <t>Optic Zoom 30~90</t>
    <phoneticPr fontId="22" type="noConversion"/>
  </si>
  <si>
    <t>CG600IP</t>
    <phoneticPr fontId="18" type="noConversion"/>
  </si>
  <si>
    <t>새론 SNI</t>
    <phoneticPr fontId="18" type="noConversion"/>
  </si>
  <si>
    <t>Optic Zoom 30~120</t>
    <phoneticPr fontId="22" type="noConversion"/>
  </si>
  <si>
    <t>CX1000</t>
    <phoneticPr fontId="18" type="noConversion"/>
  </si>
  <si>
    <t>IMI Tech</t>
    <phoneticPr fontId="18" type="noConversion"/>
  </si>
  <si>
    <t>Optic Zoom 30~150</t>
    <phoneticPr fontId="22" type="noConversion"/>
  </si>
  <si>
    <t>CX1000IP</t>
    <phoneticPr fontId="18" type="noConversion"/>
  </si>
  <si>
    <t>A-Bridge(테크윈)</t>
    <phoneticPr fontId="18" type="noConversion"/>
  </si>
  <si>
    <t>원우</t>
    <phoneticPr fontId="18" type="noConversion"/>
  </si>
  <si>
    <t>Pergam Russia</t>
    <phoneticPr fontId="18" type="noConversion"/>
  </si>
  <si>
    <t>Pergam Ukrain</t>
    <phoneticPr fontId="18" type="noConversion"/>
  </si>
  <si>
    <t>하이트론(EOC)</t>
    <phoneticPr fontId="18" type="noConversion"/>
  </si>
  <si>
    <t>CBC Business</t>
    <phoneticPr fontId="18" type="noConversion"/>
  </si>
  <si>
    <t>RS-485 렌즈모터 보드</t>
    <phoneticPr fontId="22" type="noConversion"/>
  </si>
  <si>
    <t>렌즈 구매가</t>
    <phoneticPr fontId="22" type="noConversion"/>
  </si>
  <si>
    <t>렌즈 판매가</t>
    <phoneticPr fontId="22" type="noConversion"/>
  </si>
  <si>
    <t>N/H : $150</t>
    <phoneticPr fontId="22" type="noConversion"/>
  </si>
  <si>
    <t>IP : $330</t>
  </si>
  <si>
    <t>resolution</t>
    <phoneticPr fontId="18" type="noConversion"/>
  </si>
  <si>
    <t xml:space="preserve">Lens size </t>
    <phoneticPr fontId="22" type="noConversion"/>
  </si>
  <si>
    <t>lens type</t>
    <phoneticPr fontId="22" type="noConversion"/>
  </si>
  <si>
    <t>CG320 Normal</t>
    <phoneticPr fontId="18" type="noConversion"/>
  </si>
  <si>
    <t>CG320 High</t>
    <phoneticPr fontId="18" type="noConversion"/>
  </si>
  <si>
    <t>CG320IP Normal</t>
    <phoneticPr fontId="18" type="noConversion"/>
  </si>
  <si>
    <t>CG320IP High</t>
    <phoneticPr fontId="18" type="noConversion"/>
  </si>
  <si>
    <t>CG300</t>
    <phoneticPr fontId="22" type="noConversion"/>
  </si>
  <si>
    <t>CG300IP</t>
    <phoneticPr fontId="22" type="noConversion"/>
  </si>
  <si>
    <t>CG640 Normal</t>
    <phoneticPr fontId="18" type="noConversion"/>
  </si>
  <si>
    <t>CG640 High</t>
    <phoneticPr fontId="18" type="noConversion"/>
  </si>
  <si>
    <t>CG640IP Normal</t>
    <phoneticPr fontId="18" type="noConversion"/>
  </si>
  <si>
    <t>CG640IP High</t>
    <phoneticPr fontId="18" type="noConversion"/>
  </si>
  <si>
    <t>CG600</t>
    <phoneticPr fontId="22" type="noConversion"/>
  </si>
  <si>
    <t>CG600IP</t>
    <phoneticPr fontId="22" type="noConversion"/>
  </si>
  <si>
    <t xml:space="preserve">384x288 </t>
    <phoneticPr fontId="18" type="noConversion"/>
  </si>
  <si>
    <t>3.2mm f0.8</t>
  </si>
  <si>
    <t>manual</t>
  </si>
  <si>
    <t xml:space="preserve">640x480 </t>
    <phoneticPr fontId="18" type="noConversion"/>
  </si>
  <si>
    <t>Micro-lens</t>
  </si>
  <si>
    <t>2.6mm f1.4</t>
  </si>
  <si>
    <t>3.8mm f1.0</t>
  </si>
  <si>
    <t>GE Window 해외 Offer 가격</t>
    <phoneticPr fontId="22" type="noConversion"/>
  </si>
  <si>
    <t>4.8mm f1.0</t>
  </si>
  <si>
    <t>GE Window</t>
    <phoneticPr fontId="22" type="noConversion"/>
  </si>
  <si>
    <t>2023/08/02 가격</t>
    <phoneticPr fontId="22" type="noConversion"/>
  </si>
  <si>
    <t> Price(10pcs)</t>
  </si>
  <si>
    <t>Unit price</t>
    <phoneticPr fontId="22" type="noConversion"/>
  </si>
  <si>
    <t>8mm f0.8</t>
  </si>
  <si>
    <t>Diameter(mm) </t>
  </si>
  <si>
    <t> Thickness(mm)</t>
  </si>
  <si>
    <r>
      <t>10%</t>
    </r>
    <r>
      <rPr>
        <sz val="11"/>
        <rFont val="돋움"/>
        <family val="3"/>
        <charset val="129"/>
      </rPr>
      <t>만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업시키면</t>
    </r>
    <phoneticPr fontId="22" type="noConversion"/>
  </si>
  <si>
    <t>motorized</t>
    <phoneticPr fontId="22" type="noConversion"/>
  </si>
  <si>
    <t> 30</t>
  </si>
  <si>
    <t> 3</t>
  </si>
  <si>
    <t> 40</t>
  </si>
  <si>
    <t>motorized</t>
  </si>
  <si>
    <t> 60</t>
  </si>
  <si>
    <t> 4</t>
  </si>
  <si>
    <t> 85</t>
  </si>
  <si>
    <t> 107</t>
  </si>
  <si>
    <t> 5</t>
  </si>
  <si>
    <t> 6</t>
  </si>
  <si>
    <t> 110</t>
  </si>
  <si>
    <t>발열자 선별 카메라 표준가</t>
    <phoneticPr fontId="22" type="noConversion"/>
  </si>
  <si>
    <t>AIO320B</t>
    <phoneticPr fontId="22" type="noConversion"/>
  </si>
  <si>
    <t>100mm f1.2</t>
  </si>
  <si>
    <t>CF320</t>
    <phoneticPr fontId="22" type="noConversion"/>
  </si>
  <si>
    <t>110mm f1.0</t>
  </si>
  <si>
    <t>CF320B</t>
    <phoneticPr fontId="22" type="noConversion"/>
  </si>
  <si>
    <t>130mm f1.0</t>
  </si>
  <si>
    <t>CB55</t>
    <phoneticPr fontId="22" type="noConversion"/>
  </si>
  <si>
    <t>130mm f1.2</t>
  </si>
  <si>
    <t>150mm f1.0</t>
  </si>
  <si>
    <t>렌즈별 적정 윈도우 사이즈</t>
    <phoneticPr fontId="22" type="noConversion"/>
  </si>
  <si>
    <t>200mm f1.0</t>
  </si>
  <si>
    <t>렌즈</t>
    <phoneticPr fontId="22" type="noConversion"/>
  </si>
  <si>
    <t>윈도우</t>
    <phoneticPr fontId="22" type="noConversion"/>
  </si>
  <si>
    <t>200mm f1.3</t>
  </si>
  <si>
    <t>VGA</t>
    <phoneticPr fontId="22" type="noConversion"/>
  </si>
  <si>
    <t>200mm f1.4</t>
  </si>
  <si>
    <t>A 8.1mm</t>
    <phoneticPr fontId="22" type="noConversion"/>
  </si>
  <si>
    <t>40x3t</t>
    <phoneticPr fontId="22" type="noConversion"/>
  </si>
  <si>
    <t>미지원</t>
    <phoneticPr fontId="22" type="noConversion"/>
  </si>
  <si>
    <t>210mm f1.3</t>
  </si>
  <si>
    <t>A 13mm</t>
    <phoneticPr fontId="22" type="noConversion"/>
  </si>
  <si>
    <t>250mm f1.0</t>
  </si>
  <si>
    <t>A 15mm</t>
    <phoneticPr fontId="22" type="noConversion"/>
  </si>
  <si>
    <t>250mm f1.2</t>
  </si>
  <si>
    <t>A 19mm</t>
    <phoneticPr fontId="22" type="noConversion"/>
  </si>
  <si>
    <t>250mm f1.5</t>
  </si>
  <si>
    <t>A 25mm</t>
    <phoneticPr fontId="22" type="noConversion"/>
  </si>
  <si>
    <t>300mm f1.3</t>
  </si>
  <si>
    <t>A 35mm</t>
    <phoneticPr fontId="22" type="noConversion"/>
  </si>
  <si>
    <t>15mm-60mm</t>
  </si>
  <si>
    <t>f1.0 zoom</t>
  </si>
  <si>
    <t>G 4.8mm</t>
    <phoneticPr fontId="22" type="noConversion"/>
  </si>
  <si>
    <t>60x4t</t>
    <phoneticPr fontId="22" type="noConversion"/>
  </si>
  <si>
    <t>20mm-60mm</t>
  </si>
  <si>
    <t>M 4.8mm</t>
    <phoneticPr fontId="22" type="noConversion"/>
  </si>
  <si>
    <t>25mm-75mm</t>
  </si>
  <si>
    <t>f0.95 zoom</t>
  </si>
  <si>
    <t>G 8mm</t>
    <phoneticPr fontId="22" type="noConversion"/>
  </si>
  <si>
    <t>25mm-100mm</t>
  </si>
  <si>
    <t>M 8mm</t>
    <phoneticPr fontId="22" type="noConversion"/>
  </si>
  <si>
    <t>25mm-225mm</t>
  </si>
  <si>
    <t>f1.4 zoom</t>
  </si>
  <si>
    <t>G 12mm</t>
    <phoneticPr fontId="22" type="noConversion"/>
  </si>
  <si>
    <t>f1.5 zoom</t>
  </si>
  <si>
    <t>M 12mm</t>
    <phoneticPr fontId="22" type="noConversion"/>
  </si>
  <si>
    <t>30mm-90mm</t>
    <phoneticPr fontId="22" type="noConversion"/>
  </si>
  <si>
    <t>G 20mm</t>
    <phoneticPr fontId="22" type="noConversion"/>
  </si>
  <si>
    <t>30mm-120mm</t>
  </si>
  <si>
    <t>30mm-90mm</t>
  </si>
  <si>
    <t>M 20mm</t>
    <phoneticPr fontId="22" type="noConversion"/>
  </si>
  <si>
    <t>30mm-150mm</t>
  </si>
  <si>
    <t>f1.2 zoom</t>
  </si>
  <si>
    <t>G 35mm</t>
    <phoneticPr fontId="22" type="noConversion"/>
  </si>
  <si>
    <t>37.5-150mm</t>
  </si>
  <si>
    <t>M 35mm</t>
    <phoneticPr fontId="22" type="noConversion"/>
  </si>
  <si>
    <t>G 50mm</t>
    <phoneticPr fontId="22" type="noConversion"/>
  </si>
  <si>
    <t>10-50mm</t>
  </si>
  <si>
    <t>f0.7/f1.0 zoom</t>
  </si>
  <si>
    <t>M 50mm</t>
    <phoneticPr fontId="22" type="noConversion"/>
  </si>
  <si>
    <t>15-60mm</t>
  </si>
  <si>
    <t>f0.8/f1.0 zoom</t>
  </si>
  <si>
    <t>G 75mm</t>
    <phoneticPr fontId="22" type="noConversion"/>
  </si>
  <si>
    <t>85x4t</t>
    <phoneticPr fontId="22" type="noConversion"/>
  </si>
  <si>
    <t>25-75mm</t>
  </si>
  <si>
    <t>M 75mm</t>
    <phoneticPr fontId="22" type="noConversion"/>
  </si>
  <si>
    <t>25-100mm</t>
  </si>
  <si>
    <t>f0.9/f1.1 zoom</t>
  </si>
  <si>
    <t>25-125mm</t>
  </si>
  <si>
    <t>f0.8/1.2 zoom</t>
  </si>
  <si>
    <t>30-120mm</t>
  </si>
  <si>
    <t>30-150mm</t>
  </si>
  <si>
    <t>f0.85/1.2 zoom</t>
  </si>
  <si>
    <t>40-160mm</t>
  </si>
  <si>
    <t>f0.9/f1.2 zoom</t>
  </si>
  <si>
    <t>25-225mm</t>
  </si>
  <si>
    <t>f0.8/f1.3</t>
  </si>
  <si>
    <t>fisheye lens</t>
    <phoneticPr fontId="22" type="noConversion"/>
  </si>
  <si>
    <t>3.2mm f0.8</t>
    <phoneticPr fontId="22" type="noConversion"/>
  </si>
  <si>
    <t>CG Series Model Prices with Umicore athermalized lenses</t>
    <phoneticPr fontId="22" type="noConversion"/>
  </si>
  <si>
    <t>CG Series Model Prices with Shalom lenses</t>
    <phoneticPr fontId="22" type="noConversion"/>
  </si>
  <si>
    <t>Model</t>
  </si>
  <si>
    <t>CX1000</t>
    <phoneticPr fontId="22" type="noConversion"/>
  </si>
  <si>
    <t>CX1000IP</t>
    <phoneticPr fontId="22" type="noConversion"/>
  </si>
  <si>
    <t xml:space="preserve">384x288 </t>
  </si>
  <si>
    <t>6.8mm f1.41</t>
  </si>
  <si>
    <t>athermalized</t>
  </si>
  <si>
    <t>1024X768</t>
    <phoneticPr fontId="22" type="noConversion"/>
  </si>
  <si>
    <t>manual</t>
    <phoneticPr fontId="22" type="noConversion"/>
  </si>
  <si>
    <t>7.5mm f1.23</t>
  </si>
  <si>
    <t>8.13mm f1.14</t>
  </si>
  <si>
    <t>13.0mm f1.03</t>
  </si>
  <si>
    <t>15mm f1.0</t>
  </si>
  <si>
    <t>16.8mm f1.24</t>
  </si>
  <si>
    <t>19mm f1.03</t>
  </si>
  <si>
    <t>25mm f1.20</t>
  </si>
  <si>
    <t>35mm f1.14</t>
  </si>
  <si>
    <t>130mm f1.0</t>
    <phoneticPr fontId="22" type="noConversion"/>
  </si>
  <si>
    <t>50mm f1.0</t>
  </si>
  <si>
    <t>130mm f1.2</t>
    <phoneticPr fontId="22" type="noConversion"/>
  </si>
  <si>
    <t>75mm f1.1</t>
  </si>
  <si>
    <t>150mm f1.2</t>
    <phoneticPr fontId="22" type="noConversion"/>
  </si>
  <si>
    <t>100mm f1.5</t>
  </si>
  <si>
    <r>
      <t>210mm f1.</t>
    </r>
    <r>
      <rPr>
        <sz val="11"/>
        <color theme="1"/>
        <rFont val="Calibri"/>
        <family val="2"/>
      </rPr>
      <t>3</t>
    </r>
    <phoneticPr fontId="22" type="noConversion"/>
  </si>
  <si>
    <t xml:space="preserve">640x480 </t>
  </si>
  <si>
    <t>300mm f1.3</t>
    <phoneticPr fontId="22" type="noConversion"/>
  </si>
  <si>
    <t>15mm f1.0</t>
    <phoneticPr fontId="22" type="noConversion"/>
  </si>
  <si>
    <t>19mm f1.03</t>
    <phoneticPr fontId="22" type="noConversion"/>
  </si>
  <si>
    <t>25mm f1.20</t>
    <phoneticPr fontId="22" type="noConversion"/>
  </si>
  <si>
    <t>50mm f1.0</t>
    <phoneticPr fontId="22" type="noConversion"/>
  </si>
  <si>
    <t>75mm f1.1</t>
    <phoneticPr fontId="22" type="noConversion"/>
  </si>
  <si>
    <t>100mm f1.5</t>
    <phoneticPr fontId="22" type="noConversion"/>
  </si>
  <si>
    <t>Night vision package</t>
  </si>
  <si>
    <t>384x288  /17µm pitch/,50mK NETD</t>
    <phoneticPr fontId="22" type="noConversion"/>
  </si>
  <si>
    <t>CN300M with monitor</t>
  </si>
  <si>
    <t>CN300M w/o monitor     (w/ external ECU)</t>
    <phoneticPr fontId="22" type="noConversion"/>
  </si>
  <si>
    <t>640x480/17µm pitch/,50mK NETD</t>
  </si>
  <si>
    <t>CN600M with monitor</t>
    <phoneticPr fontId="22" type="noConversion"/>
  </si>
  <si>
    <t>CN600M w/o monitor          (w/ external ECU)</t>
  </si>
  <si>
    <t>Fish-eye(2.2mm f1.0)</t>
    <phoneticPr fontId="22" type="noConversion"/>
  </si>
  <si>
    <t>180° HFOV</t>
    <phoneticPr fontId="22" type="noConversion"/>
  </si>
  <si>
    <t>125° VFOV</t>
    <phoneticPr fontId="22" type="noConversion"/>
  </si>
  <si>
    <t>Fish-eye(2.6mm f1.4)</t>
    <phoneticPr fontId="22" type="noConversion"/>
  </si>
  <si>
    <t>122° HFOV</t>
    <phoneticPr fontId="22" type="noConversion"/>
  </si>
  <si>
    <t>96.9° VFOV</t>
    <phoneticPr fontId="22" type="noConversion"/>
  </si>
  <si>
    <t>146° VFOV</t>
    <phoneticPr fontId="22" type="noConversion"/>
  </si>
  <si>
    <t>96.6° HFOV</t>
    <phoneticPr fontId="22" type="noConversion"/>
  </si>
  <si>
    <t>78.0° VFOV</t>
    <phoneticPr fontId="22" type="noConversion"/>
  </si>
  <si>
    <t>7.5mm f1.2</t>
    <phoneticPr fontId="22" type="noConversion"/>
  </si>
  <si>
    <t>51.1° HFOV</t>
    <phoneticPr fontId="22" type="noConversion"/>
  </si>
  <si>
    <t>39.4° VFOV</t>
    <phoneticPr fontId="22" type="noConversion"/>
  </si>
  <si>
    <t>90.6° HFOV</t>
    <phoneticPr fontId="22" type="noConversion"/>
  </si>
  <si>
    <t>74.5° HFOV</t>
    <phoneticPr fontId="22" type="noConversion"/>
  </si>
  <si>
    <t>8.13mm f1.14</t>
    <phoneticPr fontId="22" type="noConversion"/>
  </si>
  <si>
    <t>47.4° HFOV</t>
    <phoneticPr fontId="22" type="noConversion"/>
  </si>
  <si>
    <t>35.1° VFOV</t>
    <phoneticPr fontId="22" type="noConversion"/>
  </si>
  <si>
    <t>13mm f1.03</t>
    <phoneticPr fontId="22" type="noConversion"/>
  </si>
  <si>
    <t>28.5° HFOV</t>
    <phoneticPr fontId="22" type="noConversion"/>
  </si>
  <si>
    <t>28.5° VFOV</t>
    <phoneticPr fontId="22" type="noConversion"/>
  </si>
  <si>
    <t>24.5° HFOV</t>
    <phoneticPr fontId="22" type="noConversion"/>
  </si>
  <si>
    <t>18.5° VFOV</t>
    <phoneticPr fontId="22" type="noConversion"/>
  </si>
  <si>
    <t>39.8° HFOV</t>
    <phoneticPr fontId="22" type="noConversion"/>
  </si>
  <si>
    <t>30.4° VFOV</t>
    <phoneticPr fontId="22" type="noConversion"/>
  </si>
  <si>
    <t>19.6° HFOV</t>
    <phoneticPr fontId="22" type="noConversion"/>
  </si>
  <si>
    <t>14.7° VFOV</t>
    <phoneticPr fontId="22" type="noConversion"/>
  </si>
  <si>
    <t>32.3° HFOV</t>
    <phoneticPr fontId="22" type="noConversion"/>
  </si>
  <si>
    <t>24.5° VFOV</t>
    <phoneticPr fontId="22" type="noConversion"/>
  </si>
  <si>
    <t>25mm f1.2</t>
    <phoneticPr fontId="22" type="noConversion"/>
  </si>
  <si>
    <t>14.8° HFOV</t>
    <phoneticPr fontId="22" type="noConversion"/>
  </si>
  <si>
    <t>11.2° VFOV</t>
    <phoneticPr fontId="22" type="noConversion"/>
  </si>
  <si>
    <t>24.2° HFOV</t>
    <phoneticPr fontId="22" type="noConversion"/>
  </si>
  <si>
    <t>18.3° VFOV</t>
    <phoneticPr fontId="22" type="noConversion"/>
  </si>
  <si>
    <t>35mm f1.14</t>
    <phoneticPr fontId="22" type="noConversion"/>
  </si>
  <si>
    <t>10.7° HFOV</t>
    <phoneticPr fontId="22" type="noConversion"/>
  </si>
  <si>
    <t>8.0° VFOV</t>
    <phoneticPr fontId="22" type="noConversion"/>
  </si>
  <si>
    <t>17.4° HFOV</t>
    <phoneticPr fontId="22" type="noConversion"/>
  </si>
  <si>
    <t>13.1° VFOV</t>
    <phoneticPr fontId="22" type="noConversion"/>
  </si>
  <si>
    <t>7.4° HFOV</t>
    <phoneticPr fontId="22" type="noConversion"/>
  </si>
  <si>
    <t>5.5° VFOV</t>
    <phoneticPr fontId="22" type="noConversion"/>
  </si>
  <si>
    <t>12.3° HFOV</t>
    <phoneticPr fontId="22" type="noConversion"/>
  </si>
  <si>
    <t>9.9° VFOV</t>
    <phoneticPr fontId="22" type="noConversion"/>
  </si>
  <si>
    <t>모니터는 콕스 개발 7인치 모니터(100대 기준 가격임/셈플에 한해 동일 단가 적용)</t>
    <phoneticPr fontId="22" type="noConversion"/>
  </si>
  <si>
    <t>표준 원가</t>
  </si>
  <si>
    <t>표준 이익율</t>
  </si>
  <si>
    <t>렌즈 제외 단가</t>
  </si>
  <si>
    <t>CG300-M</t>
  </si>
  <si>
    <t>CG600-M</t>
  </si>
  <si>
    <t>모듈+렌즈</t>
    <phoneticPr fontId="22" type="noConversion"/>
  </si>
  <si>
    <t>DH-5100SHBD</t>
    <phoneticPr fontId="12" type="noConversion"/>
  </si>
  <si>
    <t>Window 60x4t</t>
    <phoneticPr fontId="12" type="noConversion"/>
  </si>
  <si>
    <t>-</t>
    <phoneticPr fontId="12" type="noConversion"/>
  </si>
  <si>
    <t>Thermal camera</t>
    <phoneticPr fontId="12" type="noConversion"/>
  </si>
  <si>
    <t>CG320IP</t>
    <phoneticPr fontId="12" type="noConversion"/>
  </si>
  <si>
    <t>Beijing Neo Science Co., Ltd</t>
  </si>
  <si>
    <t>Thermal camera</t>
    <phoneticPr fontId="12" type="noConversion"/>
  </si>
  <si>
    <t>CG640</t>
    <phoneticPr fontId="12" type="noConversion"/>
  </si>
  <si>
    <t>M 20mm-motor_Medical1</t>
    <phoneticPr fontId="12" type="noConversion"/>
  </si>
  <si>
    <t>㈜해오름이엔에스</t>
  </si>
  <si>
    <t>㈜해오름이엔에스</t>
    <phoneticPr fontId="18" type="noConversion"/>
  </si>
  <si>
    <t>경기도 하남시 미사강변중앙로 22</t>
    <phoneticPr fontId="18" type="noConversion"/>
  </si>
  <si>
    <t>함인호 이사님</t>
    <phoneticPr fontId="18" type="noConversion"/>
  </si>
  <si>
    <t>-</t>
    <phoneticPr fontId="18" type="noConversion"/>
  </si>
  <si>
    <t>010-6247-7004</t>
    <phoneticPr fontId="18" type="noConversion"/>
  </si>
  <si>
    <t>haeorum001@naver.com</t>
    <phoneticPr fontId="18" type="noConversion"/>
  </si>
  <si>
    <t>품명</t>
    <phoneticPr fontId="13" type="noConversion"/>
  </si>
  <si>
    <t>-</t>
    <phoneticPr fontId="13" type="noConversion"/>
  </si>
  <si>
    <t>전신욱 중사님</t>
    <phoneticPr fontId="18" type="noConversion"/>
  </si>
  <si>
    <t>강원 철원군 금학로 317번길 17 산호그린빌 104동 1104호</t>
    <phoneticPr fontId="18" type="noConversion"/>
  </si>
  <si>
    <t>010-8284-8959</t>
    <phoneticPr fontId="18" type="noConversion"/>
  </si>
  <si>
    <t>강원특별자치도  화천군 하남면 원천리 공단길38</t>
    <phoneticPr fontId="18" type="noConversion"/>
  </si>
  <si>
    <t>010-9497-0221</t>
    <phoneticPr fontId="18" type="noConversion"/>
  </si>
  <si>
    <t>나병학 이사님</t>
    <phoneticPr fontId="18" type="noConversion"/>
  </si>
  <si>
    <t>BNS용 inspection sheet 사용</t>
    <phoneticPr fontId="18" type="noConversion"/>
  </si>
  <si>
    <t>G 8mm_Normal</t>
    <phoneticPr fontId="12" type="noConversion"/>
  </si>
  <si>
    <t>나</t>
  </si>
  <si>
    <t>가</t>
  </si>
  <si>
    <t>센텍</t>
  </si>
  <si>
    <t>서비스</t>
    <phoneticPr fontId="13" type="noConversion"/>
  </si>
  <si>
    <t>수리비</t>
    <phoneticPr fontId="13" type="noConversion"/>
  </si>
  <si>
    <t>IP보드 및 Power 보드 교체/N60001500435</t>
    <phoneticPr fontId="13" type="noConversion"/>
  </si>
  <si>
    <t>셔터 교체 및 재보정</t>
    <phoneticPr fontId="13" type="noConversion"/>
  </si>
  <si>
    <t>EX240110-01</t>
  </si>
  <si>
    <t>EX240111-02</t>
  </si>
  <si>
    <t>EX240111-03</t>
  </si>
  <si>
    <t>EX240118-04</t>
  </si>
  <si>
    <t>EX240206-01</t>
  </si>
  <si>
    <t>EX240206-02</t>
  </si>
  <si>
    <t>EX240206-03</t>
  </si>
  <si>
    <t>EX240219-04</t>
  </si>
  <si>
    <t>EX240308-01</t>
  </si>
  <si>
    <t>EX240308-02</t>
  </si>
  <si>
    <t>EX240326-03</t>
  </si>
  <si>
    <t>EX240326-04</t>
  </si>
  <si>
    <t>EX240419-01</t>
  </si>
  <si>
    <t>EX240426-02</t>
  </si>
  <si>
    <t>EX240426-03</t>
  </si>
  <si>
    <t>EX240510-01</t>
  </si>
  <si>
    <t>EX240531-02</t>
  </si>
  <si>
    <t>EX240618-01</t>
  </si>
  <si>
    <t>EX240730-01</t>
  </si>
  <si>
    <t>EX240801-01</t>
  </si>
  <si>
    <t>EX240827-02</t>
  </si>
  <si>
    <t>EX240906-01</t>
  </si>
  <si>
    <t>EX240908-02</t>
  </si>
  <si>
    <t>EX240911-03</t>
  </si>
  <si>
    <t>EX241002-01</t>
  </si>
  <si>
    <t>EX241002-02</t>
  </si>
  <si>
    <t>EX241002-03</t>
  </si>
  <si>
    <t>EX241002-04</t>
  </si>
  <si>
    <t>EX241010-05</t>
  </si>
  <si>
    <t>EX241010-07</t>
  </si>
  <si>
    <t>IR 컨트롤러</t>
    <phoneticPr fontId="13" type="noConversion"/>
  </si>
  <si>
    <t>KR240109-01</t>
  </si>
  <si>
    <t>3007부대</t>
  </si>
  <si>
    <t>3007부대</t>
    <phoneticPr fontId="10" type="noConversion"/>
  </si>
  <si>
    <t>경기도 남양주시 화도읍 녹촌로 106번길 31</t>
    <phoneticPr fontId="18" type="noConversion"/>
  </si>
  <si>
    <t>김경훈 대리님</t>
    <phoneticPr fontId="18" type="noConversion"/>
  </si>
  <si>
    <t>031-593-0294</t>
    <phoneticPr fontId="18" type="noConversion"/>
  </si>
  <si>
    <t>rudghrudgns2@topes.com</t>
  </si>
  <si>
    <t>CG320</t>
    <phoneticPr fontId="13" type="noConversion"/>
  </si>
  <si>
    <t>M 12mm-motor_High</t>
    <phoneticPr fontId="13" type="noConversion"/>
  </si>
  <si>
    <t>9사단</t>
  </si>
  <si>
    <t>9사단</t>
    <phoneticPr fontId="18" type="noConversion"/>
  </si>
  <si>
    <t>미정</t>
    <phoneticPr fontId="18" type="noConversion"/>
  </si>
  <si>
    <t>김유진 상사님</t>
    <phoneticPr fontId="18" type="noConversion"/>
  </si>
  <si>
    <t>propess@hanmail.net</t>
    <phoneticPr fontId="18" type="noConversion"/>
  </si>
  <si>
    <t>CG600</t>
    <phoneticPr fontId="13" type="noConversion"/>
  </si>
  <si>
    <t>수리비</t>
    <phoneticPr fontId="13" type="noConversion"/>
  </si>
  <si>
    <t>CG600IP 센서 교체</t>
    <phoneticPr fontId="13" type="noConversion"/>
  </si>
  <si>
    <t>V61</t>
    <phoneticPr fontId="13" type="noConversion"/>
  </si>
  <si>
    <t>-</t>
    <phoneticPr fontId="13" type="noConversion"/>
  </si>
  <si>
    <t>Fedex(BNS)</t>
    <phoneticPr fontId="12" type="noConversion"/>
  </si>
  <si>
    <t>6사단,제 판매내역: CG600_M 75mm-motor 2ea</t>
    <phoneticPr fontId="13" type="noConversion"/>
  </si>
  <si>
    <t>썬나인 EEPROM, 모터케이블 날선</t>
    <phoneticPr fontId="18" type="noConversion"/>
  </si>
  <si>
    <t>경기도 부천시 조마루로 385번길 122, 2619호(삼보테크노타워)</t>
    <phoneticPr fontId="18" type="noConversion"/>
  </si>
  <si>
    <t>김인호 차장님</t>
    <phoneticPr fontId="18" type="noConversion"/>
  </si>
  <si>
    <t>010-4543-9523</t>
    <phoneticPr fontId="18" type="noConversion"/>
  </si>
  <si>
    <t>inhokim@kocom.co.kr</t>
    <phoneticPr fontId="18" type="noConversion"/>
  </si>
  <si>
    <t>Z 30-150mm-motor</t>
    <phoneticPr fontId="18" type="noConversion"/>
  </si>
  <si>
    <t>CZ600IP</t>
    <phoneticPr fontId="13" type="noConversion"/>
  </si>
  <si>
    <t>MF 100mm-motor</t>
    <phoneticPr fontId="13" type="noConversion"/>
  </si>
  <si>
    <t>25사단</t>
  </si>
  <si>
    <t>CZ600</t>
    <phoneticPr fontId="13" type="noConversion"/>
  </si>
  <si>
    <t>견적일</t>
    <phoneticPr fontId="18" type="noConversion"/>
  </si>
  <si>
    <t>열화상 카메라</t>
    <phoneticPr fontId="18" type="noConversion"/>
  </si>
  <si>
    <t>DHL(957376300)</t>
    <phoneticPr fontId="12" type="noConversion"/>
  </si>
  <si>
    <t>EX241002-08</t>
  </si>
  <si>
    <t>TNT(002045474)</t>
    <phoneticPr fontId="12" type="noConversion"/>
  </si>
  <si>
    <t>CZ600IP</t>
    <phoneticPr fontId="18" type="noConversion"/>
  </si>
  <si>
    <t>A 10mm</t>
    <phoneticPr fontId="18" type="noConversion"/>
  </si>
  <si>
    <t>회수일</t>
    <phoneticPr fontId="18" type="noConversion"/>
  </si>
  <si>
    <t>유미코어</t>
    <phoneticPr fontId="18" type="noConversion"/>
  </si>
  <si>
    <t>CZ600IP</t>
    <phoneticPr fontId="18" type="noConversion"/>
  </si>
  <si>
    <t>A 10mm</t>
    <phoneticPr fontId="18" type="noConversion"/>
  </si>
  <si>
    <t>표준가에서 15% DC</t>
    <phoneticPr fontId="18" type="noConversion"/>
  </si>
  <si>
    <t>정성식 이사님</t>
    <phoneticPr fontId="18" type="noConversion"/>
  </si>
  <si>
    <t>010-7350-4654</t>
    <phoneticPr fontId="18" type="noConversion"/>
  </si>
  <si>
    <t>steven@argesmarine.co.kr</t>
    <phoneticPr fontId="18" type="noConversion"/>
  </si>
  <si>
    <t>Z 21-105mm-motor</t>
    <phoneticPr fontId="13" type="noConversion"/>
  </si>
  <si>
    <t>Thermal camera</t>
    <phoneticPr fontId="12" type="noConversion"/>
  </si>
  <si>
    <t>CG640</t>
    <phoneticPr fontId="12" type="noConversion"/>
  </si>
  <si>
    <t>M 20mm-motor_Normal</t>
    <phoneticPr fontId="12" type="noConversion"/>
  </si>
  <si>
    <t>Carrer Font, 16 bajos - 08960 Sant Just Desvern (Barcelona).</t>
    <phoneticPr fontId="18" type="noConversion"/>
  </si>
  <si>
    <t>Ibertronix INFRARED &amp; VISION S.L.</t>
  </si>
  <si>
    <t>Shutter replacement and calibration</t>
    <phoneticPr fontId="12" type="noConversion"/>
  </si>
  <si>
    <t>EX241018-09</t>
  </si>
  <si>
    <t>뷰닉스</t>
  </si>
  <si>
    <t>CN300</t>
    <phoneticPr fontId="18" type="noConversion"/>
  </si>
  <si>
    <t>module only with ECU</t>
    <phoneticPr fontId="18" type="noConversion"/>
  </si>
  <si>
    <t>차두환 박사님</t>
    <phoneticPr fontId="18" type="noConversion"/>
  </si>
  <si>
    <t>기대정보통신</t>
    <phoneticPr fontId="18" type="noConversion"/>
  </si>
  <si>
    <t>Korea</t>
    <phoneticPr fontId="18" type="noConversion"/>
  </si>
  <si>
    <t>세종시 집현동 726 주1동 A902호 (집현중앙7로 6)</t>
    <phoneticPr fontId="18" type="noConversion"/>
  </si>
  <si>
    <t>기대정보통신</t>
    <phoneticPr fontId="18" type="noConversion"/>
  </si>
  <si>
    <t>010-6242-0525</t>
    <phoneticPr fontId="18" type="noConversion"/>
  </si>
  <si>
    <t>기대정보통신</t>
  </si>
  <si>
    <t>서비스</t>
    <phoneticPr fontId="18" type="noConversion"/>
  </si>
  <si>
    <t>수리비</t>
    <phoneticPr fontId="18" type="noConversion"/>
  </si>
  <si>
    <t>S600015001DE 셔터, 엔진 B/D 교체 및 재보정</t>
    <phoneticPr fontId="18" type="noConversion"/>
  </si>
  <si>
    <t>Shipping</t>
    <phoneticPr fontId="12" type="noConversion"/>
  </si>
  <si>
    <t>-</t>
    <phoneticPr fontId="12" type="noConversion"/>
  </si>
  <si>
    <t>EX241022-07</t>
  </si>
  <si>
    <t>EX241024-08</t>
  </si>
  <si>
    <t>EX241028-10</t>
  </si>
  <si>
    <t>Steve Jopson</t>
    <phoneticPr fontId="18" type="noConversion"/>
  </si>
  <si>
    <t>0049-06074/4098-383</t>
    <phoneticPr fontId="18" type="noConversion"/>
  </si>
  <si>
    <t>steve.jopson@acalbfi.de</t>
    <phoneticPr fontId="18" type="noConversion"/>
  </si>
  <si>
    <t>Thermal camera</t>
    <phoneticPr fontId="12" type="noConversion"/>
  </si>
  <si>
    <t>CN300</t>
    <phoneticPr fontId="12" type="noConversion"/>
  </si>
  <si>
    <t>A 8.1mm</t>
    <phoneticPr fontId="12" type="noConversion"/>
  </si>
  <si>
    <t>수리비</t>
    <phoneticPr fontId="13" type="noConversion"/>
  </si>
  <si>
    <t>센서, 셔터, IP module 교체 및 재보정</t>
    <phoneticPr fontId="13" type="noConversion"/>
  </si>
  <si>
    <t>S60001500241</t>
    <phoneticPr fontId="18" type="noConversion"/>
  </si>
  <si>
    <t>Chuo Electronic Systems, Inc.</t>
  </si>
  <si>
    <t>CG600IP</t>
    <phoneticPr fontId="13" type="noConversion"/>
  </si>
  <si>
    <t>M 150mm-motor</t>
    <phoneticPr fontId="13" type="noConversion"/>
  </si>
  <si>
    <t>HS 9027509000 사용</t>
    <phoneticPr fontId="18" type="noConversion"/>
  </si>
  <si>
    <t>RayGen Resources (Changzhou) Co., Ltd.</t>
    <phoneticPr fontId="18" type="noConversion"/>
  </si>
  <si>
    <t>China</t>
    <phoneticPr fontId="18" type="noConversion"/>
  </si>
  <si>
    <t>나</t>
    <phoneticPr fontId="18" type="noConversion"/>
  </si>
  <si>
    <t>Room 2601, Building 4, No.9 Taihu East Road, Xinbei District, 
Changzhou City, Jiangsu Province, China</t>
    <phoneticPr fontId="18" type="noConversion"/>
  </si>
  <si>
    <t>Richard Wan</t>
    <phoneticPr fontId="18" type="noConversion"/>
  </si>
  <si>
    <t>+86 137 7519 6560</t>
    <phoneticPr fontId="18" type="noConversion"/>
  </si>
  <si>
    <t>richard.wan@raygenresources.cn</t>
    <phoneticPr fontId="18" type="noConversion"/>
  </si>
  <si>
    <t>개별허가 발급 필요</t>
    <phoneticPr fontId="18" type="noConversion"/>
  </si>
  <si>
    <t>COX</t>
    <phoneticPr fontId="18" type="noConversion"/>
  </si>
  <si>
    <t>DHL</t>
    <phoneticPr fontId="18" type="noConversion"/>
  </si>
  <si>
    <t>-</t>
    <phoneticPr fontId="18" type="noConversion"/>
  </si>
  <si>
    <t>위드넷</t>
  </si>
  <si>
    <t>위드넷</t>
    <phoneticPr fontId="18" type="noConversion"/>
  </si>
  <si>
    <t>경기도 고양시 덕양구 무원로 6번길 12, 707호 (대흥프라자)</t>
    <phoneticPr fontId="18" type="noConversion"/>
  </si>
  <si>
    <t>문종빈 대표님</t>
    <phoneticPr fontId="18" type="noConversion"/>
  </si>
  <si>
    <t>010-8485-7225</t>
    <phoneticPr fontId="18" type="noConversion"/>
  </si>
  <si>
    <t>kidsboy@hanmail.net</t>
    <phoneticPr fontId="18" type="noConversion"/>
  </si>
  <si>
    <t>CG640IP</t>
    <phoneticPr fontId="18" type="noConversion"/>
  </si>
  <si>
    <t>M 8mm-motor_Normal</t>
    <phoneticPr fontId="18" type="noConversion"/>
  </si>
  <si>
    <t>M 4.8mm-motor_Normal</t>
    <phoneticPr fontId="18" type="noConversion"/>
  </si>
  <si>
    <t>8mm FOV: 68.4x54
4.8mm FOV: 97.1x80.7</t>
    <phoneticPr fontId="18" type="noConversion"/>
  </si>
  <si>
    <t>윈도우</t>
    <phoneticPr fontId="13" type="noConversion"/>
  </si>
  <si>
    <t>Window 85x4t</t>
    <phoneticPr fontId="13" type="noConversion"/>
  </si>
  <si>
    <t>-</t>
    <phoneticPr fontId="13" type="noConversion"/>
  </si>
  <si>
    <t>CG640</t>
    <phoneticPr fontId="18" type="noConversion"/>
  </si>
  <si>
    <t>10대 3%, 20대 10% 할인 적용,
IMI IP module, 케이스 사급 조건</t>
    <phoneticPr fontId="18" type="noConversion"/>
  </si>
  <si>
    <t>김민성 대리님</t>
    <phoneticPr fontId="22" type="noConversion"/>
  </si>
  <si>
    <t>010-2769-9604</t>
    <phoneticPr fontId="22" type="noConversion"/>
  </si>
  <si>
    <t>xjdyfk@naver.com</t>
    <phoneticPr fontId="18" type="noConversion"/>
  </si>
  <si>
    <t>CG640IP</t>
    <phoneticPr fontId="13" type="noConversion"/>
  </si>
  <si>
    <t>G 50mm_Extreme</t>
    <phoneticPr fontId="13" type="noConversion"/>
  </si>
  <si>
    <t>열화상 카메라</t>
  </si>
  <si>
    <t>M 20mm-motor_Normal</t>
    <phoneticPr fontId="13" type="noConversion"/>
  </si>
  <si>
    <t>서비스</t>
  </si>
  <si>
    <t>Acal Bfi Germany Gmbh</t>
  </si>
  <si>
    <t>Acal Bfi Germany Gmbh</t>
    <phoneticPr fontId="18" type="noConversion"/>
  </si>
  <si>
    <t>Acal BFi Germany GmbH Oppelnerstr. 5 82194 Gröbenzell</t>
    <phoneticPr fontId="18" type="noConversion"/>
  </si>
  <si>
    <t>에스원</t>
    <phoneticPr fontId="13" type="noConversion"/>
  </si>
  <si>
    <t>CZ600</t>
    <phoneticPr fontId="13" type="noConversion"/>
  </si>
  <si>
    <t>-</t>
    <phoneticPr fontId="13" type="noConversion"/>
  </si>
  <si>
    <t>렌즈</t>
    <phoneticPr fontId="13" type="noConversion"/>
  </si>
  <si>
    <t>에스원</t>
    <phoneticPr fontId="18" type="noConversion"/>
  </si>
  <si>
    <t>010-9119-1195</t>
    <phoneticPr fontId="18" type="noConversion"/>
  </si>
  <si>
    <t>박준모 책임님</t>
    <phoneticPr fontId="18" type="noConversion"/>
  </si>
  <si>
    <t>jm1230.park@samsung.com</t>
    <phoneticPr fontId="18" type="noConversion"/>
  </si>
  <si>
    <t>서울특별시 중구 순화동 168</t>
    <phoneticPr fontId="18" type="noConversion"/>
  </si>
  <si>
    <t>수퍼센츄리</t>
  </si>
  <si>
    <t>CG320</t>
    <phoneticPr fontId="13" type="noConversion"/>
  </si>
  <si>
    <t>대여</t>
  </si>
  <si>
    <t>서비스</t>
    <phoneticPr fontId="18" type="noConversion"/>
  </si>
  <si>
    <t>Main B/D 교체</t>
    <phoneticPr fontId="18" type="noConversion"/>
  </si>
  <si>
    <t>-</t>
    <phoneticPr fontId="18" type="noConversion"/>
  </si>
  <si>
    <t>윈도우</t>
    <phoneticPr fontId="18" type="noConversion"/>
  </si>
  <si>
    <t>Ge window 60x4t</t>
    <phoneticPr fontId="18" type="noConversion"/>
  </si>
  <si>
    <t>재보정</t>
    <phoneticPr fontId="18" type="noConversion"/>
  </si>
  <si>
    <t>0~300℃</t>
    <phoneticPr fontId="18" type="noConversion"/>
  </si>
  <si>
    <t>CG640IP</t>
    <phoneticPr fontId="18" type="noConversion"/>
  </si>
  <si>
    <t>CZ640IP</t>
    <phoneticPr fontId="18" type="noConversion"/>
  </si>
  <si>
    <t>M 12mm-motor_Normal</t>
    <phoneticPr fontId="18" type="noConversion"/>
  </si>
  <si>
    <t>A 7.1mm_Normal</t>
    <phoneticPr fontId="18" type="noConversion"/>
  </si>
  <si>
    <t>CG640IP_M 12mm-motor_Normal FOV 48.8x37.6
CZ640IP_A 7.1mm_Normal FOV 65x47.5</t>
    <phoneticPr fontId="18" type="noConversion"/>
  </si>
  <si>
    <t>10% 할인 적용, 7.1mm viewnyx</t>
    <phoneticPr fontId="18" type="noConversion"/>
  </si>
  <si>
    <t>경기도 부천시 원미구 부천로198번길 92 (춘의동) 401호</t>
  </si>
  <si>
    <t>서정원 과장님</t>
    <phoneticPr fontId="18" type="noConversion"/>
  </si>
  <si>
    <t>010-8746-9170</t>
    <phoneticPr fontId="18" type="noConversion"/>
  </si>
  <si>
    <t>computer9170@sjino.com</t>
  </si>
  <si>
    <t>상진이노베이션</t>
  </si>
  <si>
    <t>CG600</t>
    <phoneticPr fontId="18" type="noConversion"/>
  </si>
  <si>
    <t>M 75mm-motor</t>
    <phoneticPr fontId="18" type="noConversion"/>
  </si>
  <si>
    <t>ETRI</t>
  </si>
  <si>
    <t>Z 25-225mm-motor</t>
    <phoneticPr fontId="13" type="noConversion"/>
  </si>
  <si>
    <t>CZ640</t>
    <phoneticPr fontId="13" type="noConversion"/>
  </si>
  <si>
    <t>-</t>
    <phoneticPr fontId="13" type="noConversion"/>
  </si>
  <si>
    <t>A 13mm</t>
    <phoneticPr fontId="13" type="noConversion"/>
  </si>
  <si>
    <t>전광탁 이사님</t>
    <phoneticPr fontId="18" type="noConversion"/>
  </si>
  <si>
    <t>kt.jeon@wonwoo.com</t>
    <phoneticPr fontId="18" type="noConversion"/>
  </si>
  <si>
    <t>서비스</t>
    <phoneticPr fontId="18" type="noConversion"/>
  </si>
  <si>
    <t>수리비</t>
    <phoneticPr fontId="18" type="noConversion"/>
  </si>
  <si>
    <t>센서 교체, 렌즈 모터 교체</t>
    <phoneticPr fontId="18" type="noConversion"/>
  </si>
  <si>
    <t>S60001500221</t>
    <phoneticPr fontId="18" type="noConversion"/>
  </si>
  <si>
    <t>렌즈</t>
    <phoneticPr fontId="18" type="noConversion"/>
  </si>
  <si>
    <t>열화상 카메라 보정 렌즈</t>
    <phoneticPr fontId="18" type="noConversion"/>
  </si>
  <si>
    <t>-</t>
    <phoneticPr fontId="18" type="noConversion"/>
  </si>
  <si>
    <t>센서 교체, 렌즈 모터 교체</t>
  </si>
  <si>
    <t>CG600IP</t>
    <phoneticPr fontId="13" type="noConversion"/>
  </si>
  <si>
    <t>에이비아이코리아</t>
  </si>
  <si>
    <t>에이비아이코리아</t>
    <phoneticPr fontId="18" type="noConversion"/>
  </si>
  <si>
    <t>경기도 고양시 덕양구 향기로 180, 714호 (DMC마스터원)</t>
    <phoneticPr fontId="18" type="noConversion"/>
  </si>
  <si>
    <t>김현윤 대표님</t>
    <phoneticPr fontId="18" type="noConversion"/>
  </si>
  <si>
    <t>010-9982-2508</t>
    <phoneticPr fontId="18" type="noConversion"/>
  </si>
  <si>
    <t>goodidea@abikorea.com</t>
    <phoneticPr fontId="18" type="noConversion"/>
  </si>
  <si>
    <t>CG640</t>
    <phoneticPr fontId="18" type="noConversion"/>
  </si>
  <si>
    <t>M 20mm-motor_Normal</t>
    <phoneticPr fontId="18" type="noConversion"/>
  </si>
  <si>
    <t>FOV
8mm: 68.4x54
12mm: 48.8x37.6
20mm: 30.4x23.1</t>
    <phoneticPr fontId="18" type="noConversion"/>
  </si>
  <si>
    <t>CZ640IP</t>
    <phoneticPr fontId="18" type="noConversion"/>
  </si>
  <si>
    <t>20% 할인 가격</t>
    <phoneticPr fontId="18" type="noConversion"/>
  </si>
  <si>
    <t>A 8mm_Normal</t>
    <phoneticPr fontId="18" type="noConversion"/>
  </si>
  <si>
    <t>FOV
4.8mm: 68.5x57 (게르마늄)
8mm: 48.3x38.1 (게르마늄)
A 8mm: 58.3x42.5 (어써멀)</t>
    <phoneticPr fontId="18" type="noConversion"/>
  </si>
  <si>
    <t>G 4.8mm_Medium</t>
    <phoneticPr fontId="12" type="noConversion"/>
  </si>
  <si>
    <t>Thermal camera</t>
    <phoneticPr fontId="12" type="noConversion"/>
  </si>
  <si>
    <t>CG640</t>
    <phoneticPr fontId="12" type="noConversion"/>
  </si>
  <si>
    <t>M 8mm-motor_medium</t>
    <phoneticPr fontId="12" type="noConversion"/>
  </si>
  <si>
    <t>3m cable</t>
    <phoneticPr fontId="12" type="noConversion"/>
  </si>
  <si>
    <t>CG320</t>
    <phoneticPr fontId="13" type="noConversion"/>
  </si>
  <si>
    <t>M 12mm_High</t>
    <phoneticPr fontId="13" type="noConversion"/>
  </si>
  <si>
    <t>G 12mm_High</t>
    <phoneticPr fontId="13" type="noConversion"/>
  </si>
  <si>
    <t>12사단</t>
  </si>
  <si>
    <t>carcarus11@hotmail.com</t>
    <phoneticPr fontId="18" type="noConversion"/>
  </si>
  <si>
    <t>CG600</t>
    <phoneticPr fontId="18" type="noConversion"/>
  </si>
  <si>
    <t>N60000500349</t>
    <phoneticPr fontId="12" type="noConversion"/>
  </si>
  <si>
    <t>N60001500187</t>
    <phoneticPr fontId="12" type="noConversion"/>
  </si>
  <si>
    <t>N60001500188</t>
    <phoneticPr fontId="12" type="noConversion"/>
  </si>
  <si>
    <t>A 13.8mm</t>
    <phoneticPr fontId="18" type="noConversion"/>
  </si>
  <si>
    <t>CZ640</t>
    <phoneticPr fontId="18" type="noConversion"/>
  </si>
  <si>
    <t>-</t>
    <phoneticPr fontId="18" type="noConversion"/>
  </si>
  <si>
    <t>A 19mm</t>
    <phoneticPr fontId="18" type="noConversion"/>
  </si>
  <si>
    <t>CZ600</t>
    <phoneticPr fontId="18" type="noConversion"/>
  </si>
  <si>
    <t>CZ300</t>
    <phoneticPr fontId="18" type="noConversion"/>
  </si>
  <si>
    <t>CZ320</t>
    <phoneticPr fontId="18" type="noConversion"/>
  </si>
  <si>
    <t>384*288 온도 없음</t>
    <phoneticPr fontId="18" type="noConversion"/>
  </si>
  <si>
    <t>384*288 온도 있음</t>
    <phoneticPr fontId="18" type="noConversion"/>
  </si>
  <si>
    <t>640*480 온도 없음</t>
    <phoneticPr fontId="18" type="noConversion"/>
  </si>
  <si>
    <t>640*480 온도 있음</t>
    <phoneticPr fontId="18" type="noConversion"/>
  </si>
  <si>
    <t>서울공항초등학교</t>
  </si>
  <si>
    <t>CG320</t>
    <phoneticPr fontId="18" type="noConversion"/>
  </si>
  <si>
    <t>A 8.1mm_Medical2</t>
    <phoneticPr fontId="18" type="noConversion"/>
  </si>
  <si>
    <t>삼각대</t>
    <phoneticPr fontId="18" type="noConversion"/>
  </si>
  <si>
    <t>-</t>
    <phoneticPr fontId="18" type="noConversion"/>
  </si>
  <si>
    <t>하우징</t>
    <phoneticPr fontId="18" type="noConversion"/>
  </si>
  <si>
    <t>브라켓 포함 (천장 설치용)</t>
    <phoneticPr fontId="18" type="noConversion"/>
  </si>
  <si>
    <t>전용 S/W 포함, 노트북 별도, 하우징 구매시 Ge window 포함</t>
    <phoneticPr fontId="18" type="noConversion"/>
  </si>
  <si>
    <t>기타</t>
    <phoneticPr fontId="18" type="noConversion"/>
  </si>
  <si>
    <t>서비스</t>
    <phoneticPr fontId="13" type="noConversion"/>
  </si>
  <si>
    <t>수리비</t>
    <phoneticPr fontId="13" type="noConversion"/>
  </si>
  <si>
    <t>-</t>
    <phoneticPr fontId="13" type="noConversion"/>
  </si>
  <si>
    <t>기타</t>
    <phoneticPr fontId="13" type="noConversion"/>
  </si>
  <si>
    <t>SbAsSe</t>
    <phoneticPr fontId="13" type="noConversion"/>
  </si>
  <si>
    <t>A 6.2mm_High</t>
    <phoneticPr fontId="13" type="noConversion"/>
  </si>
  <si>
    <t>2회 나누어 입금</t>
    <phoneticPr fontId="13" type="noConversion"/>
  </si>
  <si>
    <t>-</t>
    <phoneticPr fontId="12" type="noConversion"/>
  </si>
  <si>
    <t>CG600</t>
    <phoneticPr fontId="18" type="noConversion"/>
  </si>
  <si>
    <t>표준가 6,438,000원, 군부대 납품용 할인 적용, 
1월 중순 렌즈 입고 후 납품 가능</t>
    <phoneticPr fontId="18" type="noConversion"/>
  </si>
  <si>
    <t>033번호</t>
    <phoneticPr fontId="18" type="noConversion"/>
  </si>
  <si>
    <t>CG640IP</t>
    <phoneticPr fontId="13" type="noConversion"/>
  </si>
  <si>
    <t>M 20mm-motor_Normal</t>
    <phoneticPr fontId="13" type="noConversion"/>
  </si>
  <si>
    <t>고해상도 카메라 기반 지상설치형 감시정찰장치</t>
    <phoneticPr fontId="18" type="noConversion"/>
  </si>
  <si>
    <t>고해상도 카메라 기반 지상설치형 감시정찰장치</t>
    <phoneticPr fontId="13" type="noConversion"/>
  </si>
  <si>
    <t>서브</t>
  </si>
  <si>
    <t>서브</t>
    <phoneticPr fontId="18" type="noConversion"/>
  </si>
  <si>
    <t>CG320IP</t>
    <phoneticPr fontId="13" type="noConversion"/>
  </si>
  <si>
    <t>M 8mm-motor_Normal</t>
    <phoneticPr fontId="13" type="noConversion"/>
  </si>
  <si>
    <t>G 8mm_Normal</t>
    <phoneticPr fontId="13" type="noConversion"/>
  </si>
  <si>
    <t>M 12mm-motor_Normal</t>
    <phoneticPr fontId="13" type="noConversion"/>
  </si>
  <si>
    <t>M 4.8mm-motor_Normal</t>
    <phoneticPr fontId="13" type="noConversion"/>
  </si>
  <si>
    <t>보정비</t>
    <phoneticPr fontId="13" type="noConversion"/>
  </si>
  <si>
    <t>HKEA GROUP LTD</t>
  </si>
  <si>
    <t>Sensor Change N63000300EAB</t>
    <phoneticPr fontId="12" type="noConversion"/>
  </si>
  <si>
    <t>Sensor Change N60000300DFE</t>
    <phoneticPr fontId="12" type="noConversion"/>
  </si>
  <si>
    <t>씨엔지</t>
  </si>
  <si>
    <t>씨엔지</t>
    <phoneticPr fontId="18" type="noConversion"/>
  </si>
  <si>
    <t>경기도 안산시 단원구 신길동 658-2(신각길 148)</t>
    <phoneticPr fontId="18" type="noConversion"/>
  </si>
  <si>
    <t>김유진 대표님</t>
    <phoneticPr fontId="18" type="noConversion"/>
  </si>
  <si>
    <t>010-7350-7906</t>
    <phoneticPr fontId="18" type="noConversion"/>
  </si>
  <si>
    <t>okcng@naver.com</t>
    <phoneticPr fontId="18" type="noConversion"/>
  </si>
  <si>
    <t>CG640</t>
    <phoneticPr fontId="18" type="noConversion"/>
  </si>
  <si>
    <t>G 12mm_Normal</t>
    <phoneticPr fontId="18" type="noConversion"/>
  </si>
  <si>
    <t>CG320</t>
    <phoneticPr fontId="18" type="noConversion"/>
  </si>
  <si>
    <t>G 8mm_Normal</t>
    <phoneticPr fontId="18" type="noConversion"/>
  </si>
  <si>
    <t>CG640: 640x480pixel
CG320: 384x288pixel</t>
    <phoneticPr fontId="18" type="noConversion"/>
  </si>
  <si>
    <t>CZ1024</t>
    <phoneticPr fontId="18" type="noConversion"/>
  </si>
  <si>
    <t>G 35mm_Normal</t>
    <phoneticPr fontId="18" type="noConversion"/>
  </si>
  <si>
    <t>G 12mm_Normal</t>
    <phoneticPr fontId="13" type="noConversion"/>
  </si>
  <si>
    <t>CG640</t>
    <phoneticPr fontId="13" type="noConversion"/>
  </si>
  <si>
    <t>Insight Robotics Limited</t>
  </si>
  <si>
    <t>CG600</t>
    <phoneticPr fontId="13" type="noConversion"/>
  </si>
  <si>
    <t>주식회사 에스제이티</t>
    <phoneticPr fontId="18" type="noConversion"/>
  </si>
  <si>
    <t>송태인 대위님</t>
    <phoneticPr fontId="18" type="noConversion"/>
  </si>
  <si>
    <t>Climate</t>
  </si>
  <si>
    <t>Climate</t>
    <phoneticPr fontId="18" type="noConversion"/>
  </si>
  <si>
    <t>경기도 화성시 동탄순환대로 830,1114호 / 구로구 디지털로 26길 5 에이스하이앤드타워 1차 403호</t>
    <phoneticPr fontId="18" type="noConversion"/>
  </si>
  <si>
    <t>강상욱 대리님</t>
    <phoneticPr fontId="18" type="noConversion"/>
  </si>
  <si>
    <t>010-9388-7234</t>
    <phoneticPr fontId="18" type="noConversion"/>
  </si>
  <si>
    <t>-</t>
    <phoneticPr fontId="18" type="noConversion"/>
  </si>
  <si>
    <t>CG320IP</t>
    <phoneticPr fontId="13" type="noConversion"/>
  </si>
  <si>
    <t>BIHE Int'l Trading (Shanghai) Co., Ltd.</t>
  </si>
  <si>
    <t>BIHE Int'l Trading (Shanghai) Co., Ltd.</t>
    <phoneticPr fontId="18" type="noConversion"/>
  </si>
  <si>
    <t>나</t>
    <phoneticPr fontId="18" type="noConversion"/>
  </si>
  <si>
    <t>Building 32, Lane 156, Changji Road, Jiading District,Shanghai, 201805, PRC.</t>
    <phoneticPr fontId="18" type="noConversion"/>
  </si>
  <si>
    <t>Nancy Tang</t>
    <phoneticPr fontId="18" type="noConversion"/>
  </si>
  <si>
    <t>158-2198-4229</t>
    <phoneticPr fontId="18" type="noConversion"/>
  </si>
  <si>
    <t>2018@bihec.com</t>
    <phoneticPr fontId="18" type="noConversion"/>
  </si>
  <si>
    <t>수리비</t>
    <phoneticPr fontId="18" type="noConversion"/>
  </si>
  <si>
    <t>셔터 교체 및 재보정</t>
    <phoneticPr fontId="18" type="noConversion"/>
  </si>
  <si>
    <t>H60000301A10</t>
    <phoneticPr fontId="18" type="noConversion"/>
  </si>
  <si>
    <t>경기도 성남시 수정구 창업로 42, 202호 (시흥동, 판교 제2테크노밸리 경기 기업성장센터)</t>
    <phoneticPr fontId="18" type="noConversion"/>
  </si>
  <si>
    <t>우성주 매니저님</t>
    <phoneticPr fontId="18" type="noConversion"/>
  </si>
  <si>
    <t>010-3835-7213</t>
    <phoneticPr fontId="18" type="noConversion"/>
  </si>
  <si>
    <t>whiteapple@cityeyelab.com</t>
    <phoneticPr fontId="18" type="noConversion"/>
  </si>
  <si>
    <t>V60</t>
    <phoneticPr fontId="18" type="noConversion"/>
  </si>
  <si>
    <t>A 4.0mm_Normal</t>
    <phoneticPr fontId="18" type="noConversion"/>
  </si>
  <si>
    <t>12um, VGA sensor, Digital(non-ip)</t>
    <phoneticPr fontId="18" type="noConversion"/>
  </si>
  <si>
    <t>CG320</t>
    <phoneticPr fontId="18" type="noConversion"/>
  </si>
  <si>
    <t>CG320IP</t>
    <phoneticPr fontId="18" type="noConversion"/>
  </si>
  <si>
    <t>FOV: 90x68.7</t>
    <phoneticPr fontId="18" type="noConversion"/>
  </si>
  <si>
    <t>V30</t>
    <phoneticPr fontId="18" type="noConversion"/>
  </si>
  <si>
    <t>12um, QVGA sensor, Digital(non-ip)</t>
    <phoneticPr fontId="18" type="noConversion"/>
  </si>
  <si>
    <t>광주 광산구 평동산단 1번로 118 (장록동)</t>
    <phoneticPr fontId="18" type="noConversion"/>
  </si>
  <si>
    <t>조호건 매니저님</t>
    <phoneticPr fontId="18" type="noConversion"/>
  </si>
  <si>
    <t>010-4650-9832</t>
    <phoneticPr fontId="18" type="noConversion"/>
  </si>
  <si>
    <t>hgcho@kovico.com</t>
    <phoneticPr fontId="18" type="noConversion"/>
  </si>
  <si>
    <t>UPS(Acal)</t>
    <phoneticPr fontId="12" type="noConversion"/>
  </si>
  <si>
    <t>EX241129-01</t>
  </si>
  <si>
    <t>7사단(제2621부대)</t>
  </si>
  <si>
    <t>7사단(제2621부대)</t>
    <phoneticPr fontId="18" type="noConversion"/>
  </si>
  <si>
    <t>15사단(6685부대)</t>
  </si>
  <si>
    <t>5군단 3사단 18여단 (1968부대)</t>
  </si>
  <si>
    <t>5군단 3사단 18여단 (1968부대)</t>
    <phoneticPr fontId="18" type="noConversion"/>
  </si>
  <si>
    <t>12사단(제1862부대)</t>
  </si>
  <si>
    <t>12사단(제1862부대)</t>
    <phoneticPr fontId="18" type="noConversion"/>
  </si>
  <si>
    <t>입금액</t>
    <phoneticPr fontId="11" type="noConversion"/>
  </si>
  <si>
    <t>M 4.8mm-motor_Normal</t>
  </si>
  <si>
    <t>셔터 교체 및 재보정</t>
  </si>
  <si>
    <t>M 12mm-motor_Medium</t>
  </si>
  <si>
    <t>01</t>
  </si>
  <si>
    <t>EX240625-01</t>
  </si>
  <si>
    <t>EX241122-01</t>
  </si>
  <si>
    <t>EX241029-01</t>
  </si>
  <si>
    <t>KR240115-02</t>
  </si>
  <si>
    <t>KR240123-03</t>
  </si>
  <si>
    <t>KR240131-04</t>
  </si>
  <si>
    <t>KR240205-01</t>
  </si>
  <si>
    <t>KR240207-02</t>
  </si>
  <si>
    <t>KR240219-03</t>
  </si>
  <si>
    <t>KR240223-04</t>
  </si>
  <si>
    <t>KR240305-01</t>
  </si>
  <si>
    <t>KR240307-02</t>
  </si>
  <si>
    <t>KR240308-03</t>
  </si>
  <si>
    <t>KR240308-04</t>
  </si>
  <si>
    <t>KR240314-05</t>
  </si>
  <si>
    <t>KR240315-06</t>
  </si>
  <si>
    <t>KR240315-07</t>
  </si>
  <si>
    <t>KR240315-08</t>
  </si>
  <si>
    <t>KR240320-09</t>
  </si>
  <si>
    <t>KR240328-10</t>
  </si>
  <si>
    <t>KR240328-11</t>
  </si>
  <si>
    <t>KR240331-12</t>
  </si>
  <si>
    <t>KR240411-01</t>
  </si>
  <si>
    <t>KR240412-02</t>
  </si>
  <si>
    <t>KR240416-03</t>
  </si>
  <si>
    <t>KR240425-04</t>
  </si>
  <si>
    <t>KR240430-05</t>
  </si>
  <si>
    <t>KR240503-01</t>
  </si>
  <si>
    <t>KR240503-02</t>
  </si>
  <si>
    <t>KR240503-03</t>
  </si>
  <si>
    <t>KR240507-04</t>
  </si>
  <si>
    <t>KR240508-05</t>
  </si>
  <si>
    <t>KR240508-06</t>
  </si>
  <si>
    <t>KR240508-07</t>
  </si>
  <si>
    <t>KR240508-08</t>
  </si>
  <si>
    <t>KR240509-09</t>
  </si>
  <si>
    <t>KR240509-10</t>
  </si>
  <si>
    <t>KR240517-11</t>
  </si>
  <si>
    <t>KR240517-12</t>
  </si>
  <si>
    <t>KR240520-13</t>
  </si>
  <si>
    <t>KR240521-14</t>
  </si>
  <si>
    <t>KR240523-15</t>
  </si>
  <si>
    <t>KR240530-16</t>
  </si>
  <si>
    <t>KR240531-17</t>
  </si>
  <si>
    <t>KR240604-01</t>
  </si>
  <si>
    <t>KR240605-02</t>
  </si>
  <si>
    <t>KR240605-03</t>
  </si>
  <si>
    <t>KR240611-04</t>
  </si>
  <si>
    <t>KR240618-05</t>
  </si>
  <si>
    <t>KR240618-06</t>
  </si>
  <si>
    <t>KR240619-07</t>
  </si>
  <si>
    <t>KR240624-08</t>
  </si>
  <si>
    <t>KR240624-09</t>
  </si>
  <si>
    <t>KR240625-10</t>
  </si>
  <si>
    <t>KR240701-01</t>
  </si>
  <si>
    <t>KR240708-02</t>
  </si>
  <si>
    <t>KR240723-03</t>
  </si>
  <si>
    <t>KR240724-04</t>
  </si>
  <si>
    <t>KR240724-05</t>
  </si>
  <si>
    <t>KR240725-06</t>
  </si>
  <si>
    <t>KR240806-01</t>
  </si>
  <si>
    <t>KR240806-02</t>
  </si>
  <si>
    <t>KR240814-03</t>
  </si>
  <si>
    <t>KR240814-04</t>
  </si>
  <si>
    <t>KR240819-05</t>
  </si>
  <si>
    <t>KR240826-06</t>
  </si>
  <si>
    <t>KR240826-07</t>
  </si>
  <si>
    <t>KR240826-08</t>
  </si>
  <si>
    <t>KR240827-09</t>
  </si>
  <si>
    <t>KR240830-10</t>
  </si>
  <si>
    <t>KR240830-11</t>
  </si>
  <si>
    <t>KR240905-01</t>
  </si>
  <si>
    <t>KR240906-02</t>
  </si>
  <si>
    <t>KR240909-03</t>
  </si>
  <si>
    <t>KR240909-04</t>
  </si>
  <si>
    <t>KR241010-01</t>
  </si>
  <si>
    <t>KR241011-02</t>
  </si>
  <si>
    <t>KR241011-03</t>
  </si>
  <si>
    <t>KR241014-04</t>
  </si>
  <si>
    <t>KR241017-05</t>
  </si>
  <si>
    <t>KR241002-06</t>
  </si>
  <si>
    <t>KR241002-07</t>
  </si>
  <si>
    <t>KR241031-08</t>
  </si>
  <si>
    <t>KR241105-01</t>
  </si>
  <si>
    <t>KR241002-01</t>
  </si>
  <si>
    <t>KR241029-02</t>
  </si>
  <si>
    <t>KR241107-01</t>
  </si>
  <si>
    <t>KR241105-02</t>
  </si>
  <si>
    <t>KR241108-03</t>
  </si>
  <si>
    <t>KR241015-01</t>
  </si>
  <si>
    <t>KR241115-01</t>
  </si>
  <si>
    <t>KR241104-02</t>
  </si>
  <si>
    <t>KR241211-01</t>
  </si>
  <si>
    <t>KR241120-01</t>
  </si>
  <si>
    <t>KR241112-02</t>
  </si>
  <si>
    <t>KR241126-01</t>
  </si>
  <si>
    <t>KR241127-02</t>
  </si>
  <si>
    <t>KR241216-01</t>
  </si>
  <si>
    <t>KR241202-02</t>
  </si>
  <si>
    <t>KR241106-01</t>
  </si>
  <si>
    <t>KR241213-01</t>
  </si>
  <si>
    <t>DHL(963420138)</t>
    <phoneticPr fontId="12" type="noConversion"/>
  </si>
  <si>
    <t>DHL(967071376)</t>
    <phoneticPr fontId="12" type="noConversion"/>
  </si>
  <si>
    <t>CG300</t>
    <phoneticPr fontId="18" type="noConversion"/>
  </si>
  <si>
    <t>M 4.8mm-motor</t>
    <phoneticPr fontId="18" type="noConversion"/>
  </si>
  <si>
    <t>M 12mm-motor</t>
    <phoneticPr fontId="18" type="noConversion"/>
  </si>
  <si>
    <t>A 15mm</t>
    <phoneticPr fontId="18" type="noConversion"/>
  </si>
  <si>
    <t>M 8mm-motor</t>
    <phoneticPr fontId="18" type="noConversion"/>
  </si>
  <si>
    <t>Thermal camera</t>
    <phoneticPr fontId="18" type="noConversion"/>
  </si>
  <si>
    <t>4.8mm, 8mm, 12mm motorized lens, 15mm athermalized lens
FOV:
4.8mm : 68.4x54, 8mm: 44.4x34, 12mm: 30.4x23.1, 15mm: 25x18.7</t>
    <phoneticPr fontId="18" type="noConversion"/>
  </si>
  <si>
    <t>A 4.7mm</t>
    <phoneticPr fontId="18" type="noConversion"/>
  </si>
  <si>
    <t>A 8mm</t>
    <phoneticPr fontId="18" type="noConversion"/>
  </si>
  <si>
    <t>4.7mm, 8mm, 10mm, 15mm Athermalized lens
(10mm 렌즈는 커스텀 렌즈임)
FOV:
4.7mm: 79.3x60, 8mm: 48.6x35.8, 10mm: 34.1x24.6, 15mm: 25x18.7</t>
    <phoneticPr fontId="18" type="noConversion"/>
  </si>
  <si>
    <t>-</t>
    <phoneticPr fontId="18" type="noConversion"/>
  </si>
  <si>
    <t>010-4114-4008</t>
    <phoneticPr fontId="18" type="noConversion"/>
  </si>
  <si>
    <t>서비스</t>
    <phoneticPr fontId="18" type="noConversion"/>
  </si>
  <si>
    <t>수리비</t>
    <phoneticPr fontId="18" type="noConversion"/>
  </si>
  <si>
    <t>H60000301A10</t>
  </si>
  <si>
    <t>Power B/D 교체 및 재보정</t>
    <phoneticPr fontId="18" type="noConversion"/>
  </si>
  <si>
    <t>H60000301297</t>
    <phoneticPr fontId="18" type="noConversion"/>
  </si>
  <si>
    <t>㈜팁스커뮤니케이션즈</t>
  </si>
  <si>
    <t>㈜팁스커뮤니케이션즈</t>
    <phoneticPr fontId="18" type="noConversion"/>
  </si>
  <si>
    <t>Korea</t>
    <phoneticPr fontId="18" type="noConversion"/>
  </si>
  <si>
    <t>서울시 용산구 서빙고로 24길 6, 1층</t>
    <phoneticPr fontId="18" type="noConversion"/>
  </si>
  <si>
    <t>지상현 대표이사님</t>
    <phoneticPr fontId="18" type="noConversion"/>
  </si>
  <si>
    <t>010-9238-3144</t>
    <phoneticPr fontId="18" type="noConversion"/>
  </si>
  <si>
    <t>tips@kakao.com</t>
    <phoneticPr fontId="18" type="noConversion"/>
  </si>
  <si>
    <t>CG600IP</t>
    <phoneticPr fontId="18" type="noConversion"/>
  </si>
  <si>
    <t>-</t>
    <phoneticPr fontId="18" type="noConversion"/>
  </si>
  <si>
    <t>0~300도 온도측정 기능 탑재</t>
    <phoneticPr fontId="18" type="noConversion"/>
  </si>
  <si>
    <t>A 19mm_Medium</t>
    <phoneticPr fontId="18" type="noConversion"/>
  </si>
  <si>
    <t>A 35mm_Medium</t>
    <phoneticPr fontId="18" type="noConversion"/>
  </si>
  <si>
    <t>CG320</t>
    <phoneticPr fontId="18" type="noConversion"/>
  </si>
  <si>
    <t>A 7.1mm_High</t>
    <phoneticPr fontId="18" type="noConversion"/>
  </si>
  <si>
    <t>QVGA/온도RAW 데이터 전송/0~500도/아나로그 방식/화각 54.4도</t>
    <phoneticPr fontId="18" type="noConversion"/>
  </si>
  <si>
    <t>대전광역시 유성구 대학로 291 한국과학기술원 (KAIST) E10</t>
    <phoneticPr fontId="18" type="noConversion"/>
  </si>
  <si>
    <t>김민지 매니저님</t>
    <phoneticPr fontId="18" type="noConversion"/>
  </si>
  <si>
    <t>010-7135-3854</t>
    <phoneticPr fontId="18" type="noConversion"/>
  </si>
  <si>
    <t>kimmimi4100@labsmro.com</t>
    <phoneticPr fontId="18" type="noConversion"/>
  </si>
  <si>
    <t>A 7.1mm_High</t>
    <phoneticPr fontId="13" type="noConversion"/>
  </si>
  <si>
    <t>Repairment</t>
    <phoneticPr fontId="18" type="noConversion"/>
  </si>
  <si>
    <t xml:space="preserve">H60000301686 </t>
    <phoneticPr fontId="18" type="noConversion"/>
  </si>
  <si>
    <t>Shutter replacement + re-calibration(high temp)</t>
    <phoneticPr fontId="18" type="noConversion"/>
  </si>
  <si>
    <t>LSEVP</t>
  </si>
  <si>
    <t>조석환 책임님</t>
    <phoneticPr fontId="18" type="noConversion"/>
  </si>
  <si>
    <t>+48 668 139 835</t>
    <phoneticPr fontId="18" type="noConversion"/>
  </si>
  <si>
    <t>seokhwan.cho@lspoland.com</t>
    <phoneticPr fontId="18" type="noConversion"/>
  </si>
  <si>
    <t>NIP: 8971848116, REGON: 368745433, KRS: 0000702704
ul. Strefowa 7, 58-200 Dzierżoniów, Poland</t>
    <phoneticPr fontId="18" type="noConversion"/>
  </si>
  <si>
    <t>Poland</t>
    <phoneticPr fontId="18" type="noConversion"/>
  </si>
  <si>
    <t>나</t>
    <phoneticPr fontId="18" type="noConversion"/>
  </si>
  <si>
    <t>H600003004E3</t>
    <phoneticPr fontId="18" type="noConversion"/>
  </si>
  <si>
    <t>재보정(medium)</t>
    <phoneticPr fontId="18" type="noConversion"/>
  </si>
  <si>
    <t>N6000015058B</t>
    <phoneticPr fontId="18" type="noConversion"/>
  </si>
  <si>
    <t>Thermal camera</t>
    <phoneticPr fontId="18" type="noConversion"/>
  </si>
  <si>
    <t>CZ600IP</t>
    <phoneticPr fontId="18" type="noConversion"/>
  </si>
  <si>
    <t>M 50mm-motor</t>
    <phoneticPr fontId="18" type="noConversion"/>
  </si>
  <si>
    <t>-</t>
    <phoneticPr fontId="18" type="noConversion"/>
  </si>
  <si>
    <t>Korea</t>
    <phoneticPr fontId="18" type="noConversion"/>
  </si>
  <si>
    <t>트리비전_연구소</t>
    <phoneticPr fontId="18" type="noConversion"/>
  </si>
  <si>
    <t>트리비전_본사</t>
  </si>
  <si>
    <t>트리비전_본사</t>
    <phoneticPr fontId="18" type="noConversion"/>
  </si>
  <si>
    <t>서울특별시 서초구 본마을 2길 13, 삼원빌딩 102호</t>
    <phoneticPr fontId="18" type="noConversion"/>
  </si>
  <si>
    <t>경기도 하남시 미사강변서로 25, F동 6층 11호</t>
    <phoneticPr fontId="18" type="noConversion"/>
  </si>
  <si>
    <t>김성남 수석님</t>
    <phoneticPr fontId="18" type="noConversion"/>
  </si>
  <si>
    <t>010-5485-9336</t>
    <phoneticPr fontId="18" type="noConversion"/>
  </si>
  <si>
    <t>triv_kim@triv.co.kr</t>
    <phoneticPr fontId="18" type="noConversion"/>
  </si>
  <si>
    <t>CG640IP</t>
    <phoneticPr fontId="18" type="noConversion"/>
  </si>
  <si>
    <t>M 8mm-motor_Medium</t>
    <phoneticPr fontId="18" type="noConversion"/>
  </si>
  <si>
    <t>M 8mm-motor_Medium(센서 사급)</t>
    <phoneticPr fontId="18" type="noConversion"/>
  </si>
  <si>
    <t>5% 할인 적용 금액</t>
    <phoneticPr fontId="18" type="noConversion"/>
  </si>
  <si>
    <t>-</t>
    <phoneticPr fontId="18" type="noConversion"/>
  </si>
  <si>
    <t>경기도 부천시 부천로 198번길 92, 401호</t>
    <phoneticPr fontId="18" type="noConversion"/>
  </si>
  <si>
    <t>김동현 차장님</t>
    <phoneticPr fontId="18" type="noConversion"/>
  </si>
  <si>
    <t>010-8707-3076</t>
    <phoneticPr fontId="18" type="noConversion"/>
  </si>
  <si>
    <t>modestydh@sjino.com</t>
    <phoneticPr fontId="18" type="noConversion"/>
  </si>
  <si>
    <t>VENTIONEX INTERNATIONAL PTE. LTD.</t>
  </si>
  <si>
    <t>Thermal camera</t>
    <phoneticPr fontId="18" type="noConversion"/>
  </si>
  <si>
    <t>CG640IP</t>
    <phoneticPr fontId="18" type="noConversion"/>
  </si>
  <si>
    <t>M 8mm-motor_High</t>
    <phoneticPr fontId="18" type="noConversion"/>
  </si>
  <si>
    <t>-</t>
    <phoneticPr fontId="18" type="noConversion"/>
  </si>
  <si>
    <t>CG640IP</t>
    <phoneticPr fontId="18" type="noConversion"/>
  </si>
  <si>
    <t>M 50mm-motor_Normal</t>
    <phoneticPr fontId="18" type="noConversion"/>
  </si>
  <si>
    <t>H600003016862</t>
    <phoneticPr fontId="18" type="noConversion"/>
  </si>
  <si>
    <t>Single PTZ</t>
    <phoneticPr fontId="18" type="noConversion"/>
  </si>
  <si>
    <t>with 60x4t Ge window</t>
    <phoneticPr fontId="18" type="noConversion"/>
  </si>
  <si>
    <t>경기도 수원시 영통구 매영로 238번길 21, 5F</t>
    <phoneticPr fontId="18" type="noConversion"/>
  </si>
  <si>
    <t>김왕배 본부장님</t>
    <phoneticPr fontId="18" type="noConversion"/>
  </si>
  <si>
    <t>010-6295-3827</t>
    <phoneticPr fontId="18" type="noConversion"/>
  </si>
  <si>
    <t>mj_sys@naver.com</t>
    <phoneticPr fontId="18" type="noConversion"/>
  </si>
  <si>
    <t>한국사회적일자리개발원</t>
  </si>
  <si>
    <t>한국사회적일자리개발원</t>
    <phoneticPr fontId="18" type="noConversion"/>
  </si>
  <si>
    <t>CG640IP</t>
    <phoneticPr fontId="18" type="noConversion"/>
  </si>
  <si>
    <t>M 20mm-motor_Medium</t>
    <phoneticPr fontId="18" type="noConversion"/>
  </si>
  <si>
    <t>M 35mm-motor_Medium</t>
    <phoneticPr fontId="18" type="noConversion"/>
  </si>
  <si>
    <t>월마운트 브라켓, 40x3t Ge window 포함</t>
    <phoneticPr fontId="18" type="noConversion"/>
  </si>
  <si>
    <t>-</t>
    <phoneticPr fontId="18" type="noConversion"/>
  </si>
  <si>
    <t>월마운트 브라켓, 45x3t Ge window 포함</t>
    <phoneticPr fontId="18" type="noConversion"/>
  </si>
  <si>
    <t>10x10 object: 20mm 렌즈
5x5 object: 35mm 렌즈
40x3t Ge window: 20mm 렌즈용
45x3t Ge window: 35mm 렌즈용</t>
    <phoneticPr fontId="18" type="noConversion"/>
  </si>
  <si>
    <t>PO</t>
    <phoneticPr fontId="12" type="noConversion"/>
  </si>
  <si>
    <t>PO:</t>
    <phoneticPr fontId="18" type="noConversion"/>
  </si>
  <si>
    <t>수리비</t>
    <phoneticPr fontId="13" type="noConversion"/>
  </si>
  <si>
    <t>CG600IP 센서 교체 및 재보정</t>
    <phoneticPr fontId="13" type="noConversion"/>
  </si>
  <si>
    <t>운임</t>
    <phoneticPr fontId="13" type="noConversion"/>
  </si>
  <si>
    <t>일본 왕복 운임</t>
    <phoneticPr fontId="13" type="noConversion"/>
  </si>
  <si>
    <t>DHL</t>
    <phoneticPr fontId="13" type="noConversion"/>
  </si>
  <si>
    <t>2024-10-25/2024-12-13/2025-01-24</t>
    <phoneticPr fontId="13" type="noConversion"/>
  </si>
  <si>
    <t>사급 그린광학 렌즈 장착</t>
    <phoneticPr fontId="13" type="noConversion"/>
  </si>
  <si>
    <t>주식회사 에스엠피</t>
  </si>
  <si>
    <t>주식회사 에스엠피</t>
    <phoneticPr fontId="18" type="noConversion"/>
  </si>
  <si>
    <t>Korea</t>
    <phoneticPr fontId="18" type="noConversion"/>
  </si>
  <si>
    <t>서울특별시 강서구 양천로 47길 40, 409호</t>
    <phoneticPr fontId="18" type="noConversion"/>
  </si>
  <si>
    <t>박준언 매니저님</t>
    <phoneticPr fontId="18" type="noConversion"/>
  </si>
  <si>
    <t>010-3254-5352</t>
    <phoneticPr fontId="18" type="noConversion"/>
  </si>
  <si>
    <t>parke@smprok.co.kr</t>
    <phoneticPr fontId="18" type="noConversion"/>
  </si>
  <si>
    <t>CG600</t>
    <phoneticPr fontId="18" type="noConversion"/>
  </si>
  <si>
    <t>-</t>
    <phoneticPr fontId="18" type="noConversion"/>
  </si>
  <si>
    <t>VENTIONEX INNOVATION SDN BHD</t>
  </si>
  <si>
    <t>VENTIONEX INNOVATION SDN BHD</t>
    <phoneticPr fontId="18" type="noConversion"/>
  </si>
  <si>
    <t>MALAISIA</t>
    <phoneticPr fontId="18" type="noConversion"/>
  </si>
  <si>
    <t>No 2, Jalan Laman Setia 7/6, Setia Business Park, 81550 Gelang Patah, Johor</t>
    <phoneticPr fontId="18" type="noConversion"/>
  </si>
  <si>
    <t>Jacklyn Ng</t>
    <phoneticPr fontId="18" type="noConversion"/>
  </si>
  <si>
    <t>+607-595-0387</t>
    <phoneticPr fontId="18" type="noConversion"/>
  </si>
  <si>
    <t>jacklyn@ventionex.com</t>
    <phoneticPr fontId="18" type="noConversion"/>
  </si>
  <si>
    <t>라임에스앤씨</t>
  </si>
  <si>
    <t>라임에스앤씨</t>
    <phoneticPr fontId="18" type="noConversion"/>
  </si>
  <si>
    <t>Korea</t>
    <phoneticPr fontId="18" type="noConversion"/>
  </si>
  <si>
    <t>서울시 금천구 벚꽃로 298, 1814호</t>
    <phoneticPr fontId="18" type="noConversion"/>
  </si>
  <si>
    <t>정회권 차장님</t>
    <phoneticPr fontId="18" type="noConversion"/>
  </si>
  <si>
    <t>010-5092-8873</t>
    <phoneticPr fontId="18" type="noConversion"/>
  </si>
  <si>
    <t>chk@limesnc.com</t>
    <phoneticPr fontId="18" type="noConversion"/>
  </si>
  <si>
    <t>Window 60x4t</t>
    <phoneticPr fontId="13" type="noConversion"/>
  </si>
  <si>
    <t>수리비</t>
    <phoneticPr fontId="18" type="noConversion"/>
  </si>
  <si>
    <t>2C1</t>
    <phoneticPr fontId="18" type="noConversion"/>
  </si>
  <si>
    <t>CG320</t>
    <phoneticPr fontId="18" type="noConversion"/>
  </si>
  <si>
    <t>A 8.1mm_Normal</t>
    <phoneticPr fontId="18" type="noConversion"/>
  </si>
  <si>
    <t>-</t>
    <phoneticPr fontId="18" type="noConversion"/>
  </si>
  <si>
    <t>H-265 엔코더 보드</t>
    <phoneticPr fontId="18" type="noConversion"/>
  </si>
  <si>
    <t>CG640IP</t>
    <phoneticPr fontId="18" type="noConversion"/>
  </si>
  <si>
    <t>DH-5100SHBD</t>
    <phoneticPr fontId="18" type="noConversion"/>
  </si>
  <si>
    <t>Window 40x3t</t>
    <phoneticPr fontId="18" type="noConversion"/>
  </si>
  <si>
    <t>-</t>
    <phoneticPr fontId="18" type="noConversion"/>
  </si>
  <si>
    <t>CZ600IP</t>
    <phoneticPr fontId="18" type="noConversion"/>
  </si>
  <si>
    <t>M 60mm-motor</t>
    <phoneticPr fontId="18" type="noConversion"/>
  </si>
  <si>
    <t>배터리 충전 컨트롤러</t>
    <phoneticPr fontId="18" type="noConversion"/>
  </si>
  <si>
    <t>기타</t>
    <phoneticPr fontId="18" type="noConversion"/>
  </si>
  <si>
    <t>배터리 충전 컨트롤러</t>
    <phoneticPr fontId="18" type="noConversion"/>
  </si>
  <si>
    <t>-</t>
    <phoneticPr fontId="18" type="noConversion"/>
  </si>
  <si>
    <t>서울시 구로구 디지털로 242 한화비즈메트로 1차 811호</t>
    <phoneticPr fontId="18" type="noConversion"/>
  </si>
  <si>
    <t>김은석 이사님</t>
    <phoneticPr fontId="18" type="noConversion"/>
  </si>
  <si>
    <t>010-3610-3790</t>
    <phoneticPr fontId="18" type="noConversion"/>
  </si>
  <si>
    <t>eskim@irvision.co.kr</t>
    <phoneticPr fontId="18" type="noConversion"/>
  </si>
  <si>
    <t>A 25mm</t>
    <phoneticPr fontId="18" type="noConversion"/>
  </si>
  <si>
    <t>640*480 온도 없는 모델</t>
    <phoneticPr fontId="18" type="noConversion"/>
  </si>
  <si>
    <t>쎈텍</t>
    <phoneticPr fontId="18" type="noConversion"/>
  </si>
  <si>
    <t>CG640IP</t>
    <phoneticPr fontId="13" type="noConversion"/>
  </si>
  <si>
    <t>M 20mm-motor_Normal</t>
    <phoneticPr fontId="13" type="noConversion"/>
  </si>
  <si>
    <t>SAS AUTOMATION MECANISATION GESTION</t>
  </si>
  <si>
    <t>SAS AUTOMATION MECANISATION GESTION</t>
    <phoneticPr fontId="18" type="noConversion"/>
  </si>
  <si>
    <t>France</t>
    <phoneticPr fontId="18" type="noConversion"/>
  </si>
  <si>
    <t>가</t>
    <phoneticPr fontId="18" type="noConversion"/>
  </si>
  <si>
    <t>Parc Innolin, 5 Rue du Golf Bât. E 2, 33700 MERIGNAC</t>
    <phoneticPr fontId="18" type="noConversion"/>
  </si>
  <si>
    <t>Delphine Labeille</t>
    <phoneticPr fontId="18" type="noConversion"/>
  </si>
  <si>
    <t>+33 05 57 34 14 80</t>
    <phoneticPr fontId="18" type="noConversion"/>
  </si>
  <si>
    <t>delphine.labeille@amg-solution.com</t>
    <phoneticPr fontId="18" type="noConversion"/>
  </si>
  <si>
    <t>포과 허가 발급 필요</t>
    <phoneticPr fontId="18" type="noConversion"/>
  </si>
  <si>
    <t>발주서</t>
    <phoneticPr fontId="13" type="noConversion"/>
  </si>
  <si>
    <t>충남대학교 선박해양공학과 스마트 선박 실험실</t>
  </si>
  <si>
    <t>충남대학교 선박해양공학과 스마트 선박 실험실</t>
    <phoneticPr fontId="18" type="noConversion"/>
  </si>
  <si>
    <t>Korea</t>
    <phoneticPr fontId="18" type="noConversion"/>
  </si>
  <si>
    <t>대전광역시 유성구 대학로 99 공학 3호관 303-1호</t>
    <phoneticPr fontId="18" type="noConversion"/>
  </si>
  <si>
    <t>권혁천 연구원님</t>
    <phoneticPr fontId="18" type="noConversion"/>
  </si>
  <si>
    <t>010-4315-2453</t>
    <phoneticPr fontId="18" type="noConversion"/>
  </si>
  <si>
    <t>kwonhc9869@naver.com</t>
    <phoneticPr fontId="18" type="noConversion"/>
  </si>
  <si>
    <t>-</t>
    <phoneticPr fontId="18" type="noConversion"/>
  </si>
  <si>
    <t>시티아이랩 주식회사</t>
    <phoneticPr fontId="18" type="noConversion"/>
  </si>
  <si>
    <t>경기도 성남시 수정구 창업로 42, 202호(시흥동, 판교 제2테크노밸리 경기 기업성장센터)</t>
    <phoneticPr fontId="18" type="noConversion"/>
  </si>
  <si>
    <t>010-6658-1040</t>
    <phoneticPr fontId="18" type="noConversion"/>
  </si>
  <si>
    <t>whiteapple@cityeyelab.com</t>
    <phoneticPr fontId="18" type="noConversion"/>
  </si>
  <si>
    <t>F320</t>
    <phoneticPr fontId="18" type="noConversion"/>
  </si>
  <si>
    <t>열화상 카메라</t>
    <phoneticPr fontId="18" type="noConversion"/>
  </si>
  <si>
    <t>F320</t>
    <phoneticPr fontId="18" type="noConversion"/>
  </si>
  <si>
    <t>90° 캘코겐 렌즈, 4cm이하, 커스텀 모듈</t>
    <phoneticPr fontId="18" type="noConversion"/>
  </si>
  <si>
    <t>Korea</t>
    <phoneticPr fontId="18" type="noConversion"/>
  </si>
  <si>
    <t>서울시 강서구 양천로 11길 7 (케이티엔씨 빌딩)</t>
    <phoneticPr fontId="18" type="noConversion"/>
  </si>
  <si>
    <t>케이티앤씨</t>
  </si>
  <si>
    <t>케이티앤씨</t>
    <phoneticPr fontId="18" type="noConversion"/>
  </si>
  <si>
    <t>CG300-NM</t>
    <phoneticPr fontId="13" type="noConversion"/>
  </si>
  <si>
    <t>A 8.1mm</t>
    <phoneticPr fontId="13" type="noConversion"/>
  </si>
  <si>
    <t>태정시스템</t>
  </si>
  <si>
    <t>태정시스템</t>
    <phoneticPr fontId="18" type="noConversion"/>
  </si>
  <si>
    <t>부산광역시 금정구 서동로 12 1층</t>
    <phoneticPr fontId="18" type="noConversion"/>
  </si>
  <si>
    <t>곽효석 이사님</t>
    <phoneticPr fontId="18" type="noConversion"/>
  </si>
  <si>
    <t>010-2914-3334</t>
    <phoneticPr fontId="18" type="noConversion"/>
  </si>
  <si>
    <t>tjk3334@naver.com</t>
    <phoneticPr fontId="18" type="noConversion"/>
  </si>
  <si>
    <t>-</t>
    <phoneticPr fontId="18" type="noConversion"/>
  </si>
  <si>
    <t>온도용만 개발됨, 보안용은 개발 안됨</t>
    <phoneticPr fontId="18" type="noConversion"/>
  </si>
  <si>
    <t>-</t>
    <phoneticPr fontId="18" type="noConversion"/>
  </si>
  <si>
    <t>노바코스</t>
    <phoneticPr fontId="18" type="noConversion"/>
  </si>
  <si>
    <t>경기도 안양시 동안구 벌말로 102번길 49</t>
    <phoneticPr fontId="18" type="noConversion"/>
  </si>
  <si>
    <t>이성호 이사님</t>
    <phoneticPr fontId="18" type="noConversion"/>
  </si>
  <si>
    <t>010-2610-6824</t>
    <phoneticPr fontId="18" type="noConversion"/>
  </si>
  <si>
    <t>leesh129@naver.com</t>
    <phoneticPr fontId="18" type="noConversion"/>
  </si>
  <si>
    <t>CG640IP</t>
    <phoneticPr fontId="18" type="noConversion"/>
  </si>
  <si>
    <t>M 8mm-motor_High</t>
    <phoneticPr fontId="18" type="noConversion"/>
  </si>
  <si>
    <t>M 20mm-motor_High</t>
    <phoneticPr fontId="18" type="noConversion"/>
  </si>
  <si>
    <t>M 35mm-motor_High</t>
    <phoneticPr fontId="18" type="noConversion"/>
  </si>
  <si>
    <t>A 6.2mm_high</t>
    <phoneticPr fontId="13" type="noConversion"/>
  </si>
  <si>
    <t>㈜글로벌시스템스</t>
  </si>
  <si>
    <t>㈜글로벌시스템스</t>
    <phoneticPr fontId="18" type="noConversion"/>
  </si>
  <si>
    <t>대전광역시 유성구 유성대로 1205번길 10, 1층(자운동, ㈜에세텔)</t>
    <phoneticPr fontId="18" type="noConversion"/>
  </si>
  <si>
    <t>박승국 상무님</t>
    <phoneticPr fontId="18" type="noConversion"/>
  </si>
  <si>
    <t>010-6282-9196</t>
    <phoneticPr fontId="18" type="noConversion"/>
  </si>
  <si>
    <t>psg9902@glovalsystem.co.kr</t>
    <phoneticPr fontId="18" type="noConversion"/>
  </si>
  <si>
    <t>M 60mm-motor</t>
    <phoneticPr fontId="13" type="noConversion"/>
  </si>
  <si>
    <t>OneCo Networks AB</t>
  </si>
  <si>
    <t>OneCo Networks AB</t>
    <phoneticPr fontId="18" type="noConversion"/>
  </si>
  <si>
    <t>Sweden</t>
    <phoneticPr fontId="18" type="noConversion"/>
  </si>
  <si>
    <t>가</t>
    <phoneticPr fontId="18" type="noConversion"/>
  </si>
  <si>
    <t>Flintyxegatan 4, 213 76 Malmö, SWEDEN</t>
    <phoneticPr fontId="18" type="noConversion"/>
  </si>
  <si>
    <t>Paul Petersson</t>
    <phoneticPr fontId="18" type="noConversion"/>
  </si>
  <si>
    <t>+4672-500 42 09</t>
    <phoneticPr fontId="18" type="noConversion"/>
  </si>
  <si>
    <t>johan.blom@oneco.se</t>
    <phoneticPr fontId="18" type="noConversion"/>
  </si>
  <si>
    <t>CG600IP</t>
    <phoneticPr fontId="18" type="noConversion"/>
  </si>
  <si>
    <t>G 8mm</t>
    <phoneticPr fontId="18" type="noConversion"/>
  </si>
  <si>
    <t>-</t>
    <phoneticPr fontId="18" type="noConversion"/>
  </si>
  <si>
    <t xml:space="preserve">A 13.8mm </t>
    <phoneticPr fontId="18" type="noConversion"/>
  </si>
  <si>
    <t>Pergam Italy</t>
  </si>
  <si>
    <t>Pergam Italy</t>
    <phoneticPr fontId="18" type="noConversion"/>
  </si>
  <si>
    <t>Italy</t>
    <phoneticPr fontId="18" type="noConversion"/>
  </si>
  <si>
    <t>가</t>
    <phoneticPr fontId="18" type="noConversion"/>
  </si>
  <si>
    <t>-</t>
    <phoneticPr fontId="18" type="noConversion"/>
  </si>
  <si>
    <t>Luca</t>
    <phoneticPr fontId="18" type="noConversion"/>
  </si>
  <si>
    <t>luca@pergamitaly.eu</t>
    <phoneticPr fontId="18" type="noConversion"/>
  </si>
  <si>
    <t>CG640</t>
    <phoneticPr fontId="18" type="noConversion"/>
  </si>
  <si>
    <t>DH-5140SHB</t>
    <phoneticPr fontId="18" type="noConversion"/>
  </si>
  <si>
    <t>including software and SDK</t>
    <phoneticPr fontId="18" type="noConversion"/>
  </si>
  <si>
    <t>대보정보통신㈜</t>
  </si>
  <si>
    <t>대보정보통신㈜</t>
    <phoneticPr fontId="18" type="noConversion"/>
  </si>
  <si>
    <t>Korea</t>
    <phoneticPr fontId="18" type="noConversion"/>
  </si>
  <si>
    <t>대전광역시 대덕구 선비마을로 6번길 20(송촌동 2,3층)</t>
    <phoneticPr fontId="18" type="noConversion"/>
  </si>
  <si>
    <t>박수호 팀장님</t>
    <phoneticPr fontId="18" type="noConversion"/>
  </si>
  <si>
    <t>010-2033-1101</t>
    <phoneticPr fontId="18" type="noConversion"/>
  </si>
  <si>
    <t>parksuho7777@dbcs.co.kr</t>
    <phoneticPr fontId="18" type="noConversion"/>
  </si>
  <si>
    <t>IP 모듈 교체</t>
    <phoneticPr fontId="18" type="noConversion"/>
  </si>
  <si>
    <t>-</t>
    <phoneticPr fontId="18" type="noConversion"/>
  </si>
  <si>
    <t>M 50mm-motor_Extreme</t>
    <phoneticPr fontId="18" type="noConversion"/>
  </si>
  <si>
    <t>Infratherm Pty Ltd</t>
  </si>
  <si>
    <t>수리비</t>
    <phoneticPr fontId="18" type="noConversion"/>
  </si>
  <si>
    <t>-</t>
    <phoneticPr fontId="18" type="noConversion"/>
  </si>
  <si>
    <t>안동병원</t>
  </si>
  <si>
    <t>안동병원</t>
    <phoneticPr fontId="18" type="noConversion"/>
  </si>
  <si>
    <t>Korea</t>
    <phoneticPr fontId="18" type="noConversion"/>
  </si>
  <si>
    <t>경상북도 안동시 앙실로 11(수상동, 820-45)</t>
    <phoneticPr fontId="18" type="noConversion"/>
  </si>
  <si>
    <t>관리팀</t>
    <phoneticPr fontId="18" type="noConversion"/>
  </si>
  <si>
    <t>010-2817-4952</t>
    <phoneticPr fontId="18" type="noConversion"/>
  </si>
  <si>
    <t>doungury@hanmail.net</t>
    <phoneticPr fontId="18" type="noConversion"/>
  </si>
  <si>
    <t>수리비</t>
    <phoneticPr fontId="18" type="noConversion"/>
  </si>
  <si>
    <t>센서 교체 및 재보정</t>
    <phoneticPr fontId="18" type="noConversion"/>
  </si>
  <si>
    <t>-</t>
    <phoneticPr fontId="18" type="noConversion"/>
  </si>
  <si>
    <t>하우징</t>
    <phoneticPr fontId="18" type="noConversion"/>
  </si>
  <si>
    <t>DH5100SHB</t>
    <phoneticPr fontId="18" type="noConversion"/>
  </si>
  <si>
    <t xml:space="preserve">30x4t </t>
    <phoneticPr fontId="18" type="noConversion"/>
  </si>
  <si>
    <t>60x4t</t>
    <phoneticPr fontId="18" type="noConversion"/>
  </si>
  <si>
    <t>기존 단가 384,000,404,000에서 750,000/6= 125,000씩을 할인한 가격임
생산 실수로 인한 재설치 비용에 대한 할인</t>
    <phoneticPr fontId="18" type="noConversion"/>
  </si>
  <si>
    <t>G 4.8mm_High</t>
  </si>
  <si>
    <t>Window 40x3t</t>
    <phoneticPr fontId="13" type="noConversion"/>
  </si>
  <si>
    <t>경기도 안양시 동안구 시민대로 365번 길52</t>
    <phoneticPr fontId="18" type="noConversion"/>
  </si>
  <si>
    <t>이순연 과장님</t>
    <phoneticPr fontId="18" type="noConversion"/>
  </si>
  <si>
    <t>010-9735-6513</t>
    <phoneticPr fontId="18" type="noConversion"/>
  </si>
  <si>
    <t>tnsdus@cctv.co.kr</t>
    <phoneticPr fontId="18" type="noConversion"/>
  </si>
  <si>
    <t>한국씨텍㈜</t>
    <phoneticPr fontId="18" type="noConversion"/>
  </si>
  <si>
    <t>서울특별시 금천구 가산디지털2로 53(가산동) 한라시그마밸리 403호, 404호, 407호</t>
    <phoneticPr fontId="18" type="noConversion"/>
  </si>
  <si>
    <t>02-706-8803</t>
    <phoneticPr fontId="18" type="noConversion"/>
  </si>
  <si>
    <t>한국씨텍㈜</t>
  </si>
  <si>
    <t>CG600IP</t>
    <phoneticPr fontId="18" type="noConversion"/>
  </si>
  <si>
    <t>Z 25-100mm-motor zoom</t>
    <phoneticPr fontId="18" type="noConversion"/>
  </si>
  <si>
    <t xml:space="preserve">Z 30-150mm-motor zoom </t>
    <phoneticPr fontId="18" type="noConversion"/>
  </si>
  <si>
    <t xml:space="preserve">Z 25-225mm-motor zoom </t>
    <phoneticPr fontId="18" type="noConversion"/>
  </si>
  <si>
    <t>서창현 이사님</t>
    <phoneticPr fontId="18" type="noConversion"/>
  </si>
  <si>
    <t>케비스전자</t>
  </si>
  <si>
    <t>CG320IP</t>
    <phoneticPr fontId="13" type="noConversion"/>
  </si>
  <si>
    <t>M 35mm-motor</t>
    <phoneticPr fontId="13" type="noConversion"/>
  </si>
  <si>
    <t>렌즈코어가공용 치공구</t>
    <phoneticPr fontId="18" type="noConversion"/>
  </si>
  <si>
    <t>-</t>
    <phoneticPr fontId="18" type="noConversion"/>
  </si>
  <si>
    <t>서비스</t>
    <phoneticPr fontId="18" type="noConversion"/>
  </si>
  <si>
    <t>수리비</t>
    <phoneticPr fontId="18" type="noConversion"/>
  </si>
  <si>
    <t>-</t>
    <phoneticPr fontId="18" type="noConversion"/>
  </si>
  <si>
    <t>DHL (일본-&gt;한국 2회, 한국-&gt;일본 1회)</t>
    <phoneticPr fontId="13" type="noConversion"/>
  </si>
  <si>
    <t>중부보안</t>
  </si>
  <si>
    <t>중부보안</t>
    <phoneticPr fontId="18" type="noConversion"/>
  </si>
  <si>
    <t>대전광역시 서구 벌곡로 1280 (가수원동 547-203)</t>
    <phoneticPr fontId="18" type="noConversion"/>
  </si>
  <si>
    <t>하동재 과장님</t>
    <phoneticPr fontId="18" type="noConversion"/>
  </si>
  <si>
    <t>010-7433-0280</t>
    <phoneticPr fontId="18" type="noConversion"/>
  </si>
  <si>
    <t>-</t>
    <phoneticPr fontId="18" type="noConversion"/>
  </si>
  <si>
    <t>M 20mm-motor</t>
    <phoneticPr fontId="13" type="noConversion"/>
  </si>
  <si>
    <t>Window 85x4t</t>
    <phoneticPr fontId="18" type="noConversion"/>
  </si>
  <si>
    <t>AR/DLC</t>
    <phoneticPr fontId="18" type="noConversion"/>
  </si>
  <si>
    <t>A 15mm</t>
    <phoneticPr fontId="13" type="noConversion"/>
  </si>
  <si>
    <t>RT250613-01</t>
  </si>
  <si>
    <t>티엔피솔루션</t>
  </si>
  <si>
    <t>티엔피솔루션</t>
    <phoneticPr fontId="18" type="noConversion"/>
  </si>
  <si>
    <t>경기도 군포시 군포첨단산업 2로 66 2층</t>
    <phoneticPr fontId="18" type="noConversion"/>
  </si>
  <si>
    <t>하의찬 과장님</t>
    <phoneticPr fontId="18" type="noConversion"/>
  </si>
  <si>
    <t>010-3171-5999</t>
    <phoneticPr fontId="18" type="noConversion"/>
  </si>
  <si>
    <t>echa@tnpsolution.kr</t>
    <phoneticPr fontId="18" type="noConversion"/>
  </si>
  <si>
    <t>영현정보통신</t>
  </si>
  <si>
    <t>영현정보통신</t>
    <phoneticPr fontId="18" type="noConversion"/>
  </si>
  <si>
    <t>박지송 대리님</t>
    <phoneticPr fontId="18" type="noConversion"/>
  </si>
  <si>
    <t>010-8524-7582</t>
    <phoneticPr fontId="18" type="noConversion"/>
  </si>
  <si>
    <t>rasx2002@gmail.com</t>
    <phoneticPr fontId="18" type="noConversion"/>
  </si>
  <si>
    <t>수리비</t>
    <phoneticPr fontId="18" type="noConversion"/>
  </si>
  <si>
    <t>S/N : S60001500DF - 보드 교체 및 영상보정 진행</t>
    <phoneticPr fontId="18" type="noConversion"/>
  </si>
  <si>
    <t>CG600IP</t>
    <phoneticPr fontId="18" type="noConversion"/>
  </si>
  <si>
    <t>탄약창</t>
    <phoneticPr fontId="18" type="noConversion"/>
  </si>
  <si>
    <t>보드 교체 및 재보정</t>
    <phoneticPr fontId="18" type="noConversion"/>
  </si>
  <si>
    <t>-</t>
    <phoneticPr fontId="18" type="noConversion"/>
  </si>
  <si>
    <t>㈜에스엔</t>
  </si>
  <si>
    <t>㈜에스엔</t>
    <phoneticPr fontId="18" type="noConversion"/>
  </si>
  <si>
    <t>대전광역시 유성구 국제과학 17로 39</t>
    <phoneticPr fontId="18" type="noConversion"/>
  </si>
  <si>
    <t>전소희 부장님</t>
    <phoneticPr fontId="18" type="noConversion"/>
  </si>
  <si>
    <t>042-933-7213</t>
    <phoneticPr fontId="18" type="noConversion"/>
  </si>
  <si>
    <t>서비스</t>
    <phoneticPr fontId="18" type="noConversion"/>
  </si>
  <si>
    <t>셔터 교체, 전원보드 교체 및 재보정</t>
    <phoneticPr fontId="18" type="noConversion"/>
  </si>
  <si>
    <t>㈜디제이아이</t>
  </si>
  <si>
    <t>㈜디제이아이</t>
    <phoneticPr fontId="18" type="noConversion"/>
  </si>
  <si>
    <t>경남 양산시 동면 금산5길 8-7</t>
    <phoneticPr fontId="18" type="noConversion"/>
  </si>
  <si>
    <t>한영민 과장님</t>
    <phoneticPr fontId="18" type="noConversion"/>
  </si>
  <si>
    <t>010-3859-7269</t>
    <phoneticPr fontId="18" type="noConversion"/>
  </si>
  <si>
    <t>alszk12@djisys.com</t>
    <phoneticPr fontId="18" type="noConversion"/>
  </si>
  <si>
    <t>FPGA, Power B/D 교체</t>
    <phoneticPr fontId="18" type="noConversion"/>
  </si>
  <si>
    <t>-</t>
    <phoneticPr fontId="18" type="noConversion"/>
  </si>
  <si>
    <t>박정연 부장님</t>
    <phoneticPr fontId="18" type="noConversion"/>
  </si>
  <si>
    <t>010-9253-6932</t>
    <phoneticPr fontId="18" type="noConversion"/>
  </si>
  <si>
    <t>jyp0828@ktnc.co.kr</t>
    <phoneticPr fontId="18" type="noConversion"/>
  </si>
  <si>
    <t>운임</t>
    <phoneticPr fontId="18" type="noConversion"/>
  </si>
  <si>
    <t>운송료</t>
    <phoneticPr fontId="18" type="noConversion"/>
  </si>
  <si>
    <t>수리비</t>
    <phoneticPr fontId="18" type="noConversion"/>
  </si>
  <si>
    <t>CG320 센서 교체 및 재보정</t>
    <phoneticPr fontId="18" type="noConversion"/>
  </si>
  <si>
    <t>-</t>
    <phoneticPr fontId="18" type="noConversion"/>
  </si>
  <si>
    <t>대전광역시 유성구 가정로 218</t>
  </si>
  <si>
    <t>주지호 연구원</t>
  </si>
  <si>
    <t>010-7271-2993</t>
  </si>
  <si>
    <t>신동준 책임님</t>
    <phoneticPr fontId="18" type="noConversion"/>
  </si>
  <si>
    <t>010-3406-4666</t>
    <phoneticPr fontId="18" type="noConversion"/>
  </si>
  <si>
    <t>jun4666.shin@samsung.com</t>
    <phoneticPr fontId="18" type="noConversion"/>
  </si>
  <si>
    <t>에스원</t>
  </si>
  <si>
    <t>CG600</t>
    <phoneticPr fontId="18" type="noConversion"/>
  </si>
  <si>
    <t>M 75mm-motor (기존 렌즈 재활용)</t>
    <phoneticPr fontId="13" type="noConversion"/>
  </si>
  <si>
    <t>-</t>
    <phoneticPr fontId="18" type="noConversion"/>
  </si>
  <si>
    <t>2025-01-15</t>
  </si>
  <si>
    <t>열화상 카메라 파워보드 교체 및 재보정</t>
  </si>
  <si>
    <t>2025-01-20</t>
  </si>
  <si>
    <t>CG640IP/4.8mm_Normal</t>
  </si>
  <si>
    <t>2025-02-05</t>
  </si>
  <si>
    <t>CG600(M 75mm-motor)</t>
  </si>
  <si>
    <t>2025-02-07</t>
  </si>
  <si>
    <t>배터리 충전 컨트롤러</t>
  </si>
  <si>
    <t>2025-02-10</t>
  </si>
  <si>
    <t>2025-02-11</t>
  </si>
  <si>
    <t>CG600IP 센서 교체 및 재보정</t>
  </si>
  <si>
    <t>2025-02-12</t>
  </si>
  <si>
    <t>2025-02-21</t>
  </si>
  <si>
    <t>2025-02-25</t>
  </si>
  <si>
    <t>H-265 엔코더 보드</t>
  </si>
  <si>
    <t>2025-02-28</t>
  </si>
  <si>
    <t>(주)아이마켓코리아</t>
  </si>
  <si>
    <t>2025-03-04</t>
  </si>
  <si>
    <t>2025-03-06</t>
  </si>
  <si>
    <t>1사단 야간카메라 셔터 교체 및 재보정</t>
  </si>
  <si>
    <t>2025-03-11</t>
  </si>
  <si>
    <t>12M 렌즈 구매 및 보정(모터, 상온)</t>
  </si>
  <si>
    <t>2025-03-17</t>
  </si>
  <si>
    <t>셔터교체 및 재보정 (CG640IP)</t>
  </si>
  <si>
    <t>2025-03-20</t>
  </si>
  <si>
    <t>2025-03-27</t>
  </si>
  <si>
    <t>열화상 카메라(CG600)</t>
  </si>
  <si>
    <t>2025-03-31</t>
  </si>
  <si>
    <t>2025-04-02</t>
  </si>
  <si>
    <t>2025-04-11</t>
  </si>
  <si>
    <t>2025-04-16</t>
  </si>
  <si>
    <t>한국지역난방공사 삼송지사</t>
  </si>
  <si>
    <t>온도보정비용(CG320-12M)</t>
  </si>
  <si>
    <t>2025-04-17</t>
  </si>
  <si>
    <t>IR모듈 교체</t>
  </si>
  <si>
    <t>2025-04-30</t>
  </si>
  <si>
    <t>2025-05-07</t>
  </si>
  <si>
    <t>2025-05-08</t>
  </si>
  <si>
    <t>2025-05-14</t>
  </si>
  <si>
    <t>2025-05-30</t>
  </si>
  <si>
    <t>렌즈코어가공용 치공구</t>
  </si>
  <si>
    <t>2025-06-11</t>
  </si>
  <si>
    <t>중랑구선거관리위원회</t>
  </si>
  <si>
    <t>카메라 브라켓(WA-80)</t>
  </si>
  <si>
    <t>2025-06-13</t>
  </si>
  <si>
    <t>보드 교체 및 재보정</t>
  </si>
  <si>
    <t>센서 교체 및 재보정</t>
  </si>
  <si>
    <t>셔터 교체, 전원보드 교체 및 재보정</t>
  </si>
  <si>
    <t>2025-06-17</t>
  </si>
  <si>
    <t>2025-06-19</t>
  </si>
  <si>
    <t>운송료</t>
  </si>
  <si>
    <t>2025-06-24</t>
  </si>
  <si>
    <t>2025-06-27</t>
  </si>
  <si>
    <t>수리비</t>
    <phoneticPr fontId="13" type="noConversion"/>
  </si>
  <si>
    <t>서비스</t>
    <phoneticPr fontId="13" type="noConversion"/>
  </si>
  <si>
    <t>열화상 카메라</t>
    <phoneticPr fontId="13" type="noConversion"/>
  </si>
  <si>
    <t>기타</t>
    <phoneticPr fontId="13" type="noConversion"/>
  </si>
  <si>
    <t>G 12mm_High</t>
    <phoneticPr fontId="13" type="noConversion"/>
  </si>
  <si>
    <t>CG320</t>
    <phoneticPr fontId="13" type="noConversion"/>
  </si>
  <si>
    <t>-</t>
    <phoneticPr fontId="13" type="noConversion"/>
  </si>
  <si>
    <t>G 8mm_High</t>
    <phoneticPr fontId="13" type="noConversion"/>
  </si>
  <si>
    <t>베이스브라켓</t>
    <phoneticPr fontId="13" type="noConversion"/>
  </si>
  <si>
    <t>COX640VSEM부품, 알루미늄재질 / Base 확장형</t>
    <phoneticPr fontId="13" type="noConversion"/>
  </si>
  <si>
    <t>외부교정비용(CG320-12M)</t>
    <phoneticPr fontId="13" type="noConversion"/>
  </si>
  <si>
    <t>센서 교체 및 재보정</t>
    <phoneticPr fontId="13" type="noConversion"/>
  </si>
  <si>
    <t>재보정</t>
    <phoneticPr fontId="13" type="noConversion"/>
  </si>
  <si>
    <t>Window 40x3t</t>
    <phoneticPr fontId="13" type="noConversion"/>
  </si>
  <si>
    <t>경기도 수원시 영통구 매영로 150 (매탄동314) 삼성전기 A6 2층</t>
    <phoneticPr fontId="18" type="noConversion"/>
  </si>
  <si>
    <t>전인경 프로</t>
    <phoneticPr fontId="18" type="noConversion"/>
  </si>
  <si>
    <t>010-9374-6262</t>
    <phoneticPr fontId="18" type="noConversion"/>
  </si>
  <si>
    <t>ik.jun@imarketkorea.com</t>
    <phoneticPr fontId="18" type="noConversion"/>
  </si>
  <si>
    <t>이은호</t>
    <phoneticPr fontId="18" type="noConversion"/>
  </si>
  <si>
    <t>010-7453-2242</t>
    <phoneticPr fontId="18" type="noConversion"/>
  </si>
  <si>
    <t>2404009@kdhsc.co.kr</t>
    <phoneticPr fontId="18" type="noConversion"/>
  </si>
  <si>
    <t>-</t>
    <phoneticPr fontId="18" type="noConversion"/>
  </si>
  <si>
    <t>서울성내중학교</t>
  </si>
  <si>
    <t>중랑구선거관리위원회</t>
    <phoneticPr fontId="18" type="noConversion"/>
  </si>
  <si>
    <t>서울특별시 중랑구 신내로 17길 106 (신내동, 중랑구노원구선거관리위원회)</t>
    <phoneticPr fontId="18" type="noConversion"/>
  </si>
  <si>
    <t>김남주</t>
    <phoneticPr fontId="18" type="noConversion"/>
  </si>
  <si>
    <t>010-3423-1390</t>
    <phoneticPr fontId="18" type="noConversion"/>
  </si>
  <si>
    <t>jnsu@nec.go.kr</t>
    <phoneticPr fontId="18" type="noConversion"/>
  </si>
  <si>
    <t>CG600-NM</t>
    <phoneticPr fontId="13" type="noConversion"/>
  </si>
  <si>
    <t>A 19mm</t>
    <phoneticPr fontId="13" type="noConversion"/>
  </si>
  <si>
    <t>M 75mm-motor</t>
    <phoneticPr fontId="13" type="noConversion"/>
  </si>
  <si>
    <t>DHL 운송비</t>
    <phoneticPr fontId="13" type="noConversion"/>
  </si>
  <si>
    <t>3회분</t>
    <phoneticPr fontId="13" type="noConversion"/>
  </si>
  <si>
    <t>교정비</t>
    <phoneticPr fontId="13" type="noConversion"/>
  </si>
  <si>
    <t>렌즈</t>
    <phoneticPr fontId="13" type="noConversion"/>
  </si>
  <si>
    <t>M 20mm-motor</t>
    <phoneticPr fontId="13" type="noConversion"/>
  </si>
  <si>
    <t>렌즈 교체 및 재보정</t>
    <phoneticPr fontId="13" type="noConversion"/>
  </si>
  <si>
    <t>아이엔아이</t>
  </si>
  <si>
    <t>아이엔아이</t>
    <phoneticPr fontId="18" type="noConversion"/>
  </si>
  <si>
    <t>윈도우</t>
    <phoneticPr fontId="13" type="noConversion"/>
  </si>
  <si>
    <t>재보정</t>
    <phoneticPr fontId="13" type="noConversion"/>
  </si>
  <si>
    <t>FPGA, Power B/D 교체</t>
    <phoneticPr fontId="13" type="noConversion"/>
  </si>
  <si>
    <t>퀵</t>
    <phoneticPr fontId="13" type="noConversion"/>
  </si>
  <si>
    <t>CG600IP 렌즈 교체 및 재보정</t>
    <phoneticPr fontId="13" type="noConversion"/>
  </si>
  <si>
    <t>A 8.1mm</t>
    <phoneticPr fontId="13" type="noConversion"/>
  </si>
  <si>
    <t>A 25mm</t>
    <phoneticPr fontId="13" type="noConversion"/>
  </si>
  <si>
    <t>CZ600</t>
    <phoneticPr fontId="13" type="noConversion"/>
  </si>
  <si>
    <t>???</t>
    <phoneticPr fontId="13" type="noConversion"/>
  </si>
  <si>
    <t>????</t>
    <phoneticPr fontId="13" type="noConversion"/>
  </si>
  <si>
    <t>공급가 입금 안됨??</t>
    <phoneticPr fontId="13" type="noConversion"/>
  </si>
  <si>
    <t>선금 50%</t>
    <phoneticPr fontId="13" type="noConversion"/>
  </si>
  <si>
    <t>잔금 50%</t>
    <phoneticPr fontId="13" type="noConversion"/>
  </si>
  <si>
    <t>부가세??? 어딨음???</t>
    <phoneticPr fontId="13" type="noConversion"/>
  </si>
  <si>
    <t>연구분</t>
    <phoneticPr fontId="13" type="noConversion"/>
  </si>
  <si>
    <t>연구분</t>
    <phoneticPr fontId="12" type="noConversion"/>
  </si>
  <si>
    <t>CZ640</t>
  </si>
  <si>
    <t>1</t>
  </si>
  <si>
    <t>DHL(Raygen)</t>
  </si>
  <si>
    <t>Ge window</t>
  </si>
  <si>
    <t>Window 145x5t</t>
  </si>
  <si>
    <t>Housing</t>
  </si>
  <si>
    <t>LTEG05XL-3-2</t>
  </si>
  <si>
    <t>DHL(COX)</t>
  </si>
  <si>
    <t>Service</t>
  </si>
  <si>
    <t>M 35mm-motor_High</t>
  </si>
  <si>
    <t>FEDEX(BIHE)</t>
  </si>
  <si>
    <t>DH-5100SHBD</t>
  </si>
  <si>
    <t>Repairment</t>
  </si>
  <si>
    <t>S200003020D7</t>
  </si>
  <si>
    <t>DHL(Focus)</t>
  </si>
  <si>
    <t>M 30mm-motor</t>
  </si>
  <si>
    <t>2025-04-18(EX240908-02잔금 50%와 함께 입금)</t>
  </si>
  <si>
    <t>M 45mm-motor</t>
  </si>
  <si>
    <t>M 65mm-motor</t>
  </si>
  <si>
    <t>G 4.8_Medium</t>
  </si>
  <si>
    <t>M 35mm-motor_Extreme</t>
  </si>
  <si>
    <t>DHL(Pergam)</t>
  </si>
  <si>
    <t>Shutter replacement and calibration/H60000301686</t>
  </si>
  <si>
    <t>Shutter replacement and calibration</t>
  </si>
  <si>
    <t>DHL(LSVP)</t>
  </si>
  <si>
    <t>Shutter replacement and calibration/H60000301682</t>
  </si>
  <si>
    <t>GC-BN-T</t>
  </si>
  <si>
    <t>Others</t>
  </si>
  <si>
    <t>Housing bracket</t>
  </si>
  <si>
    <t>FEDEX(Ventionex)</t>
  </si>
  <si>
    <t>DH-5140SHB</t>
  </si>
  <si>
    <t>G 12mm_Medium</t>
  </si>
  <si>
    <t>DHL(SAS)</t>
  </si>
  <si>
    <t>G 35mm_Normal</t>
  </si>
  <si>
    <t>G 4.8mm_normal</t>
  </si>
  <si>
    <t>CG300IP</t>
  </si>
  <si>
    <t>M 35mm-motor_Hight</t>
  </si>
  <si>
    <t>shutter replacement + re-calibration</t>
  </si>
  <si>
    <t>FEDEX(COX)</t>
  </si>
  <si>
    <t>M 50mm-motor_Extreme</t>
  </si>
  <si>
    <t>M 20mm-motor_Medical1</t>
  </si>
  <si>
    <t>FEDEX(BNS)</t>
  </si>
  <si>
    <t>sensor + shutter replacment, re-calibration</t>
  </si>
  <si>
    <t>M 4.8mm-motor_High</t>
  </si>
  <si>
    <t>M 8mm-motor_medium</t>
  </si>
  <si>
    <t>V2502005</t>
  </si>
  <si>
    <t>00047</t>
  </si>
  <si>
    <t>V250314</t>
  </si>
  <si>
    <t>V2504004</t>
  </si>
  <si>
    <t>000093</t>
  </si>
  <si>
    <t>A25 / 48</t>
  </si>
  <si>
    <t>V250510</t>
  </si>
  <si>
    <t>V250519</t>
  </si>
  <si>
    <t>EX250411-01-01</t>
    <phoneticPr fontId="12" type="noConversion"/>
  </si>
  <si>
    <t>EX250411-01-02</t>
    <phoneticPr fontId="12" type="noConversion"/>
  </si>
  <si>
    <t>CZ600</t>
    <phoneticPr fontId="12" type="noConversion"/>
  </si>
  <si>
    <t>G 8mm</t>
    <phoneticPr fontId="12" type="noConversion"/>
  </si>
  <si>
    <t>PO-81023</t>
    <phoneticPr fontId="12" type="noConversion"/>
  </si>
  <si>
    <t>PO-81019</t>
    <phoneticPr fontId="12" type="noConversion"/>
  </si>
  <si>
    <t>서비스</t>
    <phoneticPr fontId="18" type="noConversion"/>
  </si>
  <si>
    <t>수리비</t>
    <phoneticPr fontId="18" type="noConversion"/>
  </si>
  <si>
    <t>S600015001D8</t>
    <phoneticPr fontId="18" type="noConversion"/>
  </si>
  <si>
    <t>DH5140-SHB</t>
    <phoneticPr fontId="12" type="noConversion"/>
  </si>
  <si>
    <t>Ge window by Focus2k</t>
    <phoneticPr fontId="12" type="noConversion"/>
  </si>
  <si>
    <t>PO-81024</t>
    <phoneticPr fontId="12" type="noConversion"/>
  </si>
  <si>
    <t>CG600</t>
    <phoneticPr fontId="18" type="noConversion"/>
  </si>
  <si>
    <t>M 75mm-motor</t>
    <phoneticPr fontId="18" type="noConversion"/>
  </si>
  <si>
    <t>CG600IP</t>
    <phoneticPr fontId="18" type="noConversion"/>
  </si>
  <si>
    <t>황병찬 과장</t>
    <phoneticPr fontId="18" type="noConversion"/>
  </si>
  <si>
    <t>CZ640</t>
    <phoneticPr fontId="12" type="noConversion"/>
  </si>
  <si>
    <t>PO25000408</t>
    <phoneticPr fontId="12" type="noConversion"/>
  </si>
  <si>
    <t>G 75mm_Normal</t>
    <phoneticPr fontId="12" type="noConversion"/>
  </si>
  <si>
    <t>한국기계연구원</t>
  </si>
  <si>
    <t>한국기계연구원</t>
    <phoneticPr fontId="18" type="noConversion"/>
  </si>
  <si>
    <t>대전광역시 유성구 가정북로 156 기계시스템안전연구본부 시스템다이나믹스 연구슬 진동충격팀</t>
    <phoneticPr fontId="18" type="noConversion"/>
  </si>
  <si>
    <t>김 원 기술원님</t>
    <phoneticPr fontId="18" type="noConversion"/>
  </si>
  <si>
    <t>010-8381-7657</t>
    <phoneticPr fontId="18" type="noConversion"/>
  </si>
  <si>
    <t>kimwon@kimm.re.kr</t>
    <phoneticPr fontId="18" type="noConversion"/>
  </si>
  <si>
    <t>CG320</t>
    <phoneticPr fontId="13" type="noConversion"/>
  </si>
  <si>
    <t>㈜한국아이티에스</t>
  </si>
  <si>
    <t>㈜한국아이티에스</t>
    <phoneticPr fontId="18" type="noConversion"/>
  </si>
  <si>
    <t>경상북도 경산시 옥실길 136-1 한국아이티에스</t>
    <phoneticPr fontId="18" type="noConversion"/>
  </si>
  <si>
    <t>김주영 과장님</t>
    <phoneticPr fontId="18" type="noConversion"/>
  </si>
  <si>
    <t>010-4512-6652</t>
    <phoneticPr fontId="18" type="noConversion"/>
  </si>
  <si>
    <t>ceo@koits.net</t>
    <phoneticPr fontId="18" type="noConversion"/>
  </si>
  <si>
    <t>CG320</t>
    <phoneticPr fontId="18" type="noConversion"/>
  </si>
  <si>
    <t>-</t>
    <phoneticPr fontId="18" type="noConversion"/>
  </si>
  <si>
    <t>모듈 only</t>
    <phoneticPr fontId="18" type="noConversion"/>
  </si>
  <si>
    <t>CG640</t>
    <phoneticPr fontId="18" type="noConversion"/>
  </si>
  <si>
    <t>M 4.8mm-motor</t>
    <phoneticPr fontId="18" type="noConversion"/>
  </si>
  <si>
    <t>M 8mm-motor</t>
    <phoneticPr fontId="18" type="noConversion"/>
  </si>
  <si>
    <t>M 12mm-motor</t>
    <phoneticPr fontId="18" type="noConversion"/>
  </si>
  <si>
    <t>M 20mm-motor</t>
    <phoneticPr fontId="18" type="noConversion"/>
  </si>
  <si>
    <t>M 35mm-motor</t>
    <phoneticPr fontId="18" type="noConversion"/>
  </si>
  <si>
    <t>M 50mm-motor</t>
    <phoneticPr fontId="18" type="noConversion"/>
  </si>
  <si>
    <t>M 75mm-motor</t>
    <phoneticPr fontId="18" type="noConversion"/>
  </si>
  <si>
    <t>M 100mm-motor</t>
    <phoneticPr fontId="18" type="noConversion"/>
  </si>
  <si>
    <t>FOV 68.4x54(CG320), 97.1x80.7(CG640)</t>
  </si>
  <si>
    <t>FOV 30.4x23.1(CG320), 48.8x37.6(CG640)</t>
  </si>
  <si>
    <t>FOV 18.5x14(CG320), 30.4x23.1(CG640)</t>
  </si>
  <si>
    <t>FOV 10.7x8(CG320), 17.7x13.3(CG640)</t>
  </si>
  <si>
    <t>Normal temp.</t>
    <phoneticPr fontId="18" type="noConversion"/>
  </si>
  <si>
    <t>High temp.</t>
    <phoneticPr fontId="18" type="noConversion"/>
  </si>
  <si>
    <t>x</t>
    <phoneticPr fontId="18" type="noConversion"/>
  </si>
  <si>
    <t>Temp. option</t>
    <phoneticPr fontId="18" type="noConversion"/>
  </si>
  <si>
    <t>Temp. Option</t>
    <phoneticPr fontId="18" type="noConversion"/>
  </si>
  <si>
    <t>-20~120℃</t>
    <phoneticPr fontId="18" type="noConversion"/>
  </si>
  <si>
    <t>0~500℃</t>
    <phoneticPr fontId="18" type="noConversion"/>
  </si>
  <si>
    <t>FOV 3.7x2.8(CG320),    6.2x4.7(CG640)</t>
    <phoneticPr fontId="18" type="noConversion"/>
  </si>
  <si>
    <t>FOV 5x3.7(CG320),       8.3x6.2(CG640)</t>
    <phoneticPr fontId="18" type="noConversion"/>
  </si>
  <si>
    <t>열화상 카메라+렌즈+temp.option이 한 묶음으로 주문되어야 합니다.</t>
    <phoneticPr fontId="18" type="noConversion"/>
  </si>
  <si>
    <t>FOV 44.4x34(CG320),     68.4x54(CG640)</t>
    <phoneticPr fontId="18" type="noConversion"/>
  </si>
  <si>
    <t>FOV 7.5x5.6(CG320),     12.4x9.3(CG640)</t>
    <phoneticPr fontId="18" type="noConversion"/>
  </si>
  <si>
    <t>M 20mm-motor_High</t>
    <phoneticPr fontId="12" type="noConversion"/>
  </si>
  <si>
    <t>000093</t>
    <phoneticPr fontId="12" type="noConversion"/>
  </si>
  <si>
    <t>엘케이에스텍</t>
  </si>
  <si>
    <t>엘케이에스텍</t>
    <phoneticPr fontId="18" type="noConversion"/>
  </si>
  <si>
    <t>경기도 하남시 미사강변서로 25 (풍산동, 미사 테스트타워 지식산업센터 612호)</t>
    <phoneticPr fontId="18" type="noConversion"/>
  </si>
  <si>
    <t>김경철 이사</t>
    <phoneticPr fontId="18" type="noConversion"/>
  </si>
  <si>
    <t>010-6328-8296</t>
    <phoneticPr fontId="18" type="noConversion"/>
  </si>
  <si>
    <t>kkc@lkstech.com</t>
    <phoneticPr fontId="18" type="noConversion"/>
  </si>
  <si>
    <t>렌즈</t>
    <phoneticPr fontId="18" type="noConversion"/>
  </si>
  <si>
    <t>-</t>
    <phoneticPr fontId="18" type="noConversion"/>
  </si>
  <si>
    <t>재보정비 별도</t>
    <phoneticPr fontId="18" type="noConversion"/>
  </si>
  <si>
    <t>서비스</t>
    <phoneticPr fontId="18" type="noConversion"/>
  </si>
  <si>
    <t>-20~120도</t>
    <phoneticPr fontId="18" type="noConversion"/>
  </si>
  <si>
    <t>-20~120도, 0~500도 (dual)</t>
    <phoneticPr fontId="18" type="noConversion"/>
  </si>
  <si>
    <t>M 75mm-motor</t>
    <phoneticPr fontId="18" type="noConversion"/>
  </si>
  <si>
    <t>M 150mm-motor</t>
    <phoneticPr fontId="18" type="noConversion"/>
  </si>
  <si>
    <t>M 35mm-motor</t>
    <phoneticPr fontId="18" type="noConversion"/>
  </si>
  <si>
    <t>M 20mm-motor</t>
    <phoneticPr fontId="18" type="noConversion"/>
  </si>
  <si>
    <t>M 12mm-motor</t>
    <phoneticPr fontId="18" type="noConversion"/>
  </si>
  <si>
    <t>-</t>
    <phoneticPr fontId="18" type="noConversion"/>
  </si>
  <si>
    <t>V61</t>
    <phoneticPr fontId="18" type="noConversion"/>
  </si>
  <si>
    <t>af function included</t>
    <phoneticPr fontId="18" type="noConversion"/>
  </si>
  <si>
    <t>V61 카메라 10% D/C 적용</t>
    <phoneticPr fontId="18" type="noConversion"/>
  </si>
  <si>
    <t>G 8mm_Medium</t>
    <phoneticPr fontId="12" type="noConversion"/>
  </si>
  <si>
    <t>DHL(OneCo)</t>
    <phoneticPr fontId="12" type="noConversion"/>
  </si>
  <si>
    <t>㈜이노블록</t>
    <phoneticPr fontId="18" type="noConversion"/>
  </si>
  <si>
    <t>서울특별시 서초구 남부순환로347길 16 엔파크빌딩 4층, 이노블록 서울사무소</t>
    <phoneticPr fontId="18" type="noConversion"/>
  </si>
  <si>
    <t>박준형</t>
    <phoneticPr fontId="18" type="noConversion"/>
  </si>
  <si>
    <t>010-7642-2983</t>
    <phoneticPr fontId="18" type="noConversion"/>
  </si>
  <si>
    <t>parkjh@inoblock.com</t>
    <phoneticPr fontId="18" type="noConversion"/>
  </si>
  <si>
    <t>서비스</t>
    <phoneticPr fontId="13" type="noConversion"/>
  </si>
  <si>
    <t>수리비</t>
    <phoneticPr fontId="13" type="noConversion"/>
  </si>
  <si>
    <t>점검</t>
  </si>
  <si>
    <t>점검</t>
    <phoneticPr fontId="13" type="noConversion"/>
  </si>
  <si>
    <t>㈜이노블록</t>
  </si>
  <si>
    <t>-</t>
    <phoneticPr fontId="18" type="noConversion"/>
  </si>
  <si>
    <t>ANTKR</t>
  </si>
  <si>
    <t>CZ300IP</t>
    <phoneticPr fontId="13" type="noConversion"/>
  </si>
  <si>
    <t>CZ600IP</t>
    <phoneticPr fontId="13" type="noConversion"/>
  </si>
  <si>
    <t>G 8mm</t>
    <phoneticPr fontId="13" type="noConversion"/>
  </si>
  <si>
    <t>대전 중구 안영동 390-1 골든하우스 201호</t>
    <phoneticPr fontId="18" type="noConversion"/>
  </si>
  <si>
    <t>Focus 2000 Infrared Ltd</t>
    <phoneticPr fontId="12" type="noConversion"/>
  </si>
  <si>
    <t>sensor replacement + calibration</t>
    <phoneticPr fontId="12" type="noConversion"/>
  </si>
  <si>
    <t>none</t>
    <phoneticPr fontId="12" type="noConversion"/>
  </si>
  <si>
    <t>CG640</t>
    <phoneticPr fontId="12" type="noConversion"/>
  </si>
  <si>
    <t>M 50mm-motor_normal</t>
    <phoneticPr fontId="12" type="noConversion"/>
  </si>
  <si>
    <t>PO-0342</t>
    <phoneticPr fontId="12" type="noConversion"/>
  </si>
  <si>
    <t>네트워크 보드 교체 및 재보정/ S60001500227</t>
    <phoneticPr fontId="18" type="noConversion"/>
  </si>
  <si>
    <t>서울대학교병원</t>
  </si>
  <si>
    <t>서울대학교병원</t>
    <phoneticPr fontId="18" type="noConversion"/>
  </si>
  <si>
    <t>Korea</t>
    <phoneticPr fontId="18" type="noConversion"/>
  </si>
  <si>
    <t>서울 종로구 대학로 101</t>
    <phoneticPr fontId="18" type="noConversion"/>
  </si>
  <si>
    <t>이단야님</t>
    <phoneticPr fontId="18" type="noConversion"/>
  </si>
  <si>
    <t>02-2072-0604</t>
    <phoneticPr fontId="18" type="noConversion"/>
  </si>
  <si>
    <t>02637@snuh.org</t>
    <phoneticPr fontId="18" type="noConversion"/>
  </si>
  <si>
    <t>수리비</t>
    <phoneticPr fontId="18" type="noConversion"/>
  </si>
  <si>
    <t>CG320 셔터 교체 및 재보정</t>
    <phoneticPr fontId="18" type="noConversion"/>
  </si>
  <si>
    <t>-</t>
    <phoneticPr fontId="18" type="noConversion"/>
  </si>
  <si>
    <t>출장비</t>
    <phoneticPr fontId="18" type="noConversion"/>
  </si>
  <si>
    <t>제품 점검 및 수거</t>
    <phoneticPr fontId="18" type="noConversion"/>
  </si>
  <si>
    <t>EX250526-01-01</t>
    <phoneticPr fontId="12" type="noConversion"/>
  </si>
  <si>
    <t>A 35mm</t>
    <phoneticPr fontId="12" type="noConversion"/>
  </si>
  <si>
    <t>Athermalized 35mm lens</t>
    <phoneticPr fontId="12" type="noConversion"/>
  </si>
  <si>
    <t>영세율 진행의 건</t>
    <phoneticPr fontId="13" type="noConversion"/>
  </si>
  <si>
    <t>V61</t>
    <phoneticPr fontId="13" type="noConversion"/>
  </si>
  <si>
    <t>Thermal camera</t>
    <phoneticPr fontId="12" type="noConversion"/>
  </si>
  <si>
    <t>CG640</t>
    <phoneticPr fontId="12" type="noConversion"/>
  </si>
  <si>
    <t>G 4.8_Medium</t>
    <phoneticPr fontId="12" type="noConversion"/>
  </si>
  <si>
    <t>PO-81027</t>
    <phoneticPr fontId="12" type="noConversion"/>
  </si>
  <si>
    <t>VENTIONEX INNOVATION SDN BHD</t>
    <phoneticPr fontId="12" type="noConversion"/>
  </si>
  <si>
    <t>CG600IP</t>
    <phoneticPr fontId="13" type="noConversion"/>
  </si>
  <si>
    <t>렌즈</t>
    <phoneticPr fontId="12" type="noConversion"/>
  </si>
  <si>
    <t>Thermal camera</t>
    <phoneticPr fontId="12" type="noConversion"/>
  </si>
  <si>
    <t>CG320IP</t>
    <phoneticPr fontId="12" type="noConversion"/>
  </si>
  <si>
    <t>G 8mm_normal</t>
    <phoneticPr fontId="12" type="noConversion"/>
  </si>
  <si>
    <t>G 12mm_normal</t>
    <phoneticPr fontId="12" type="noConversion"/>
  </si>
  <si>
    <t>PO-000160</t>
    <phoneticPr fontId="12" type="noConversion"/>
  </si>
  <si>
    <t>아이뷰테크놀로지</t>
  </si>
  <si>
    <t>CF320</t>
    <phoneticPr fontId="18" type="noConversion"/>
  </si>
  <si>
    <t>A 8.1mm</t>
    <phoneticPr fontId="18" type="noConversion"/>
  </si>
  <si>
    <t>-</t>
    <phoneticPr fontId="18" type="noConversion"/>
  </si>
  <si>
    <t>M 12mm-motor_Normal</t>
    <phoneticPr fontId="13" type="noConversion"/>
  </si>
  <si>
    <t>M 4.8mm-motor_Normal</t>
    <phoneticPr fontId="13" type="noConversion"/>
  </si>
  <si>
    <t>서비스</t>
    <phoneticPr fontId="18" type="noConversion"/>
  </si>
  <si>
    <t>H60000300661 셔터교체</t>
    <phoneticPr fontId="18" type="noConversion"/>
  </si>
  <si>
    <t>윈도우</t>
    <phoneticPr fontId="18" type="noConversion"/>
  </si>
  <si>
    <t>김택진 부장님</t>
    <phoneticPr fontId="18" type="noConversion"/>
  </si>
  <si>
    <t>010-9489-8797</t>
    <phoneticPr fontId="18" type="noConversion"/>
  </si>
  <si>
    <t>S6000150021F 셔터 교체 및 재보정</t>
    <phoneticPr fontId="18" type="noConversion"/>
  </si>
  <si>
    <t>박상철 부장님</t>
    <phoneticPr fontId="18" type="noConversion"/>
  </si>
  <si>
    <t>Global Proof S.r.l.</t>
    <phoneticPr fontId="12" type="noConversion"/>
  </si>
  <si>
    <t>Shutter</t>
    <phoneticPr fontId="12" type="noConversion"/>
  </si>
  <si>
    <t>서비스</t>
    <phoneticPr fontId="13" type="noConversion"/>
  </si>
  <si>
    <t>수리비</t>
    <phoneticPr fontId="13" type="noConversion"/>
  </si>
  <si>
    <t>CG600</t>
    <phoneticPr fontId="13" type="noConversion"/>
  </si>
  <si>
    <t>Window 85x4t</t>
    <phoneticPr fontId="13" type="noConversion"/>
  </si>
  <si>
    <t>-</t>
    <phoneticPr fontId="13" type="noConversion"/>
  </si>
  <si>
    <t>CG320 센서교체 및 재보정</t>
    <phoneticPr fontId="13" type="noConversion"/>
  </si>
  <si>
    <t>DX-60</t>
    <phoneticPr fontId="18" type="noConversion"/>
  </si>
  <si>
    <t>열상: 640x480px 50mm motorized lens
실상: 2MP 
하우징: IP66</t>
    <phoneticPr fontId="18" type="noConversion"/>
  </si>
  <si>
    <t>외곽감시용 열화상 카메라</t>
    <phoneticPr fontId="18" type="noConversion"/>
  </si>
  <si>
    <t>열화상카메라 해상도 640x480
CCTV 해상도 1920x1080</t>
    <phoneticPr fontId="18" type="noConversion"/>
  </si>
  <si>
    <t>G 4.8mm_High</t>
    <phoneticPr fontId="13" type="noConversion"/>
  </si>
  <si>
    <t>S20000500B14 셔터 교체 및 재보정</t>
    <phoneticPr fontId="13" type="noConversion"/>
  </si>
  <si>
    <t>S60000500256 셔터 교체 및 재보정</t>
    <phoneticPr fontId="13" type="noConversion"/>
  </si>
  <si>
    <t>S60000500AC0 셔터 교체 및 재보정</t>
    <phoneticPr fontId="13" type="noConversion"/>
  </si>
  <si>
    <t>-</t>
    <phoneticPr fontId="13" type="noConversion"/>
  </si>
  <si>
    <t>열화상 카메라</t>
    <phoneticPr fontId="13" type="noConversion"/>
  </si>
  <si>
    <t>CG320</t>
    <phoneticPr fontId="13" type="noConversion"/>
  </si>
  <si>
    <t>G 12mm_High</t>
    <phoneticPr fontId="13" type="noConversion"/>
  </si>
  <si>
    <t>HST-20250827YS-1</t>
    <phoneticPr fontId="13" type="noConversion"/>
  </si>
  <si>
    <t>EX250422-03-02</t>
    <phoneticPr fontId="12" type="noConversion"/>
  </si>
  <si>
    <t>EX250422-03-03</t>
    <phoneticPr fontId="12" type="noConversion"/>
  </si>
  <si>
    <t>KR250826-01-25</t>
    <phoneticPr fontId="13" type="noConversion"/>
  </si>
  <si>
    <t>KR250826-01-9</t>
    <phoneticPr fontId="13" type="noConversion"/>
  </si>
  <si>
    <t>KR250826-01-15</t>
  </si>
  <si>
    <t>KR250826-01-15</t>
    <phoneticPr fontId="13" type="noConversion"/>
  </si>
  <si>
    <t>이노로보틱스㈜</t>
    <phoneticPr fontId="18" type="noConversion"/>
  </si>
  <si>
    <t>Korea</t>
    <phoneticPr fontId="18" type="noConversion"/>
  </si>
  <si>
    <t xml:space="preserve">경기도 화성시 정남면 정남산단로 80 </t>
    <phoneticPr fontId="18" type="noConversion"/>
  </si>
  <si>
    <t>이영진 이사님</t>
    <phoneticPr fontId="18" type="noConversion"/>
  </si>
  <si>
    <t>010-2463-1718</t>
    <phoneticPr fontId="18" type="noConversion"/>
  </si>
  <si>
    <t>yj.lee1@innorobotics.co.kr</t>
    <phoneticPr fontId="18" type="noConversion"/>
  </si>
  <si>
    <t>CG640</t>
    <phoneticPr fontId="18" type="noConversion"/>
  </si>
  <si>
    <t>-20~120도 측정, 0~500도 측정 범위 변환시 추가 금액 300,000원
30cm 거리에서 0.3x0.3cm object 측정시, 측정 object size: 470x470px of 640x480px</t>
    <phoneticPr fontId="18" type="noConversion"/>
  </si>
  <si>
    <t>Thermal camera</t>
    <phoneticPr fontId="12" type="noConversion"/>
  </si>
  <si>
    <t>CG640</t>
    <phoneticPr fontId="12" type="noConversion"/>
  </si>
  <si>
    <t>G 4.8_Medium</t>
    <phoneticPr fontId="12" type="noConversion"/>
  </si>
  <si>
    <t>G 8mm_Medium</t>
    <phoneticPr fontId="12" type="noConversion"/>
  </si>
  <si>
    <t>PO-81028</t>
    <phoneticPr fontId="12" type="noConversion"/>
  </si>
  <si>
    <t>V250613</t>
    <phoneticPr fontId="12" type="noConversion"/>
  </si>
  <si>
    <t>기타</t>
    <phoneticPr fontId="18" type="noConversion"/>
  </si>
  <si>
    <t>기어+커버</t>
    <phoneticPr fontId="18" type="noConversion"/>
  </si>
  <si>
    <t>for 150mm motorized lens</t>
    <phoneticPr fontId="18" type="noConversion"/>
  </si>
  <si>
    <t>모터(모터+감속기)</t>
    <phoneticPr fontId="18" type="noConversion"/>
  </si>
  <si>
    <t>EX250911-01</t>
  </si>
  <si>
    <t>DHL(967071376)</t>
    <phoneticPr fontId="12" type="noConversion"/>
  </si>
  <si>
    <t>CG320</t>
    <phoneticPr fontId="13" type="noConversion"/>
  </si>
  <si>
    <t>A 8.1mm_Medical2</t>
    <phoneticPr fontId="13" type="noConversion"/>
  </si>
  <si>
    <t>HST-20250911YS-1</t>
    <phoneticPr fontId="13" type="noConversion"/>
  </si>
  <si>
    <t>CG640</t>
    <phoneticPr fontId="13" type="noConversion"/>
  </si>
  <si>
    <t>x0.6 micro objective lens_normal</t>
    <phoneticPr fontId="13" type="noConversion"/>
  </si>
  <si>
    <t>HST-20250915YS-1</t>
    <phoneticPr fontId="13" type="noConversion"/>
  </si>
  <si>
    <t>KR250826-01-25</t>
  </si>
  <si>
    <t>S20000500B14 셔터 교체 및 재보정</t>
  </si>
  <si>
    <t>KR250826-01-9</t>
  </si>
  <si>
    <t>S60000500256 셔터 교체 및 재보정</t>
  </si>
  <si>
    <t>S60000500AC0 셔터 교체 및 재보정</t>
  </si>
  <si>
    <t>-</t>
    <phoneticPr fontId="18" type="noConversion"/>
  </si>
  <si>
    <t>25사단</t>
    <phoneticPr fontId="18" type="noConversion"/>
  </si>
  <si>
    <t>9사단</t>
    <phoneticPr fontId="18" type="noConversion"/>
  </si>
  <si>
    <t>15사단</t>
    <phoneticPr fontId="18" type="noConversion"/>
  </si>
  <si>
    <t>60200267 셔터교체</t>
    <phoneticPr fontId="18" type="noConversion"/>
  </si>
  <si>
    <t>Thermal camera</t>
    <phoneticPr fontId="12" type="noConversion"/>
  </si>
  <si>
    <t>G 4.8mm_Medium</t>
    <phoneticPr fontId="12" type="noConversion"/>
  </si>
  <si>
    <t>PO-81030</t>
    <phoneticPr fontId="12" type="noConversion"/>
  </si>
  <si>
    <t>CG600IP</t>
    <phoneticPr fontId="12" type="noConversion"/>
  </si>
  <si>
    <t>CF320</t>
    <phoneticPr fontId="13" type="noConversion"/>
  </si>
  <si>
    <t>-</t>
    <phoneticPr fontId="13" type="noConversion"/>
  </si>
  <si>
    <t>A 35mm</t>
    <phoneticPr fontId="18" type="noConversion"/>
  </si>
  <si>
    <t>-</t>
    <phoneticPr fontId="18" type="noConversion"/>
  </si>
  <si>
    <t>CZ600IP</t>
    <phoneticPr fontId="18" type="noConversion"/>
  </si>
  <si>
    <t>N6000050093A, N60000500AE2</t>
    <phoneticPr fontId="12" type="noConversion"/>
  </si>
  <si>
    <t>no PO</t>
    <phoneticPr fontId="12" type="noConversion"/>
  </si>
  <si>
    <t>Thermal camera</t>
    <phoneticPr fontId="12" type="noConversion"/>
  </si>
  <si>
    <t>CG640</t>
    <phoneticPr fontId="12" type="noConversion"/>
  </si>
  <si>
    <t>PO-81031</t>
    <phoneticPr fontId="12" type="noConversion"/>
  </si>
  <si>
    <t>전라북도 정읍시 정읍사로 569</t>
    <phoneticPr fontId="18" type="noConversion"/>
  </si>
  <si>
    <t>Thermal camera</t>
    <phoneticPr fontId="12" type="noConversion"/>
  </si>
  <si>
    <t>CG640</t>
    <phoneticPr fontId="12" type="noConversion"/>
  </si>
  <si>
    <t>PO-81032</t>
    <phoneticPr fontId="12" type="noConversion"/>
  </si>
  <si>
    <t>CZ600IP</t>
    <phoneticPr fontId="13" type="noConversion"/>
  </si>
  <si>
    <t>AR-25-0929001</t>
    <phoneticPr fontId="13" type="noConversion"/>
  </si>
  <si>
    <t>A 35mm</t>
    <phoneticPr fontId="13" type="noConversion"/>
  </si>
  <si>
    <t>-</t>
    <phoneticPr fontId="12" type="noConversion"/>
  </si>
  <si>
    <t>Lens</t>
    <phoneticPr fontId="12" type="noConversion"/>
  </si>
  <si>
    <t>CG320IP</t>
    <phoneticPr fontId="18" type="noConversion"/>
  </si>
  <si>
    <t>Window 40x3t</t>
    <phoneticPr fontId="18" type="noConversion"/>
  </si>
  <si>
    <t>M 12mm-motor_Normal</t>
    <phoneticPr fontId="18" type="noConversion"/>
  </si>
  <si>
    <t>8/8 입고제품, 10/1 출고</t>
    <phoneticPr fontId="18" type="noConversion"/>
  </si>
  <si>
    <t>-</t>
    <phoneticPr fontId="18" type="noConversion"/>
  </si>
  <si>
    <t>주식회사 이피씨</t>
  </si>
  <si>
    <t>주식회사 이피씨</t>
    <phoneticPr fontId="18" type="noConversion"/>
  </si>
  <si>
    <t>경기도 수원시 영통구 삼성로 274 팩토리월드 610호</t>
    <phoneticPr fontId="18" type="noConversion"/>
  </si>
  <si>
    <t>이희창 과장님</t>
    <phoneticPr fontId="18" type="noConversion"/>
  </si>
  <si>
    <t>010-2598-3901</t>
    <phoneticPr fontId="18" type="noConversion"/>
  </si>
  <si>
    <t>hclee@epckorea.com</t>
    <phoneticPr fontId="18" type="noConversion"/>
  </si>
  <si>
    <t>CG600</t>
    <phoneticPr fontId="18" type="noConversion"/>
  </si>
  <si>
    <t>-</t>
    <phoneticPr fontId="18" type="noConversion"/>
  </si>
  <si>
    <t>한전KDN</t>
  </si>
  <si>
    <t>한전KDN</t>
    <phoneticPr fontId="18" type="noConversion"/>
  </si>
  <si>
    <t>전라남도 나주시 빛가람로 661</t>
    <phoneticPr fontId="18" type="noConversion"/>
  </si>
  <si>
    <t>박상형 대표</t>
    <phoneticPr fontId="18" type="noConversion"/>
  </si>
  <si>
    <t>-</t>
    <phoneticPr fontId="18" type="noConversion"/>
  </si>
  <si>
    <t>V61</t>
    <phoneticPr fontId="13" type="noConversion"/>
  </si>
  <si>
    <t>경기도 과전시 과천대로 7나길 9 (갈현동 DX타워 12층)</t>
    <phoneticPr fontId="18" type="noConversion"/>
  </si>
  <si>
    <t>명재선 부장님</t>
    <phoneticPr fontId="18" type="noConversion"/>
  </si>
  <si>
    <t>010-5065-9346</t>
    <phoneticPr fontId="18" type="noConversion"/>
  </si>
  <si>
    <t>mjs419@cudo.co.kr</t>
    <phoneticPr fontId="18" type="noConversion"/>
  </si>
  <si>
    <t>CG640</t>
    <phoneticPr fontId="13" type="noConversion"/>
  </si>
  <si>
    <t>CG320-&gt;CG640 교체건</t>
    <phoneticPr fontId="13" type="noConversion"/>
  </si>
  <si>
    <t>수리비</t>
    <phoneticPr fontId="13" type="noConversion"/>
  </si>
  <si>
    <t>셔터 교체 및 튜닝</t>
    <phoneticPr fontId="13" type="noConversion"/>
  </si>
  <si>
    <t>서비스</t>
    <phoneticPr fontId="13" type="noConversion"/>
  </si>
  <si>
    <t>열화상 카메라 점검 및 수리</t>
    <phoneticPr fontId="13" type="noConversion"/>
  </si>
  <si>
    <t>60200267 셔터교체</t>
    <phoneticPr fontId="13" type="noConversion"/>
  </si>
  <si>
    <t>기타</t>
    <phoneticPr fontId="13" type="noConversion"/>
  </si>
  <si>
    <t>센서 교체 및 재보정</t>
    <phoneticPr fontId="13" type="noConversion"/>
  </si>
  <si>
    <t>기어+커버</t>
    <phoneticPr fontId="13" type="noConversion"/>
  </si>
  <si>
    <t>모터</t>
    <phoneticPr fontId="13" type="noConversion"/>
  </si>
  <si>
    <t>-</t>
    <phoneticPr fontId="13" type="noConversion"/>
  </si>
  <si>
    <t>DHL(COX)</t>
    <phoneticPr fontId="12" type="noConversion"/>
  </si>
  <si>
    <t>DHL(Insight robotics)</t>
    <phoneticPr fontId="12" type="noConversion"/>
  </si>
  <si>
    <t>TNT(Global proof)</t>
    <phoneticPr fontId="12" type="noConversion"/>
  </si>
  <si>
    <t>열화상 카메라</t>
    <phoneticPr fontId="13" type="noConversion"/>
  </si>
  <si>
    <t>V61</t>
    <phoneticPr fontId="13" type="noConversion"/>
  </si>
  <si>
    <t>Z 25-225mm-motor</t>
    <phoneticPr fontId="13" type="noConversion"/>
  </si>
  <si>
    <t>M 75mm-motor (기존 렌즈 재활용)</t>
  </si>
  <si>
    <t>윈도우</t>
  </si>
  <si>
    <t>AR/DLC</t>
  </si>
  <si>
    <t>COX640AV</t>
    <phoneticPr fontId="13" type="noConversion"/>
  </si>
  <si>
    <t>㈜아이준</t>
  </si>
  <si>
    <t>㈜아이준</t>
    <phoneticPr fontId="18" type="noConversion"/>
  </si>
  <si>
    <t>대전광역시 유성구 복용동로 43 도안더리브시그니처 F-333호</t>
    <phoneticPr fontId="18" type="noConversion"/>
  </si>
  <si>
    <t>황운성 대표님</t>
    <phoneticPr fontId="18" type="noConversion"/>
  </si>
  <si>
    <t>010-4410-1454</t>
    <phoneticPr fontId="18" type="noConversion"/>
  </si>
  <si>
    <t>hws202@ijoon.net</t>
    <phoneticPr fontId="18" type="noConversion"/>
  </si>
  <si>
    <t>CN300</t>
    <phoneticPr fontId="13" type="noConversion"/>
  </si>
  <si>
    <t>A 8.1mm (ECU포함)</t>
    <phoneticPr fontId="13" type="noConversion"/>
  </si>
  <si>
    <t>25mm</t>
    <phoneticPr fontId="13" type="noConversion"/>
  </si>
  <si>
    <t>A 8.1mm</t>
    <phoneticPr fontId="12" type="noConversion"/>
  </si>
  <si>
    <t>N60000500376</t>
    <phoneticPr fontId="12" type="noConversion"/>
  </si>
  <si>
    <t>N6000030018</t>
    <phoneticPr fontId="12" type="noConversion"/>
  </si>
  <si>
    <t>주식회사 아이티브에이아이</t>
  </si>
  <si>
    <t>주식회사 아이티브에이아이</t>
    <phoneticPr fontId="18" type="noConversion"/>
  </si>
  <si>
    <t>경기도 용인시 기흥구 기흥로 58-1 기흥 ICT 밸리 A동 1205호</t>
    <phoneticPr fontId="18" type="noConversion"/>
  </si>
  <si>
    <t>이지홍 과장님</t>
    <phoneticPr fontId="18" type="noConversion"/>
  </si>
  <si>
    <t>010-4177-6147</t>
    <phoneticPr fontId="18" type="noConversion"/>
  </si>
  <si>
    <t>jihong@itivai.com</t>
    <phoneticPr fontId="18" type="noConversion"/>
  </si>
  <si>
    <t>CG600</t>
    <phoneticPr fontId="18" type="noConversion"/>
  </si>
  <si>
    <t>-</t>
    <phoneticPr fontId="18" type="noConversion"/>
  </si>
  <si>
    <t>jun4666.shin@samsung.com</t>
  </si>
  <si>
    <t>SX251103-01</t>
    <phoneticPr fontId="13" type="noConversion"/>
  </si>
  <si>
    <t>CG640IP</t>
    <phoneticPr fontId="18" type="noConversion"/>
  </si>
  <si>
    <t>M 50mm-motor_High</t>
    <phoneticPr fontId="18" type="noConversion"/>
  </si>
  <si>
    <t>3% discount</t>
    <phoneticPr fontId="18" type="noConversion"/>
  </si>
  <si>
    <t>수리비</t>
    <phoneticPr fontId="13" type="noConversion"/>
  </si>
  <si>
    <t>셔터 교체</t>
    <phoneticPr fontId="13" type="noConversion"/>
  </si>
  <si>
    <t>RMA2510-08</t>
    <phoneticPr fontId="18" type="noConversion"/>
  </si>
  <si>
    <t>VENTIONEX INNOVATION SDN BHD</t>
    <phoneticPr fontId="12" type="noConversion"/>
  </si>
  <si>
    <t>Thermal camera</t>
    <phoneticPr fontId="12" type="noConversion"/>
  </si>
  <si>
    <t>CG640IP</t>
    <phoneticPr fontId="12" type="noConversion"/>
  </si>
  <si>
    <t>M 50mm-motor_High</t>
    <phoneticPr fontId="12" type="noConversion"/>
  </si>
  <si>
    <t>V2511001</t>
    <phoneticPr fontId="12" type="noConversion"/>
  </si>
  <si>
    <t>Thermal camera</t>
    <phoneticPr fontId="12" type="noConversion"/>
  </si>
  <si>
    <t>CG640IP</t>
    <phoneticPr fontId="12" type="noConversion"/>
  </si>
  <si>
    <t>G 8mm_Normal</t>
    <phoneticPr fontId="12" type="noConversion"/>
  </si>
  <si>
    <t>쎈텍</t>
  </si>
  <si>
    <t>윈도우</t>
    <phoneticPr fontId="13" type="noConversion"/>
  </si>
  <si>
    <t>Window 40x3t</t>
    <phoneticPr fontId="13" type="noConversion"/>
  </si>
  <si>
    <t>-</t>
    <phoneticPr fontId="13" type="noConversion"/>
  </si>
  <si>
    <t>251106-005</t>
    <phoneticPr fontId="13" type="noConversion"/>
  </si>
  <si>
    <t>기타</t>
    <phoneticPr fontId="18" type="noConversion"/>
  </si>
  <si>
    <t>CB55</t>
    <phoneticPr fontId="18" type="noConversion"/>
  </si>
  <si>
    <t>35도 1대, 45도 1대</t>
    <phoneticPr fontId="18" type="noConversion"/>
  </si>
  <si>
    <t>-</t>
    <phoneticPr fontId="18" type="noConversion"/>
  </si>
  <si>
    <t>RMA2509-08</t>
    <phoneticPr fontId="12" type="noConversion"/>
  </si>
  <si>
    <t>11/15 30% 입금예정</t>
    <phoneticPr fontId="13" type="noConversion"/>
  </si>
  <si>
    <t>25mm</t>
    <phoneticPr fontId="13" type="noConversion"/>
  </si>
  <si>
    <t>Janos 렌즈</t>
    <phoneticPr fontId="13" type="noConversion"/>
  </si>
  <si>
    <t>발주 예정</t>
    <phoneticPr fontId="13" type="noConversion"/>
  </si>
  <si>
    <t>새만금</t>
    <phoneticPr fontId="13" type="noConversion"/>
  </si>
  <si>
    <t>V61</t>
    <phoneticPr fontId="13" type="noConversion"/>
  </si>
  <si>
    <t>사급렌즈, 줌모듈만</t>
    <phoneticPr fontId="13" type="noConversion"/>
  </si>
  <si>
    <t>-</t>
    <phoneticPr fontId="18" type="noConversion"/>
  </si>
  <si>
    <t>신소연 파트장님</t>
    <phoneticPr fontId="18" type="noConversion"/>
  </si>
  <si>
    <t>02-3410-2051</t>
    <phoneticPr fontId="18" type="noConversion"/>
  </si>
  <si>
    <t>sy6471.shin@samsung.com</t>
    <phoneticPr fontId="18" type="noConversion"/>
  </si>
  <si>
    <t>CG320</t>
    <phoneticPr fontId="18" type="noConversion"/>
  </si>
  <si>
    <t>삼성병원</t>
  </si>
  <si>
    <t>삼성병원</t>
    <phoneticPr fontId="18" type="noConversion"/>
  </si>
  <si>
    <t>1. 60X10T로 보정 2. 무지박스 사용 3. 사이드 스티커 X4. 인증 마크 스티커 O 5. 시리얼 스티커에서 인증번호만 삭제 6. 성적서는 특이사항 없이 FM대로 작성</t>
    <phoneticPr fontId="18" type="noConversion"/>
  </si>
  <si>
    <t>CG640IP</t>
    <phoneticPr fontId="12" type="noConversion"/>
  </si>
  <si>
    <t>M 8mm-motor_High</t>
    <phoneticPr fontId="12" type="noConversion"/>
  </si>
  <si>
    <t>V2511012</t>
    <phoneticPr fontId="12" type="noConversion"/>
  </si>
  <si>
    <t>Thermal camera</t>
    <phoneticPr fontId="12" type="noConversion"/>
  </si>
  <si>
    <t>CG640</t>
    <phoneticPr fontId="12" type="noConversion"/>
  </si>
  <si>
    <t>G 4.8mm_Medium</t>
    <phoneticPr fontId="12" type="noConversion"/>
  </si>
  <si>
    <t>PO-81038</t>
    <phoneticPr fontId="12" type="noConversion"/>
  </si>
  <si>
    <t>DH-5140SHB</t>
    <phoneticPr fontId="12" type="noConversion"/>
  </si>
  <si>
    <t>Window 60x4t</t>
    <phoneticPr fontId="12" type="noConversion"/>
  </si>
  <si>
    <t>PO-81017</t>
    <phoneticPr fontId="12" type="noConversion"/>
  </si>
  <si>
    <t>16080(선금 50%)</t>
    <phoneticPr fontId="12" type="noConversion"/>
  </si>
  <si>
    <t>CZ1000IP</t>
    <phoneticPr fontId="13" type="noConversion"/>
  </si>
  <si>
    <t>M 35mm-motor_9Hz</t>
    <phoneticPr fontId="13" type="noConversion"/>
  </si>
  <si>
    <t>수리비</t>
    <phoneticPr fontId="18" type="noConversion"/>
  </si>
  <si>
    <t>S60001500287 엔진보드, 셔터교체 및 재보정</t>
    <phoneticPr fontId="18" type="noConversion"/>
  </si>
  <si>
    <t>-</t>
    <phoneticPr fontId="18" type="noConversion"/>
  </si>
  <si>
    <t>새만금</t>
  </si>
  <si>
    <t>새만금</t>
    <phoneticPr fontId="18" type="noConversion"/>
  </si>
  <si>
    <t>-</t>
    <phoneticPr fontId="18" type="noConversion"/>
  </si>
  <si>
    <t>피에조, 줌모듈, 렌즈 사급</t>
    <phoneticPr fontId="13" type="noConversion"/>
  </si>
  <si>
    <t>-</t>
    <phoneticPr fontId="13" type="noConversion"/>
  </si>
  <si>
    <t>ZellooTec25-802</t>
    <phoneticPr fontId="13" type="noConversion"/>
  </si>
  <si>
    <t>Window 60x4t</t>
    <phoneticPr fontId="12" type="noConversion"/>
  </si>
  <si>
    <t>PO-81040</t>
    <phoneticPr fontId="12" type="noConversion"/>
  </si>
  <si>
    <t>Thermal camera</t>
    <phoneticPr fontId="12" type="noConversion"/>
  </si>
  <si>
    <t>CG640</t>
    <phoneticPr fontId="12" type="noConversion"/>
  </si>
  <si>
    <t>PO-81039</t>
    <phoneticPr fontId="12" type="noConversion"/>
  </si>
  <si>
    <t>서비스</t>
    <phoneticPr fontId="18" type="noConversion"/>
  </si>
  <si>
    <t>수리비</t>
    <phoneticPr fontId="18" type="noConversion"/>
  </si>
  <si>
    <t>-</t>
    <phoneticPr fontId="18" type="noConversion"/>
  </si>
  <si>
    <t>영상보정</t>
    <phoneticPr fontId="18" type="noConversion"/>
  </si>
  <si>
    <t>셔터교체</t>
    <phoneticPr fontId="18" type="noConversion"/>
  </si>
  <si>
    <t>점검비용(전원, 영상보드)</t>
    <phoneticPr fontId="18" type="noConversion"/>
  </si>
  <si>
    <t>INT2 B/D 교체</t>
    <phoneticPr fontId="18" type="noConversion"/>
  </si>
  <si>
    <t>카메라 설치 비용(출장비용 포함)</t>
    <phoneticPr fontId="18" type="noConversion"/>
  </si>
  <si>
    <t>구매후 입금만 받음, 콕스 보관</t>
    <phoneticPr fontId="12" type="noConversion"/>
  </si>
  <si>
    <t>비고</t>
    <phoneticPr fontId="12" type="noConversion"/>
  </si>
  <si>
    <t>-</t>
    <phoneticPr fontId="12" type="noConversion"/>
  </si>
  <si>
    <t>1대씩 진행
현재진행율 2/5
3대 환불 요청
크레딧으로 환불 제안</t>
    <phoneticPr fontId="12" type="noConversion"/>
  </si>
  <si>
    <t>전략물가 허가 거절</t>
    <phoneticPr fontId="12" type="noConversion"/>
  </si>
  <si>
    <t>생산완료 입금대기</t>
    <phoneticPr fontId="12" type="noConversion"/>
  </si>
  <si>
    <t>생산중</t>
    <phoneticPr fontId="12" type="noConversion"/>
  </si>
  <si>
    <t>생산완료 출고대기</t>
    <phoneticPr fontId="12" type="noConversion"/>
  </si>
  <si>
    <t>생산중, 하우징 대기중</t>
    <phoneticPr fontId="12" type="noConversion"/>
  </si>
  <si>
    <t>S6000150022B IP 모듈 교체 및 재보정</t>
    <phoneticPr fontId="18" type="noConversion"/>
  </si>
  <si>
    <t>발송일</t>
  </si>
  <si>
    <t>-</t>
    <phoneticPr fontId="13" type="noConversion"/>
  </si>
  <si>
    <t>납품전 픽업예정</t>
    <phoneticPr fontId="13" type="noConversion"/>
  </si>
  <si>
    <t>RMA2511-001</t>
  </si>
  <si>
    <t>N60000500549 replacing sensor and calibrate</t>
  </si>
  <si>
    <t>코리아이플랫폼</t>
  </si>
  <si>
    <t>코리아이플랫폼</t>
    <phoneticPr fontId="18" type="noConversion"/>
  </si>
  <si>
    <t>VGA(640*512), 15um, NETD :&lt;20mK@without lens(MWIR 0.5x Ver3), F/No. 4.0 Ricor K528N MTTF:&gt;28,000hr@Basic profile(Warranty: 10,000/1year)</t>
    <phoneticPr fontId="13" type="noConversion"/>
  </si>
  <si>
    <t>칼라정보 10개, UI사용자환경/보드 변경(세부사항은 별도 협의 내용 적용/하우징(삼성전기 요청 내용)/사용자 S/W, 매뉴얼 제공
렌즈 포함/케이스 포함
예상 납기: 3월 말(26년)</t>
    <phoneticPr fontId="18" type="noConversion"/>
  </si>
  <si>
    <t>EX251121-02</t>
  </si>
  <si>
    <t>CG320</t>
    <phoneticPr fontId="12" type="noConversion"/>
  </si>
  <si>
    <t>G 4.8mm_Medium</t>
    <phoneticPr fontId="12" type="noConversion"/>
  </si>
  <si>
    <t>PO-81041</t>
    <phoneticPr fontId="12" type="noConversion"/>
  </si>
  <si>
    <t>EX251121-01</t>
  </si>
  <si>
    <t>CG600IP</t>
    <phoneticPr fontId="13" type="noConversion"/>
  </si>
  <si>
    <t>Window 85x4t</t>
    <phoneticPr fontId="13" type="noConversion"/>
  </si>
  <si>
    <t>내수</t>
  </si>
  <si>
    <t>KR251121-01</t>
  </si>
  <si>
    <t>RMA2511-006</t>
  </si>
  <si>
    <t>Ibertronix Infrared &amp; Vision S.L.</t>
  </si>
  <si>
    <t>H60000301F5F replacing shutter and calibrate(High temp)</t>
  </si>
  <si>
    <t>A25 / 133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</si>
</sst>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176" formatCode="#,##0_ "/>
    <numFmt numFmtId="177" formatCode="_-[$₩-412]* #,##0_-;\-[$₩-412]* #,##0_-;_-[$₩-412]* &quot;-&quot;??_-;_-@_-"/>
    <numFmt numFmtId="178" formatCode="&quot;₩&quot;#,##0;[Red]&quot;₩&quot;#,##0"/>
    <numFmt numFmtId="179" formatCode="_-[$$-409]* #,##0.00_ ;_-[$$-409]* \-#,##0.00\ ;_-[$$-409]* &quot;-&quot;??_ ;_-@_ "/>
    <numFmt numFmtId="180" formatCode="#,##0,;;"/>
    <numFmt numFmtId="181" formatCode="0_);[Red]\(0\)"/>
    <numFmt numFmtId="182" formatCode="yymmdd"/>
    <numFmt numFmtId="183" formatCode="_-[$₩-412]* #,##0.00_-;\-[$₩-412]* #,##0.00_-;_-[$₩-412]* &quot;-&quot;??_-;_-@_-"/>
    <numFmt numFmtId="184" formatCode="_-&quot;US$&quot;* #,##0.00_ ;_-&quot;US$&quot;* \-#,##0.00\ ;_-&quot;US$&quot;* &quot;-&quot;??_ ;_-@_ "/>
    <numFmt numFmtId="185" formatCode="00"/>
    <numFmt numFmtId="186" formatCode="_-&quot;US$&quot;* #,##0_ ;_-&quot;US$&quot;* \-#,##0\ ;_-&quot;US$&quot;* &quot;-&quot;_ ;_-@_ "/>
    <numFmt numFmtId="187" formatCode="&quot;₩&quot;#,##0_);\(&quot;₩&quot;#,##0\)"/>
    <numFmt numFmtId="188" formatCode="[DBNum4]General&quot;원&quot;\ &quot;정&quot;"/>
    <numFmt numFmtId="189" formatCode="_-* #,##0_-;\-* #,##0_-;_-* &quot;-&quot;?_-;_-@_-"/>
    <numFmt numFmtId="190" formatCode="_-[$$-409]* #,##0_ ;_-[$$-409]* \-#,##0\ ;_-[$$-409]* &quot;-&quot;??_ ;_-@_ "/>
    <numFmt numFmtId="191" formatCode="&quot;₩&quot;#,##0"/>
    <numFmt numFmtId="192" formatCode="&quot;Lens &quot;#,##0&quot;mm&quot;"/>
    <numFmt numFmtId="193" formatCode="&quot;f=&quot;#,##0.0"/>
    <numFmt numFmtId="194" formatCode="0.0%"/>
    <numFmt numFmtId="195" formatCode="&quot;f=&quot;#,##0.00"/>
    <numFmt numFmtId="196" formatCode="&quot;Ge window &quot;#,##0&quot;T&quot;"/>
    <numFmt numFmtId="197" formatCode="&quot;Dia &quot;#,##0&quot;mm&quot;"/>
    <numFmt numFmtId="198" formatCode="\$#,##0"/>
    <numFmt numFmtId="199" formatCode="#,##0.0&quot;mm f1.0&quot;"/>
    <numFmt numFmtId="200" formatCode="#,##0&quot;mm&quot;"/>
    <numFmt numFmtId="201" formatCode="&quot;US$&quot;#,##0"/>
    <numFmt numFmtId="202" formatCode="&quot;₩&quot;#,##0_);[Red]\(&quot;₩&quot;#,##0\)"/>
    <numFmt numFmtId="203" formatCode="&quot;US$&quot;#,##0_);[Red]\(&quot;US$&quot;#,##0\)"/>
    <numFmt numFmtId="204" formatCode="&quot;US$&quot;#,##0.0_);[Red]\(&quot;US$&quot;#,##0.0\)"/>
    <numFmt numFmtId="205" formatCode="_-[$€-2]\ * #,##0.00_-;\-[$€-2]\ * #,##0.00_-;_-[$€-2]\ * &quot;-&quot;??_-;_-@_-"/>
    <numFmt numFmtId="206" formatCode="mm&quot;월&quot;\ dd&quot;일&quot;"/>
  </numFmts>
  <fonts count="75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8"/>
      <name val="돋움"/>
      <family val="3"/>
      <charset val="129"/>
    </font>
    <font>
      <sz val="8"/>
      <name val="맑은 고딕"/>
      <family val="3"/>
      <charset val="129"/>
    </font>
    <font>
      <sz val="8"/>
      <name val="맑은 고딕"/>
      <family val="3"/>
      <charset val="129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  <font>
      <sz val="11"/>
      <name val="Malgun Gothic"/>
      <family val="3"/>
      <charset val="129"/>
    </font>
    <font>
      <sz val="8"/>
      <name val="맑은 고딕"/>
      <family val="2"/>
      <charset val="129"/>
      <scheme val="minor"/>
    </font>
    <font>
      <sz val="12"/>
      <name val="新細明體"/>
      <family val="1"/>
      <charset val="136"/>
    </font>
    <font>
      <sz val="11"/>
      <color theme="1"/>
      <name val="맑은 고딕"/>
      <family val="2"/>
      <scheme val="minor"/>
    </font>
    <font>
      <sz val="11"/>
      <color indexed="8"/>
      <name val="맑은 고딕"/>
      <family val="3"/>
      <charset val="129"/>
      <scheme val="major"/>
    </font>
    <font>
      <u/>
      <sz val="11"/>
      <color theme="1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8"/>
      <name val="바탕"/>
      <family val="1"/>
      <charset val="129"/>
    </font>
    <font>
      <u/>
      <sz val="11"/>
      <color theme="10"/>
      <name val="맑은 고딕"/>
      <family val="2"/>
      <charset val="129"/>
      <scheme val="minor"/>
    </font>
    <font>
      <u/>
      <sz val="11"/>
      <color theme="10"/>
      <name val="맑은 고딕"/>
      <family val="2"/>
      <scheme val="minor"/>
    </font>
    <font>
      <u/>
      <sz val="11"/>
      <color theme="10"/>
      <name val="맑은 고딕"/>
      <family val="3"/>
      <charset val="129"/>
      <scheme val="major"/>
    </font>
    <font>
      <b/>
      <sz val="16"/>
      <name val="Verdana"/>
      <family val="2"/>
    </font>
    <font>
      <sz val="11"/>
      <color rgb="FF333333"/>
      <name val="맑은 고딕"/>
      <family val="3"/>
      <charset val="129"/>
      <scheme val="major"/>
    </font>
    <font>
      <sz val="11"/>
      <color rgb="FF424242"/>
      <name val="맑은 고딕"/>
      <family val="3"/>
      <charset val="129"/>
      <scheme val="major"/>
    </font>
    <font>
      <b/>
      <sz val="36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name val="Calibri"/>
      <family val="2"/>
    </font>
    <font>
      <b/>
      <sz val="14"/>
      <name val="Arial"/>
      <family val="2"/>
    </font>
    <font>
      <b/>
      <sz val="20"/>
      <name val="Calibri"/>
      <family val="2"/>
    </font>
    <font>
      <sz val="9"/>
      <name val="Arial"/>
      <family val="2"/>
    </font>
    <font>
      <sz val="9"/>
      <name val="新細明體"/>
      <family val="1"/>
      <charset val="136"/>
    </font>
    <font>
      <b/>
      <sz val="14"/>
      <color theme="1"/>
      <name val="맑은 고딕"/>
      <family val="2"/>
      <scheme val="minor"/>
    </font>
    <font>
      <sz val="11"/>
      <color theme="1"/>
      <name val="Malgun Gothic"/>
      <family val="3"/>
      <charset val="129"/>
    </font>
    <font>
      <b/>
      <sz val="28"/>
      <color theme="1"/>
      <name val="맑은 고딕"/>
      <family val="3"/>
      <charset val="129"/>
      <scheme val="minor"/>
    </font>
    <font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9"/>
      <color rgb="FF000000"/>
      <name val="Arial"/>
      <family val="2"/>
    </font>
    <font>
      <sz val="9"/>
      <color indexed="8"/>
      <name val="Arial"/>
      <family val="2"/>
    </font>
    <font>
      <b/>
      <sz val="20"/>
      <color theme="1"/>
      <name val="맑은 고딕"/>
      <family val="3"/>
      <charset val="129"/>
      <scheme val="minor"/>
    </font>
    <font>
      <sz val="11"/>
      <color rgb="FF000000"/>
      <name val="돋움"/>
      <family val="3"/>
      <charset val="129"/>
    </font>
    <font>
      <b/>
      <sz val="16"/>
      <color theme="1"/>
      <name val="맑은 고딕"/>
      <family val="3"/>
      <charset val="129"/>
      <scheme val="minor"/>
    </font>
    <font>
      <u/>
      <sz val="11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22"/>
      <name val="맑은 고딕"/>
      <family val="3"/>
      <charset val="129"/>
      <scheme val="minor"/>
    </font>
    <font>
      <b/>
      <sz val="2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name val="돋움"/>
      <family val="3"/>
      <charset val="129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8"/>
      <color theme="1"/>
      <name val="Calibri"/>
      <family val="2"/>
    </font>
    <font>
      <b/>
      <sz val="10"/>
      <color rgb="FFC0000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0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rgb="FF424242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rgb="FF999999"/>
      </top>
      <bottom/>
      <diagonal/>
    </border>
    <border>
      <left style="thin">
        <color indexed="64"/>
      </left>
      <right style="thin">
        <color indexed="64"/>
      </right>
      <top style="thin">
        <color rgb="FF999999"/>
      </top>
      <bottom style="thin">
        <color indexed="64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38">
    <xf numFmtId="0" fontId="0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42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0" fillId="0" borderId="0">
      <alignment vertical="center"/>
    </xf>
    <xf numFmtId="0" fontId="9" fillId="0" borderId="0">
      <alignment vertical="center"/>
    </xf>
    <xf numFmtId="0" fontId="23" fillId="0" borderId="0"/>
    <xf numFmtId="0" fontId="24" fillId="0" borderId="0"/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/>
    <xf numFmtId="41" fontId="24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54" fillId="0" borderId="0">
      <alignment horizontal="left" vertical="center"/>
    </xf>
    <xf numFmtId="42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26" fillId="0" borderId="0" applyNumberFormat="0" applyFill="0" applyBorder="0" applyAlignment="0" applyProtection="0">
      <alignment vertical="center"/>
    </xf>
    <xf numFmtId="44" fontId="15" fillId="0" borderId="0" applyFont="0" applyFill="0" applyBorder="0" applyAlignment="0" applyProtection="0">
      <alignment vertical="center"/>
    </xf>
  </cellStyleXfs>
  <cellXfs count="96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77" fontId="15" fillId="0" borderId="1" xfId="11" applyNumberFormat="1" applyFont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17" fillId="0" borderId="0" xfId="0" applyFont="1">
      <alignment vertical="center"/>
    </xf>
    <xf numFmtId="0" fontId="17" fillId="0" borderId="0" xfId="0" pivotButton="1" applyFont="1">
      <alignment vertical="center"/>
    </xf>
    <xf numFmtId="0" fontId="17" fillId="0" borderId="0" xfId="0" applyFont="1" applyAlignment="1">
      <alignment vertical="center" wrapText="1"/>
    </xf>
    <xf numFmtId="0" fontId="0" fillId="10" borderId="0" xfId="0" applyFill="1" applyAlignment="1">
      <alignment horizontal="center" vertical="center"/>
    </xf>
    <xf numFmtId="0" fontId="0" fillId="10" borderId="0" xfId="0" applyFill="1">
      <alignment vertical="center"/>
    </xf>
    <xf numFmtId="0" fontId="0" fillId="10" borderId="0" xfId="0" applyFill="1" applyAlignment="1">
      <alignment horizontal="center" vertical="center" wrapText="1"/>
    </xf>
    <xf numFmtId="42" fontId="0" fillId="0" borderId="0" xfId="11" applyFont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7" xfId="0" applyFill="1" applyBorder="1">
      <alignment vertical="center"/>
    </xf>
    <xf numFmtId="0" fontId="0" fillId="10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5" xfId="0" applyFill="1" applyBorder="1">
      <alignment vertical="center"/>
    </xf>
    <xf numFmtId="0" fontId="0" fillId="10" borderId="10" xfId="0" applyFill="1" applyBorder="1">
      <alignment vertical="center"/>
    </xf>
    <xf numFmtId="0" fontId="0" fillId="10" borderId="9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3" xfId="0" applyFill="1" applyBorder="1">
      <alignment vertical="center"/>
    </xf>
    <xf numFmtId="0" fontId="0" fillId="10" borderId="2" xfId="0" applyFill="1" applyBorder="1">
      <alignment vertical="center"/>
    </xf>
    <xf numFmtId="0" fontId="0" fillId="2" borderId="13" xfId="0" applyFill="1" applyBorder="1">
      <alignment vertical="center"/>
    </xf>
    <xf numFmtId="0" fontId="0" fillId="10" borderId="13" xfId="0" applyFill="1" applyBorder="1">
      <alignment vertical="center"/>
    </xf>
    <xf numFmtId="0" fontId="0" fillId="10" borderId="1" xfId="0" applyFill="1" applyBorder="1">
      <alignment vertical="center"/>
    </xf>
    <xf numFmtId="42" fontId="17" fillId="0" borderId="0" xfId="0" applyNumberFormat="1" applyFont="1" applyAlignment="1">
      <alignment horizontal="center" vertical="center"/>
    </xf>
    <xf numFmtId="0" fontId="9" fillId="0" borderId="0" xfId="24">
      <alignment vertical="center"/>
    </xf>
    <xf numFmtId="0" fontId="24" fillId="0" borderId="0" xfId="26"/>
    <xf numFmtId="0" fontId="24" fillId="0" borderId="0" xfId="26" applyAlignment="1">
      <alignment horizontal="center"/>
    </xf>
    <xf numFmtId="0" fontId="27" fillId="0" borderId="0" xfId="26" applyFont="1" applyAlignment="1">
      <alignment horizontal="center" vertical="center"/>
    </xf>
    <xf numFmtId="0" fontId="9" fillId="0" borderId="0" xfId="24" applyAlignment="1">
      <alignment horizontal="center"/>
    </xf>
    <xf numFmtId="181" fontId="30" fillId="0" borderId="0" xfId="28" applyNumberFormat="1" applyFont="1" applyFill="1" applyBorder="1" applyAlignment="1">
      <alignment horizontal="center" vertical="top"/>
    </xf>
    <xf numFmtId="0" fontId="9" fillId="0" borderId="0" xfId="24" applyAlignment="1">
      <alignment horizontal="center" vertical="center"/>
    </xf>
    <xf numFmtId="0" fontId="32" fillId="0" borderId="0" xfId="28" applyFont="1" applyFill="1" applyBorder="1" applyAlignment="1">
      <alignment horizontal="center" vertical="center"/>
    </xf>
    <xf numFmtId="181" fontId="32" fillId="0" borderId="0" xfId="28" applyNumberFormat="1" applyFont="1" applyFill="1" applyBorder="1" applyAlignment="1">
      <alignment horizontal="center" vertical="center"/>
    </xf>
    <xf numFmtId="0" fontId="9" fillId="0" borderId="2" xfId="24" applyBorder="1" applyAlignment="1">
      <alignment horizontal="center" vertical="center"/>
    </xf>
    <xf numFmtId="0" fontId="15" fillId="0" borderId="0" xfId="24" applyFont="1" applyAlignment="1">
      <alignment horizontal="center" vertical="center"/>
    </xf>
    <xf numFmtId="0" fontId="9" fillId="0" borderId="0" xfId="24" quotePrefix="1" applyAlignment="1">
      <alignment horizontal="center" vertical="center"/>
    </xf>
    <xf numFmtId="0" fontId="15" fillId="0" borderId="0" xfId="20" applyAlignment="1">
      <alignment horizontal="center" vertical="center"/>
    </xf>
    <xf numFmtId="0" fontId="9" fillId="0" borderId="23" xfId="24" applyBorder="1" applyAlignment="1">
      <alignment horizontal="center" vertical="center"/>
    </xf>
    <xf numFmtId="0" fontId="9" fillId="0" borderId="23" xfId="24" applyBorder="1" applyAlignment="1">
      <alignment horizontal="center"/>
    </xf>
    <xf numFmtId="0" fontId="15" fillId="0" borderId="23" xfId="20" applyBorder="1" applyAlignment="1">
      <alignment horizontal="center" vertical="center"/>
    </xf>
    <xf numFmtId="0" fontId="9" fillId="0" borderId="0" xfId="24" quotePrefix="1" applyAlignment="1">
      <alignment horizontal="center"/>
    </xf>
    <xf numFmtId="180" fontId="15" fillId="0" borderId="0" xfId="24" quotePrefix="1" applyNumberFormat="1" applyFont="1" applyAlignment="1">
      <alignment horizontal="center" vertical="center"/>
    </xf>
    <xf numFmtId="0" fontId="24" fillId="0" borderId="22" xfId="26" applyBorder="1" applyAlignment="1">
      <alignment vertical="center"/>
    </xf>
    <xf numFmtId="0" fontId="24" fillId="0" borderId="0" xfId="26" applyAlignment="1">
      <alignment vertical="center"/>
    </xf>
    <xf numFmtId="0" fontId="24" fillId="0" borderId="29" xfId="26" applyBorder="1" applyAlignment="1">
      <alignment vertical="center"/>
    </xf>
    <xf numFmtId="14" fontId="37" fillId="0" borderId="29" xfId="26" applyNumberFormat="1" applyFont="1" applyBorder="1" applyAlignment="1">
      <alignment horizontal="left" vertical="center"/>
    </xf>
    <xf numFmtId="181" fontId="37" fillId="0" borderId="33" xfId="26" applyNumberFormat="1" applyFont="1" applyBorder="1" applyAlignment="1">
      <alignment horizontal="left" vertical="center" shrinkToFit="1"/>
    </xf>
    <xf numFmtId="0" fontId="37" fillId="0" borderId="0" xfId="26" applyFont="1"/>
    <xf numFmtId="0" fontId="39" fillId="12" borderId="34" xfId="26" applyFont="1" applyFill="1" applyBorder="1" applyAlignment="1">
      <alignment horizontal="center" vertical="center"/>
    </xf>
    <xf numFmtId="0" fontId="39" fillId="12" borderId="35" xfId="26" applyFont="1" applyFill="1" applyBorder="1" applyAlignment="1">
      <alignment horizontal="center" vertical="center"/>
    </xf>
    <xf numFmtId="0" fontId="39" fillId="12" borderId="36" xfId="26" applyFont="1" applyFill="1" applyBorder="1" applyAlignment="1">
      <alignment horizontal="center" vertical="center"/>
    </xf>
    <xf numFmtId="0" fontId="24" fillId="0" borderId="37" xfId="26" applyBorder="1" applyAlignment="1">
      <alignment horizontal="center" vertical="center" shrinkToFit="1"/>
    </xf>
    <xf numFmtId="0" fontId="24" fillId="0" borderId="1" xfId="26" applyBorder="1" applyAlignment="1">
      <alignment horizontal="center" vertical="center" wrapText="1"/>
    </xf>
    <xf numFmtId="0" fontId="24" fillId="0" borderId="1" xfId="26" applyBorder="1" applyAlignment="1">
      <alignment horizontal="center" vertical="center"/>
    </xf>
    <xf numFmtId="179" fontId="24" fillId="0" borderId="1" xfId="26" applyNumberFormat="1" applyBorder="1" applyAlignment="1">
      <alignment horizontal="center" vertical="center"/>
    </xf>
    <xf numFmtId="179" fontId="24" fillId="0" borderId="38" xfId="26" applyNumberFormat="1" applyBorder="1" applyAlignment="1">
      <alignment horizontal="center" vertical="center"/>
    </xf>
    <xf numFmtId="0" fontId="24" fillId="0" borderId="39" xfId="26" applyBorder="1" applyAlignment="1">
      <alignment horizontal="center" vertical="center" shrinkToFit="1"/>
    </xf>
    <xf numFmtId="0" fontId="24" fillId="0" borderId="40" xfId="26" applyBorder="1" applyAlignment="1">
      <alignment horizontal="center" vertical="center"/>
    </xf>
    <xf numFmtId="0" fontId="24" fillId="0" borderId="42" xfId="26" applyBorder="1" applyAlignment="1">
      <alignment horizontal="center" vertical="center" shrinkToFit="1"/>
    </xf>
    <xf numFmtId="0" fontId="24" fillId="0" borderId="4" xfId="26" applyBorder="1" applyAlignment="1">
      <alignment horizontal="center" vertical="center"/>
    </xf>
    <xf numFmtId="179" fontId="24" fillId="0" borderId="4" xfId="26" applyNumberFormat="1" applyBorder="1" applyAlignment="1">
      <alignment horizontal="center" vertical="center"/>
    </xf>
    <xf numFmtId="179" fontId="24" fillId="0" borderId="43" xfId="26" applyNumberFormat="1" applyBorder="1" applyAlignment="1">
      <alignment horizontal="center" vertical="center"/>
    </xf>
    <xf numFmtId="0" fontId="24" fillId="0" borderId="38" xfId="26" applyBorder="1" applyAlignment="1">
      <alignment horizontal="center" vertical="center"/>
    </xf>
    <xf numFmtId="0" fontId="16" fillId="0" borderId="0" xfId="26" applyFont="1" applyAlignment="1">
      <alignment horizontal="center" vertical="center"/>
    </xf>
    <xf numFmtId="183" fontId="16" fillId="0" borderId="0" xfId="26" applyNumberFormat="1" applyFont="1" applyAlignment="1">
      <alignment horizontal="center" vertical="center"/>
    </xf>
    <xf numFmtId="179" fontId="16" fillId="0" borderId="0" xfId="26" applyNumberFormat="1" applyFont="1" applyAlignment="1">
      <alignment horizontal="center" vertical="center"/>
    </xf>
    <xf numFmtId="0" fontId="40" fillId="0" borderId="0" xfId="25" applyFont="1" applyAlignment="1">
      <alignment vertical="center"/>
    </xf>
    <xf numFmtId="0" fontId="41" fillId="0" borderId="0" xfId="25" applyFont="1"/>
    <xf numFmtId="0" fontId="42" fillId="0" borderId="0" xfId="25" applyFont="1" applyAlignment="1">
      <alignment horizontal="left" vertical="top"/>
    </xf>
    <xf numFmtId="184" fontId="43" fillId="0" borderId="0" xfId="25" applyNumberFormat="1" applyFont="1"/>
    <xf numFmtId="0" fontId="44" fillId="0" borderId="0" xfId="25" applyFont="1"/>
    <xf numFmtId="0" fontId="45" fillId="0" borderId="0" xfId="26" applyFont="1"/>
    <xf numFmtId="181" fontId="0" fillId="0" borderId="1" xfId="0" applyNumberFormat="1" applyBorder="1" applyAlignment="1">
      <alignment horizontal="center" vertical="center"/>
    </xf>
    <xf numFmtId="0" fontId="16" fillId="0" borderId="45" xfId="26" applyFont="1" applyBorder="1" applyAlignment="1">
      <alignment horizontal="center" vertical="center"/>
    </xf>
    <xf numFmtId="0" fontId="24" fillId="0" borderId="41" xfId="26" applyBorder="1" applyAlignment="1">
      <alignment horizontal="center" vertical="center"/>
    </xf>
    <xf numFmtId="0" fontId="16" fillId="0" borderId="48" xfId="26" applyFont="1" applyBorder="1" applyAlignment="1">
      <alignment horizontal="center" vertical="center"/>
    </xf>
    <xf numFmtId="42" fontId="24" fillId="0" borderId="1" xfId="11" applyFont="1" applyBorder="1" applyAlignment="1">
      <alignment horizontal="center" vertical="center"/>
    </xf>
    <xf numFmtId="42" fontId="24" fillId="0" borderId="38" xfId="11" applyFont="1" applyBorder="1" applyAlignment="1">
      <alignment horizontal="center" vertical="center"/>
    </xf>
    <xf numFmtId="0" fontId="25" fillId="0" borderId="0" xfId="26" applyFont="1" applyAlignment="1">
      <alignment horizontal="center" vertical="center"/>
    </xf>
    <xf numFmtId="0" fontId="28" fillId="0" borderId="0" xfId="26" applyFont="1" applyAlignment="1">
      <alignment horizontal="center" vertical="center"/>
    </xf>
    <xf numFmtId="181" fontId="27" fillId="0" borderId="0" xfId="26" applyNumberFormat="1" applyFont="1" applyAlignment="1">
      <alignment horizontal="center" vertical="center"/>
    </xf>
    <xf numFmtId="0" fontId="28" fillId="0" borderId="0" xfId="25" applyFont="1" applyAlignment="1">
      <alignment horizontal="center" vertical="center"/>
    </xf>
    <xf numFmtId="0" fontId="28" fillId="0" borderId="0" xfId="25" quotePrefix="1" applyFont="1" applyAlignment="1">
      <alignment horizontal="center" vertical="center"/>
    </xf>
    <xf numFmtId="14" fontId="25" fillId="0" borderId="0" xfId="26" applyNumberFormat="1" applyFont="1" applyAlignment="1">
      <alignment horizontal="center" vertical="center"/>
    </xf>
    <xf numFmtId="0" fontId="27" fillId="0" borderId="0" xfId="26" applyFont="1" applyAlignment="1">
      <alignment horizontal="center"/>
    </xf>
    <xf numFmtId="0" fontId="27" fillId="0" borderId="0" xfId="26" quotePrefix="1" applyFont="1" applyAlignment="1">
      <alignment horizontal="center" vertical="center"/>
    </xf>
    <xf numFmtId="181" fontId="27" fillId="0" borderId="0" xfId="26" applyNumberFormat="1" applyFont="1" applyAlignment="1">
      <alignment horizontal="center" vertical="top"/>
    </xf>
    <xf numFmtId="181" fontId="25" fillId="0" borderId="0" xfId="26" applyNumberFormat="1" applyFont="1" applyAlignment="1">
      <alignment horizontal="center" vertical="center"/>
    </xf>
    <xf numFmtId="14" fontId="25" fillId="0" borderId="0" xfId="26" quotePrefix="1" applyNumberFormat="1" applyFont="1" applyAlignment="1">
      <alignment horizontal="center" vertical="center"/>
    </xf>
    <xf numFmtId="181" fontId="27" fillId="0" borderId="0" xfId="26" quotePrefix="1" applyNumberFormat="1" applyFont="1" applyAlignment="1">
      <alignment horizontal="center" vertical="top"/>
    </xf>
    <xf numFmtId="0" fontId="28" fillId="0" borderId="0" xfId="26" quotePrefix="1" applyFont="1" applyAlignment="1">
      <alignment horizontal="center" vertical="center"/>
    </xf>
    <xf numFmtId="14" fontId="27" fillId="0" borderId="0" xfId="26" applyNumberFormat="1" applyFont="1" applyAlignment="1">
      <alignment horizontal="center" vertical="center"/>
    </xf>
    <xf numFmtId="0" fontId="28" fillId="0" borderId="0" xfId="26" applyFont="1" applyAlignment="1">
      <alignment horizontal="center" vertical="center" wrapText="1"/>
    </xf>
    <xf numFmtId="0" fontId="28" fillId="0" borderId="0" xfId="25" applyFont="1" applyAlignment="1">
      <alignment horizontal="center" vertical="center" wrapText="1"/>
    </xf>
    <xf numFmtId="0" fontId="27" fillId="0" borderId="0" xfId="26" quotePrefix="1" applyFont="1" applyAlignment="1">
      <alignment horizontal="center"/>
    </xf>
    <xf numFmtId="181" fontId="27" fillId="0" borderId="0" xfId="26" quotePrefix="1" applyNumberFormat="1" applyFont="1" applyAlignment="1">
      <alignment horizontal="center" vertical="center"/>
    </xf>
    <xf numFmtId="0" fontId="25" fillId="0" borderId="0" xfId="25" applyFont="1" applyAlignment="1">
      <alignment horizontal="center" vertical="center"/>
    </xf>
    <xf numFmtId="0" fontId="34" fillId="0" borderId="0" xfId="26" applyFont="1" applyAlignment="1">
      <alignment horizontal="center"/>
    </xf>
    <xf numFmtId="0" fontId="34" fillId="0" borderId="0" xfId="26" applyFont="1" applyAlignment="1">
      <alignment horizontal="center" vertical="center"/>
    </xf>
    <xf numFmtId="0" fontId="25" fillId="0" borderId="0" xfId="24" applyFont="1" applyAlignment="1">
      <alignment horizontal="center" vertical="center"/>
    </xf>
    <xf numFmtId="0" fontId="35" fillId="0" borderId="0" xfId="26" applyFont="1" applyAlignment="1">
      <alignment horizontal="center"/>
    </xf>
    <xf numFmtId="0" fontId="28" fillId="0" borderId="0" xfId="25" applyFont="1" applyAlignment="1">
      <alignment horizontal="center"/>
    </xf>
    <xf numFmtId="181" fontId="25" fillId="0" borderId="0" xfId="26" quotePrefix="1" applyNumberFormat="1" applyFont="1" applyAlignment="1">
      <alignment horizontal="center" vertical="center"/>
    </xf>
    <xf numFmtId="0" fontId="27" fillId="0" borderId="0" xfId="25" applyFont="1" applyAlignment="1">
      <alignment horizontal="center" vertical="center"/>
    </xf>
    <xf numFmtId="0" fontId="25" fillId="0" borderId="0" xfId="19" applyFont="1" applyAlignment="1">
      <alignment horizontal="center" vertical="center"/>
    </xf>
    <xf numFmtId="0" fontId="28" fillId="0" borderId="0" xfId="19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7" fillId="0" borderId="3" xfId="11" applyNumberFormat="1" applyFont="1" applyFill="1" applyBorder="1" applyAlignment="1">
      <alignment horizontal="center" vertical="center"/>
    </xf>
    <xf numFmtId="42" fontId="17" fillId="0" borderId="2" xfId="11" applyFont="1" applyFill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42" fontId="46" fillId="0" borderId="1" xfId="11" applyFont="1" applyBorder="1" applyAlignment="1">
      <alignment horizontal="center" vertical="center"/>
    </xf>
    <xf numFmtId="14" fontId="46" fillId="0" borderId="1" xfId="11" applyNumberFormat="1" applyFont="1" applyBorder="1" applyAlignment="1">
      <alignment horizontal="center" vertical="center"/>
    </xf>
    <xf numFmtId="14" fontId="46" fillId="0" borderId="1" xfId="0" applyNumberFormat="1" applyFont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4" fontId="0" fillId="0" borderId="0" xfId="11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13" borderId="0" xfId="0" applyFill="1" applyAlignment="1">
      <alignment horizontal="center" vertical="center"/>
    </xf>
    <xf numFmtId="179" fontId="0" fillId="13" borderId="0" xfId="0" applyNumberFormat="1" applyFill="1" applyAlignment="1">
      <alignment horizontal="center" vertical="center"/>
    </xf>
    <xf numFmtId="14" fontId="0" fillId="13" borderId="0" xfId="0" applyNumberFormat="1" applyFill="1" applyAlignment="1">
      <alignment horizontal="center" vertical="center"/>
    </xf>
    <xf numFmtId="185" fontId="0" fillId="13" borderId="1" xfId="0" applyNumberFormat="1" applyFill="1" applyBorder="1" applyAlignment="1">
      <alignment horizontal="center" vertical="center"/>
    </xf>
    <xf numFmtId="181" fontId="0" fillId="13" borderId="1" xfId="0" applyNumberFormat="1" applyFill="1" applyBorder="1" applyAlignment="1">
      <alignment horizontal="center" vertical="center"/>
    </xf>
    <xf numFmtId="185" fontId="0" fillId="13" borderId="0" xfId="0" applyNumberFormat="1" applyFill="1" applyAlignment="1">
      <alignment horizontal="center" vertical="center"/>
    </xf>
    <xf numFmtId="181" fontId="0" fillId="13" borderId="0" xfId="0" applyNumberFormat="1" applyFill="1" applyAlignment="1">
      <alignment horizontal="center" vertical="center"/>
    </xf>
    <xf numFmtId="0" fontId="16" fillId="12" borderId="35" xfId="26" applyFont="1" applyFill="1" applyBorder="1" applyAlignment="1">
      <alignment horizontal="center" vertical="center"/>
    </xf>
    <xf numFmtId="0" fontId="16" fillId="12" borderId="36" xfId="26" applyFont="1" applyFill="1" applyBorder="1" applyAlignment="1">
      <alignment horizontal="center" vertical="center"/>
    </xf>
    <xf numFmtId="0" fontId="48" fillId="0" borderId="0" xfId="25" applyFont="1"/>
    <xf numFmtId="0" fontId="43" fillId="0" borderId="0" xfId="25" applyFont="1"/>
    <xf numFmtId="0" fontId="50" fillId="0" borderId="0" xfId="25" applyFont="1" applyAlignment="1">
      <alignment vertical="center"/>
    </xf>
    <xf numFmtId="0" fontId="43" fillId="0" borderId="0" xfId="25" applyFont="1" applyAlignment="1">
      <alignment horizontal="center"/>
    </xf>
    <xf numFmtId="184" fontId="43" fillId="0" borderId="0" xfId="25" applyNumberFormat="1" applyFont="1" applyAlignment="1">
      <alignment horizontal="center"/>
    </xf>
    <xf numFmtId="0" fontId="51" fillId="0" borderId="0" xfId="25" applyFont="1" applyAlignment="1">
      <alignment vertical="center"/>
    </xf>
    <xf numFmtId="0" fontId="43" fillId="0" borderId="0" xfId="25" applyFont="1" applyAlignment="1">
      <alignment vertical="center"/>
    </xf>
    <xf numFmtId="186" fontId="43" fillId="0" borderId="0" xfId="25" applyNumberFormat="1" applyFont="1" applyAlignment="1">
      <alignment horizontal="center"/>
    </xf>
    <xf numFmtId="0" fontId="43" fillId="0" borderId="0" xfId="25" applyFont="1" applyAlignment="1">
      <alignment horizontal="left" vertical="center"/>
    </xf>
    <xf numFmtId="0" fontId="48" fillId="0" borderId="0" xfId="25" applyFont="1" applyAlignment="1">
      <alignment horizontal="left"/>
    </xf>
    <xf numFmtId="0" fontId="23" fillId="0" borderId="0" xfId="25" applyAlignment="1">
      <alignment vertical="center"/>
    </xf>
    <xf numFmtId="0" fontId="16" fillId="12" borderId="34" xfId="26" applyFont="1" applyFill="1" applyBorder="1" applyAlignment="1">
      <alignment horizontal="center" vertical="center"/>
    </xf>
    <xf numFmtId="0" fontId="24" fillId="0" borderId="37" xfId="26" applyBorder="1" applyAlignment="1">
      <alignment horizontal="center" vertical="center"/>
    </xf>
    <xf numFmtId="0" fontId="49" fillId="0" borderId="0" xfId="25" applyFont="1" applyAlignment="1">
      <alignment horizontal="center"/>
    </xf>
    <xf numFmtId="0" fontId="43" fillId="0" borderId="0" xfId="25" applyFont="1" applyAlignment="1">
      <alignment horizontal="center" vertical="center"/>
    </xf>
    <xf numFmtId="0" fontId="50" fillId="0" borderId="0" xfId="25" applyFont="1" applyAlignment="1">
      <alignment horizontal="center" vertical="center"/>
    </xf>
    <xf numFmtId="0" fontId="23" fillId="0" borderId="0" xfId="25" applyAlignment="1">
      <alignment horizontal="center" vertical="center"/>
    </xf>
    <xf numFmtId="0" fontId="16" fillId="0" borderId="51" xfId="26" applyFont="1" applyBorder="1" applyAlignment="1">
      <alignment horizontal="center" vertical="center" shrinkToFit="1"/>
    </xf>
    <xf numFmtId="0" fontId="16" fillId="0" borderId="51" xfId="26" applyFont="1" applyBorder="1" applyAlignment="1">
      <alignment vertical="center"/>
    </xf>
    <xf numFmtId="179" fontId="24" fillId="0" borderId="1" xfId="26" applyNumberFormat="1" applyBorder="1" applyAlignment="1">
      <alignment vertical="center" wrapText="1"/>
    </xf>
    <xf numFmtId="179" fontId="15" fillId="0" borderId="38" xfId="26" applyNumberFormat="1" applyFont="1" applyBorder="1" applyAlignment="1">
      <alignment horizontal="left" vertical="center" shrinkToFit="1"/>
    </xf>
    <xf numFmtId="0" fontId="16" fillId="0" borderId="31" xfId="26" applyFont="1" applyBorder="1" applyAlignment="1">
      <alignment horizontal="right" vertical="center"/>
    </xf>
    <xf numFmtId="0" fontId="15" fillId="0" borderId="33" xfId="26" applyFont="1" applyBorder="1" applyAlignment="1">
      <alignment horizontal="left" vertical="center"/>
    </xf>
    <xf numFmtId="14" fontId="15" fillId="0" borderId="29" xfId="26" applyNumberFormat="1" applyFont="1" applyBorder="1" applyAlignment="1">
      <alignment horizontal="left" vertical="center" wrapText="1"/>
    </xf>
    <xf numFmtId="181" fontId="15" fillId="0" borderId="29" xfId="26" applyNumberFormat="1" applyFont="1" applyBorder="1" applyAlignment="1">
      <alignment horizontal="left" vertical="center" shrinkToFit="1"/>
    </xf>
    <xf numFmtId="0" fontId="0" fillId="0" borderId="29" xfId="26" applyFont="1" applyBorder="1" applyAlignment="1">
      <alignment horizontal="left" vertical="center"/>
    </xf>
    <xf numFmtId="0" fontId="16" fillId="12" borderId="25" xfId="26" applyFont="1" applyFill="1" applyBorder="1" applyAlignment="1">
      <alignment horizontal="left" vertical="center"/>
    </xf>
    <xf numFmtId="0" fontId="15" fillId="12" borderId="26" xfId="26" applyFont="1" applyFill="1" applyBorder="1" applyAlignment="1">
      <alignment horizontal="left" vertical="center" shrinkToFit="1"/>
    </xf>
    <xf numFmtId="0" fontId="15" fillId="12" borderId="26" xfId="26" applyFont="1" applyFill="1" applyBorder="1" applyAlignment="1">
      <alignment horizontal="left" vertical="center"/>
    </xf>
    <xf numFmtId="14" fontId="15" fillId="12" borderId="26" xfId="26" applyNumberFormat="1" applyFont="1" applyFill="1" applyBorder="1" applyAlignment="1">
      <alignment horizontal="left" vertical="center"/>
    </xf>
    <xf numFmtId="14" fontId="15" fillId="12" borderId="28" xfId="26" applyNumberFormat="1" applyFont="1" applyFill="1" applyBorder="1" applyAlignment="1">
      <alignment horizontal="left" vertical="center"/>
    </xf>
    <xf numFmtId="0" fontId="16" fillId="0" borderId="0" xfId="26" applyFont="1" applyAlignment="1">
      <alignment horizontal="right" vertical="center" wrapText="1"/>
    </xf>
    <xf numFmtId="0" fontId="16" fillId="0" borderId="0" xfId="26" applyFont="1" applyAlignment="1">
      <alignment horizontal="right" vertical="center"/>
    </xf>
    <xf numFmtId="0" fontId="24" fillId="0" borderId="1" xfId="26" applyBorder="1" applyAlignment="1">
      <alignment horizontal="center" vertical="center" shrinkToFit="1"/>
    </xf>
    <xf numFmtId="0" fontId="24" fillId="0" borderId="51" xfId="26" applyBorder="1" applyAlignment="1">
      <alignment horizontal="center" vertical="center" shrinkToFit="1"/>
    </xf>
    <xf numFmtId="0" fontId="24" fillId="0" borderId="50" xfId="26" applyBorder="1" applyAlignment="1">
      <alignment horizontal="center" vertical="center"/>
    </xf>
    <xf numFmtId="0" fontId="24" fillId="0" borderId="1" xfId="26" applyBorder="1" applyAlignment="1">
      <alignment horizontal="center" vertical="center" wrapText="1" shrinkToFit="1"/>
    </xf>
    <xf numFmtId="14" fontId="15" fillId="0" borderId="0" xfId="26" applyNumberFormat="1" applyFont="1" applyAlignment="1">
      <alignment horizontal="center" vertical="center"/>
    </xf>
    <xf numFmtId="0" fontId="24" fillId="0" borderId="1" xfId="26" applyBorder="1"/>
    <xf numFmtId="0" fontId="24" fillId="0" borderId="38" xfId="26" applyBorder="1" applyAlignment="1">
      <alignment horizontal="center" vertical="center" wrapText="1" shrinkToFit="1"/>
    </xf>
    <xf numFmtId="0" fontId="24" fillId="0" borderId="51" xfId="26" applyBorder="1" applyAlignment="1">
      <alignment horizontal="center" vertical="center" wrapText="1" shrinkToFit="1"/>
    </xf>
    <xf numFmtId="0" fontId="24" fillId="0" borderId="52" xfId="26" applyBorder="1" applyAlignment="1">
      <alignment horizontal="center" vertical="center" wrapText="1" shrinkToFit="1"/>
    </xf>
    <xf numFmtId="0" fontId="24" fillId="0" borderId="60" xfId="26" applyBorder="1"/>
    <xf numFmtId="0" fontId="24" fillId="0" borderId="61" xfId="26" applyBorder="1"/>
    <xf numFmtId="0" fontId="24" fillId="0" borderId="62" xfId="26" applyBorder="1"/>
    <xf numFmtId="0" fontId="16" fillId="12" borderId="0" xfId="26" applyFont="1" applyFill="1" applyAlignment="1">
      <alignment horizontal="distributed" vertical="center"/>
    </xf>
    <xf numFmtId="0" fontId="16" fillId="12" borderId="25" xfId="26" applyFont="1" applyFill="1" applyBorder="1" applyAlignment="1">
      <alignment horizontal="distributed" vertical="center"/>
    </xf>
    <xf numFmtId="0" fontId="16" fillId="12" borderId="24" xfId="26" applyFont="1" applyFill="1" applyBorder="1" applyAlignment="1">
      <alignment horizontal="distributed" vertical="center"/>
    </xf>
    <xf numFmtId="0" fontId="16" fillId="12" borderId="30" xfId="26" applyFont="1" applyFill="1" applyBorder="1" applyAlignment="1">
      <alignment horizontal="distributed" vertical="center"/>
    </xf>
    <xf numFmtId="0" fontId="24" fillId="0" borderId="26" xfId="26" applyBorder="1" applyAlignment="1">
      <alignment horizontal="center" vertical="center"/>
    </xf>
    <xf numFmtId="0" fontId="0" fillId="0" borderId="0" xfId="0" applyAlignment="1">
      <alignment vertical="center" wrapText="1"/>
    </xf>
    <xf numFmtId="42" fontId="46" fillId="13" borderId="1" xfId="11" applyFont="1" applyFill="1" applyBorder="1" applyAlignment="1">
      <alignment horizontal="center" vertical="center"/>
    </xf>
    <xf numFmtId="177" fontId="46" fillId="13" borderId="1" xfId="11" applyNumberFormat="1" applyFont="1" applyFill="1" applyBorder="1" applyAlignment="1">
      <alignment horizontal="center" vertical="center"/>
    </xf>
    <xf numFmtId="42" fontId="0" fillId="13" borderId="0" xfId="11" applyFont="1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distributed" wrapText="1"/>
    </xf>
    <xf numFmtId="41" fontId="0" fillId="0" borderId="0" xfId="30" applyFont="1">
      <alignment vertical="center"/>
    </xf>
    <xf numFmtId="41" fontId="0" fillId="0" borderId="1" xfId="30" applyFont="1" applyBorder="1">
      <alignment vertical="center"/>
    </xf>
    <xf numFmtId="0" fontId="37" fillId="0" borderId="71" xfId="0" applyFont="1" applyBorder="1" applyAlignment="1">
      <alignment horizontal="right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56" fillId="0" borderId="0" xfId="0" applyFont="1" applyAlignment="1"/>
    <xf numFmtId="0" fontId="0" fillId="0" borderId="37" xfId="0" applyBorder="1" applyAlignment="1">
      <alignment horizontal="center" vertical="center"/>
    </xf>
    <xf numFmtId="189" fontId="0" fillId="0" borderId="38" xfId="0" applyNumberFormat="1" applyBorder="1">
      <alignment vertical="center"/>
    </xf>
    <xf numFmtId="0" fontId="0" fillId="0" borderId="4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41" fontId="0" fillId="0" borderId="4" xfId="30" applyFont="1" applyBorder="1">
      <alignment vertical="center"/>
    </xf>
    <xf numFmtId="189" fontId="0" fillId="0" borderId="43" xfId="0" applyNumberFormat="1" applyBorder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6" xfId="0" applyFont="1" applyBorder="1" applyAlignment="1">
      <alignment horizontal="center" vertical="center"/>
    </xf>
    <xf numFmtId="0" fontId="38" fillId="0" borderId="66" xfId="0" applyFont="1" applyBorder="1" applyAlignment="1">
      <alignment horizontal="center" vertical="center" wrapText="1"/>
    </xf>
    <xf numFmtId="41" fontId="38" fillId="0" borderId="66" xfId="30" applyFont="1" applyBorder="1" applyAlignment="1">
      <alignment horizontal="center" vertical="center"/>
    </xf>
    <xf numFmtId="41" fontId="38" fillId="0" borderId="67" xfId="3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66" xfId="0" applyBorder="1">
      <alignment vertical="center"/>
    </xf>
    <xf numFmtId="42" fontId="0" fillId="0" borderId="66" xfId="11" applyFont="1" applyBorder="1">
      <alignment vertical="center"/>
    </xf>
    <xf numFmtId="42" fontId="0" fillId="0" borderId="67" xfId="11" applyFont="1" applyBorder="1">
      <alignment vertical="center"/>
    </xf>
    <xf numFmtId="0" fontId="24" fillId="0" borderId="16" xfId="26" applyBorder="1" applyAlignment="1">
      <alignment horizontal="center" vertical="center"/>
    </xf>
    <xf numFmtId="0" fontId="24" fillId="0" borderId="16" xfId="26" applyBorder="1" applyAlignment="1">
      <alignment vertical="center"/>
    </xf>
    <xf numFmtId="0" fontId="24" fillId="10" borderId="0" xfId="26" applyFill="1"/>
    <xf numFmtId="0" fontId="58" fillId="10" borderId="0" xfId="26" applyFont="1" applyFill="1" applyAlignment="1">
      <alignment vertical="center"/>
    </xf>
    <xf numFmtId="0" fontId="55" fillId="14" borderId="35" xfId="26" applyFont="1" applyFill="1" applyBorder="1" applyAlignment="1">
      <alignment horizontal="center" vertical="center"/>
    </xf>
    <xf numFmtId="0" fontId="24" fillId="10" borderId="0" xfId="26" applyFill="1" applyAlignment="1">
      <alignment wrapText="1"/>
    </xf>
    <xf numFmtId="0" fontId="39" fillId="10" borderId="0" xfId="26" applyFont="1" applyFill="1" applyAlignment="1">
      <alignment horizontal="center" vertical="center"/>
    </xf>
    <xf numFmtId="0" fontId="39" fillId="14" borderId="65" xfId="26" applyFont="1" applyFill="1" applyBorder="1" applyAlignment="1">
      <alignment horizontal="center" vertical="center"/>
    </xf>
    <xf numFmtId="0" fontId="39" fillId="14" borderId="67" xfId="26" applyFont="1" applyFill="1" applyBorder="1" applyAlignment="1">
      <alignment horizontal="center" vertical="center"/>
    </xf>
    <xf numFmtId="0" fontId="39" fillId="14" borderId="77" xfId="26" applyFont="1" applyFill="1" applyBorder="1" applyAlignment="1">
      <alignment horizontal="center" vertical="center"/>
    </xf>
    <xf numFmtId="0" fontId="39" fillId="14" borderId="67" xfId="26" applyFont="1" applyFill="1" applyBorder="1" applyAlignment="1">
      <alignment horizontal="center" vertical="center" wrapText="1"/>
    </xf>
    <xf numFmtId="0" fontId="24" fillId="15" borderId="1" xfId="26" applyFill="1" applyBorder="1" applyAlignment="1">
      <alignment horizontal="center"/>
    </xf>
    <xf numFmtId="190" fontId="24" fillId="0" borderId="1" xfId="26" applyNumberFormat="1" applyBorder="1" applyAlignment="1">
      <alignment horizontal="center"/>
    </xf>
    <xf numFmtId="9" fontId="0" fillId="0" borderId="1" xfId="33" applyFont="1" applyBorder="1" applyAlignment="1">
      <alignment horizontal="center"/>
    </xf>
    <xf numFmtId="42" fontId="0" fillId="10" borderId="0" xfId="34" applyFont="1" applyFill="1" applyAlignment="1"/>
    <xf numFmtId="42" fontId="24" fillId="10" borderId="0" xfId="26" applyNumberFormat="1" applyFill="1"/>
    <xf numFmtId="190" fontId="24" fillId="10" borderId="0" xfId="26" applyNumberFormat="1" applyFill="1"/>
    <xf numFmtId="0" fontId="24" fillId="15" borderId="42" xfId="26" applyFill="1" applyBorder="1" applyAlignment="1">
      <alignment horizontal="center"/>
    </xf>
    <xf numFmtId="14" fontId="24" fillId="0" borderId="43" xfId="26" applyNumberFormat="1" applyBorder="1" applyAlignment="1">
      <alignment horizontal="center"/>
    </xf>
    <xf numFmtId="0" fontId="24" fillId="15" borderId="78" xfId="26" applyFill="1" applyBorder="1" applyAlignment="1">
      <alignment horizontal="center" vertical="center"/>
    </xf>
    <xf numFmtId="0" fontId="24" fillId="0" borderId="18" xfId="26" applyBorder="1" applyAlignment="1">
      <alignment horizontal="center" vertical="center"/>
    </xf>
    <xf numFmtId="191" fontId="16" fillId="0" borderId="43" xfId="26" applyNumberFormat="1" applyFont="1" applyBorder="1" applyAlignment="1">
      <alignment vertical="center"/>
    </xf>
    <xf numFmtId="192" fontId="24" fillId="15" borderId="79" xfId="26" applyNumberFormat="1" applyFill="1" applyBorder="1" applyAlignment="1">
      <alignment horizontal="center" vertical="center"/>
    </xf>
    <xf numFmtId="193" fontId="24" fillId="0" borderId="16" xfId="26" applyNumberFormat="1" applyBorder="1" applyAlignment="1">
      <alignment horizontal="center" vertical="center"/>
    </xf>
    <xf numFmtId="191" fontId="16" fillId="0" borderId="38" xfId="26" applyNumberFormat="1" applyFont="1" applyBorder="1" applyAlignment="1">
      <alignment vertical="center"/>
    </xf>
    <xf numFmtId="194" fontId="0" fillId="0" borderId="1" xfId="33" applyNumberFormat="1" applyFont="1" applyBorder="1" applyAlignment="1">
      <alignment horizontal="center"/>
    </xf>
    <xf numFmtId="179" fontId="0" fillId="10" borderId="0" xfId="34" applyNumberFormat="1" applyFont="1" applyFill="1" applyAlignment="1"/>
    <xf numFmtId="0" fontId="24" fillId="15" borderId="37" xfId="26" applyFill="1" applyBorder="1" applyAlignment="1">
      <alignment horizontal="center"/>
    </xf>
    <xf numFmtId="14" fontId="24" fillId="0" borderId="38" xfId="26" applyNumberFormat="1" applyBorder="1" applyAlignment="1">
      <alignment horizontal="center"/>
    </xf>
    <xf numFmtId="0" fontId="24" fillId="15" borderId="79" xfId="26" applyFill="1" applyBorder="1" applyAlignment="1">
      <alignment horizontal="center" vertical="center"/>
    </xf>
    <xf numFmtId="195" fontId="24" fillId="0" borderId="16" xfId="26" applyNumberFormat="1" applyBorder="1" applyAlignment="1">
      <alignment horizontal="center" vertical="center"/>
    </xf>
    <xf numFmtId="179" fontId="24" fillId="10" borderId="0" xfId="26" applyNumberFormat="1" applyFill="1"/>
    <xf numFmtId="196" fontId="24" fillId="15" borderId="79" xfId="26" applyNumberFormat="1" applyFill="1" applyBorder="1" applyAlignment="1">
      <alignment horizontal="center" vertical="center"/>
    </xf>
    <xf numFmtId="197" fontId="24" fillId="0" borderId="16" xfId="26" applyNumberFormat="1" applyBorder="1" applyAlignment="1">
      <alignment horizontal="center" vertical="center"/>
    </xf>
    <xf numFmtId="0" fontId="24" fillId="10" borderId="0" xfId="26" applyFill="1" applyAlignment="1">
      <alignment horizontal="center"/>
    </xf>
    <xf numFmtId="0" fontId="24" fillId="15" borderId="37" xfId="26" applyFill="1" applyBorder="1" applyAlignment="1">
      <alignment horizontal="center" vertical="center"/>
    </xf>
    <xf numFmtId="14" fontId="24" fillId="0" borderId="38" xfId="26" applyNumberFormat="1" applyBorder="1" applyAlignment="1">
      <alignment horizontal="center" vertical="center"/>
    </xf>
    <xf numFmtId="196" fontId="24" fillId="15" borderId="80" xfId="26" applyNumberFormat="1" applyFill="1" applyBorder="1" applyAlignment="1">
      <alignment horizontal="center" vertical="center"/>
    </xf>
    <xf numFmtId="197" fontId="24" fillId="0" borderId="17" xfId="26" applyNumberFormat="1" applyBorder="1" applyAlignment="1">
      <alignment horizontal="center" vertical="center"/>
    </xf>
    <xf numFmtId="0" fontId="24" fillId="15" borderId="50" xfId="26" applyFill="1" applyBorder="1" applyAlignment="1">
      <alignment horizontal="center"/>
    </xf>
    <xf numFmtId="14" fontId="24" fillId="0" borderId="52" xfId="26" applyNumberFormat="1" applyBorder="1" applyAlignment="1">
      <alignment horizontal="center"/>
    </xf>
    <xf numFmtId="196" fontId="24" fillId="15" borderId="71" xfId="26" applyNumberFormat="1" applyFill="1" applyBorder="1" applyAlignment="1">
      <alignment vertical="center"/>
    </xf>
    <xf numFmtId="196" fontId="24" fillId="15" borderId="73" xfId="26" applyNumberFormat="1" applyFill="1" applyBorder="1" applyAlignment="1">
      <alignment vertical="center"/>
    </xf>
    <xf numFmtId="0" fontId="24" fillId="0" borderId="33" xfId="26" applyBorder="1"/>
    <xf numFmtId="0" fontId="24" fillId="10" borderId="29" xfId="26" applyFill="1" applyBorder="1"/>
    <xf numFmtId="0" fontId="16" fillId="10" borderId="1" xfId="26" applyFont="1" applyFill="1" applyBorder="1" applyAlignment="1">
      <alignment horizontal="center" vertical="center"/>
    </xf>
    <xf numFmtId="190" fontId="16" fillId="10" borderId="1" xfId="26" applyNumberFormat="1" applyFont="1" applyFill="1" applyBorder="1" applyAlignment="1">
      <alignment horizontal="center" vertical="center"/>
    </xf>
    <xf numFmtId="190" fontId="16" fillId="8" borderId="1" xfId="35" applyNumberFormat="1" applyFont="1" applyFill="1" applyBorder="1" applyAlignment="1">
      <alignment horizontal="center" vertical="center"/>
    </xf>
    <xf numFmtId="183" fontId="24" fillId="10" borderId="0" xfId="26" applyNumberFormat="1" applyFill="1"/>
    <xf numFmtId="198" fontId="24" fillId="10" borderId="0" xfId="26" applyNumberFormat="1" applyFill="1"/>
    <xf numFmtId="192" fontId="24" fillId="15" borderId="81" xfId="26" applyNumberFormat="1" applyFill="1" applyBorder="1" applyAlignment="1">
      <alignment horizontal="center" vertical="center"/>
    </xf>
    <xf numFmtId="193" fontId="24" fillId="0" borderId="56" xfId="26" applyNumberFormat="1" applyBorder="1" applyAlignment="1">
      <alignment horizontal="center" vertical="center"/>
    </xf>
    <xf numFmtId="191" fontId="16" fillId="0" borderId="52" xfId="26" applyNumberFormat="1" applyFont="1" applyBorder="1" applyAlignment="1">
      <alignment vertical="center"/>
    </xf>
    <xf numFmtId="0" fontId="24" fillId="10" borderId="31" xfId="26" applyFill="1" applyBorder="1"/>
    <xf numFmtId="0" fontId="24" fillId="10" borderId="33" xfId="26" applyFill="1" applyBorder="1"/>
    <xf numFmtId="0" fontId="59" fillId="10" borderId="0" xfId="26" applyFont="1" applyFill="1" applyAlignment="1">
      <alignment vertical="center"/>
    </xf>
    <xf numFmtId="0" fontId="24" fillId="2" borderId="0" xfId="26" applyFill="1"/>
    <xf numFmtId="0" fontId="60" fillId="10" borderId="0" xfId="26" applyFont="1" applyFill="1" applyAlignment="1">
      <alignment horizontal="center" vertical="center" wrapText="1"/>
    </xf>
    <xf numFmtId="199" fontId="61" fillId="10" borderId="0" xfId="26" applyNumberFormat="1" applyFont="1" applyFill="1" applyAlignment="1">
      <alignment horizontal="center" vertical="center"/>
    </xf>
    <xf numFmtId="0" fontId="61" fillId="10" borderId="0" xfId="26" applyFont="1" applyFill="1" applyAlignment="1">
      <alignment horizontal="center" vertical="center"/>
    </xf>
    <xf numFmtId="190" fontId="61" fillId="10" borderId="0" xfId="26" applyNumberFormat="1" applyFont="1" applyFill="1" applyAlignment="1">
      <alignment horizontal="center" vertical="center"/>
    </xf>
    <xf numFmtId="0" fontId="55" fillId="14" borderId="3" xfId="26" applyFont="1" applyFill="1" applyBorder="1" applyAlignment="1">
      <alignment horizontal="center" vertical="center"/>
    </xf>
    <xf numFmtId="0" fontId="55" fillId="10" borderId="0" xfId="26" applyFont="1" applyFill="1" applyAlignment="1">
      <alignment horizontal="center" vertical="center"/>
    </xf>
    <xf numFmtId="0" fontId="55" fillId="14" borderId="3" xfId="26" applyFont="1" applyFill="1" applyBorder="1" applyAlignment="1">
      <alignment horizontal="center" vertical="center" wrapText="1"/>
    </xf>
    <xf numFmtId="0" fontId="55" fillId="14" borderId="68" xfId="26" applyFont="1" applyFill="1" applyBorder="1" applyAlignment="1">
      <alignment horizontal="center" vertical="center" wrapText="1"/>
    </xf>
    <xf numFmtId="0" fontId="55" fillId="14" borderId="82" xfId="26" applyFont="1" applyFill="1" applyBorder="1" applyAlignment="1">
      <alignment horizontal="center" vertical="center" wrapText="1"/>
    </xf>
    <xf numFmtId="0" fontId="55" fillId="14" borderId="83" xfId="26" applyFont="1" applyFill="1" applyBorder="1" applyAlignment="1">
      <alignment horizontal="center" vertical="center" wrapText="1"/>
    </xf>
    <xf numFmtId="0" fontId="55" fillId="14" borderId="71" xfId="26" applyFont="1" applyFill="1" applyBorder="1" applyAlignment="1">
      <alignment horizontal="center" vertical="center" wrapText="1"/>
    </xf>
    <xf numFmtId="0" fontId="55" fillId="14" borderId="65" xfId="26" applyFont="1" applyFill="1" applyBorder="1" applyAlignment="1">
      <alignment horizontal="center" vertical="center" wrapText="1"/>
    </xf>
    <xf numFmtId="0" fontId="55" fillId="14" borderId="66" xfId="26" applyFont="1" applyFill="1" applyBorder="1" applyAlignment="1">
      <alignment horizontal="center" vertical="center" wrapText="1"/>
    </xf>
    <xf numFmtId="0" fontId="55" fillId="14" borderId="67" xfId="26" applyFont="1" applyFill="1" applyBorder="1" applyAlignment="1">
      <alignment horizontal="center" vertical="center" wrapText="1"/>
    </xf>
    <xf numFmtId="190" fontId="24" fillId="0" borderId="35" xfId="26" applyNumberFormat="1" applyBorder="1"/>
    <xf numFmtId="0" fontId="24" fillId="0" borderId="70" xfId="26" applyBorder="1" applyAlignment="1">
      <alignment horizontal="center"/>
    </xf>
    <xf numFmtId="0" fontId="24" fillId="0" borderId="35" xfId="26" applyBorder="1" applyAlignment="1">
      <alignment horizontal="center"/>
    </xf>
    <xf numFmtId="190" fontId="61" fillId="10" borderId="35" xfId="26" applyNumberFormat="1" applyFont="1" applyFill="1" applyBorder="1" applyAlignment="1">
      <alignment horizontal="center" vertical="center"/>
    </xf>
    <xf numFmtId="190" fontId="61" fillId="10" borderId="36" xfId="26" applyNumberFormat="1" applyFont="1" applyFill="1" applyBorder="1" applyAlignment="1">
      <alignment horizontal="center" vertical="center"/>
    </xf>
    <xf numFmtId="0" fontId="24" fillId="0" borderId="18" xfId="26" applyBorder="1" applyAlignment="1">
      <alignment horizontal="center"/>
    </xf>
    <xf numFmtId="0" fontId="24" fillId="0" borderId="4" xfId="26" applyBorder="1" applyAlignment="1">
      <alignment horizontal="center"/>
    </xf>
    <xf numFmtId="190" fontId="24" fillId="0" borderId="4" xfId="26" applyNumberFormat="1" applyBorder="1"/>
    <xf numFmtId="0" fontId="24" fillId="0" borderId="4" xfId="26" applyBorder="1"/>
    <xf numFmtId="0" fontId="24" fillId="0" borderId="43" xfId="26" applyBorder="1"/>
    <xf numFmtId="190" fontId="24" fillId="0" borderId="1" xfId="26" applyNumberFormat="1" applyBorder="1"/>
    <xf numFmtId="0" fontId="24" fillId="0" borderId="16" xfId="26" applyBorder="1" applyAlignment="1">
      <alignment horizontal="center"/>
    </xf>
    <xf numFmtId="0" fontId="24" fillId="0" borderId="1" xfId="26" applyBorder="1" applyAlignment="1">
      <alignment horizontal="center"/>
    </xf>
    <xf numFmtId="0" fontId="24" fillId="0" borderId="38" xfId="26" applyBorder="1"/>
    <xf numFmtId="200" fontId="16" fillId="0" borderId="0" xfId="35" applyNumberFormat="1" applyFont="1" applyAlignment="1">
      <alignment horizontal="left" vertical="center"/>
    </xf>
    <xf numFmtId="200" fontId="8" fillId="0" borderId="0" xfId="35" applyNumberFormat="1" applyAlignment="1">
      <alignment horizontal="center" vertical="center"/>
    </xf>
    <xf numFmtId="0" fontId="8" fillId="0" borderId="0" xfId="35">
      <alignment vertical="center"/>
    </xf>
    <xf numFmtId="190" fontId="61" fillId="0" borderId="1" xfId="26" applyNumberFormat="1" applyFont="1" applyBorder="1" applyAlignment="1">
      <alignment horizontal="center" vertical="center"/>
    </xf>
    <xf numFmtId="190" fontId="61" fillId="0" borderId="38" xfId="26" applyNumberFormat="1" applyFont="1" applyBorder="1" applyAlignment="1">
      <alignment horizontal="center" vertical="center"/>
    </xf>
    <xf numFmtId="190" fontId="61" fillId="10" borderId="1" xfId="26" applyNumberFormat="1" applyFont="1" applyFill="1" applyBorder="1" applyAlignment="1">
      <alignment horizontal="center" vertical="center"/>
    </xf>
    <xf numFmtId="190" fontId="61" fillId="10" borderId="38" xfId="26" applyNumberFormat="1" applyFont="1" applyFill="1" applyBorder="1" applyAlignment="1">
      <alignment horizontal="center" vertical="center"/>
    </xf>
    <xf numFmtId="0" fontId="62" fillId="10" borderId="1" xfId="35" applyFont="1" applyFill="1" applyBorder="1" applyAlignment="1">
      <alignment horizontal="center" vertical="center"/>
    </xf>
    <xf numFmtId="0" fontId="62" fillId="0" borderId="0" xfId="35" applyFont="1">
      <alignment vertical="center"/>
    </xf>
    <xf numFmtId="190" fontId="24" fillId="2" borderId="1" xfId="26" applyNumberFormat="1" applyFill="1" applyBorder="1"/>
    <xf numFmtId="201" fontId="62" fillId="10" borderId="1" xfId="35" applyNumberFormat="1" applyFont="1" applyFill="1" applyBorder="1">
      <alignment vertical="center"/>
    </xf>
    <xf numFmtId="201" fontId="62" fillId="0" borderId="1" xfId="35" applyNumberFormat="1" applyFont="1" applyBorder="1">
      <alignment vertical="center"/>
    </xf>
    <xf numFmtId="201" fontId="24" fillId="0" borderId="0" xfId="26" applyNumberFormat="1"/>
    <xf numFmtId="0" fontId="24" fillId="10" borderId="1" xfId="26" applyFill="1" applyBorder="1"/>
    <xf numFmtId="0" fontId="24" fillId="10" borderId="1" xfId="26" applyFill="1" applyBorder="1" applyAlignment="1">
      <alignment horizontal="center" vertical="center"/>
    </xf>
    <xf numFmtId="0" fontId="24" fillId="16" borderId="1" xfId="26" applyFill="1" applyBorder="1" applyAlignment="1">
      <alignment horizontal="center" vertical="center"/>
    </xf>
    <xf numFmtId="0" fontId="24" fillId="0" borderId="16" xfId="26" applyBorder="1"/>
    <xf numFmtId="0" fontId="24" fillId="14" borderId="1" xfId="26" applyFill="1" applyBorder="1" applyAlignment="1">
      <alignment horizontal="center" vertical="center"/>
    </xf>
    <xf numFmtId="0" fontId="24" fillId="2" borderId="16" xfId="26" applyFill="1" applyBorder="1" applyAlignment="1">
      <alignment horizontal="center"/>
    </xf>
    <xf numFmtId="190" fontId="61" fillId="0" borderId="1" xfId="26" applyNumberFormat="1" applyFont="1" applyBorder="1" applyAlignment="1">
      <alignment horizontal="right" vertical="center"/>
    </xf>
    <xf numFmtId="190" fontId="61" fillId="0" borderId="38" xfId="26" applyNumberFormat="1" applyFont="1" applyBorder="1" applyAlignment="1">
      <alignment horizontal="right" vertical="center"/>
    </xf>
    <xf numFmtId="0" fontId="24" fillId="17" borderId="1" xfId="26" applyFill="1" applyBorder="1" applyAlignment="1">
      <alignment horizontal="center" vertical="center"/>
    </xf>
    <xf numFmtId="0" fontId="24" fillId="0" borderId="56" xfId="26" applyBorder="1" applyAlignment="1">
      <alignment horizontal="center"/>
    </xf>
    <xf numFmtId="0" fontId="24" fillId="0" borderId="51" xfId="26" applyBorder="1" applyAlignment="1">
      <alignment horizontal="center"/>
    </xf>
    <xf numFmtId="190" fontId="24" fillId="0" borderId="51" xfId="26" applyNumberFormat="1" applyBorder="1"/>
    <xf numFmtId="190" fontId="61" fillId="0" borderId="51" xfId="26" applyNumberFormat="1" applyFont="1" applyBorder="1" applyAlignment="1">
      <alignment horizontal="right" vertical="center"/>
    </xf>
    <xf numFmtId="190" fontId="61" fillId="0" borderId="52" xfId="26" applyNumberFormat="1" applyFont="1" applyBorder="1" applyAlignment="1">
      <alignment horizontal="right" vertical="center"/>
    </xf>
    <xf numFmtId="198" fontId="64" fillId="0" borderId="38" xfId="26" applyNumberFormat="1" applyFont="1" applyBorder="1" applyAlignment="1">
      <alignment vertical="center" wrapText="1"/>
    </xf>
    <xf numFmtId="199" fontId="61" fillId="0" borderId="16" xfId="26" applyNumberFormat="1" applyFont="1" applyBorder="1" applyAlignment="1">
      <alignment horizontal="center" vertical="center"/>
    </xf>
    <xf numFmtId="199" fontId="61" fillId="0" borderId="56" xfId="26" applyNumberFormat="1" applyFont="1" applyBorder="1" applyAlignment="1">
      <alignment horizontal="center" vertical="center"/>
    </xf>
    <xf numFmtId="0" fontId="24" fillId="0" borderId="51" xfId="26" applyBorder="1"/>
    <xf numFmtId="0" fontId="53" fillId="10" borderId="31" xfId="26" applyFont="1" applyFill="1" applyBorder="1" applyAlignment="1">
      <alignment horizontal="center" vertical="center" wrapText="1"/>
    </xf>
    <xf numFmtId="199" fontId="61" fillId="10" borderId="31" xfId="26" applyNumberFormat="1" applyFont="1" applyFill="1" applyBorder="1" applyAlignment="1">
      <alignment horizontal="center" vertical="center"/>
    </xf>
    <xf numFmtId="0" fontId="24" fillId="10" borderId="31" xfId="26" applyFill="1" applyBorder="1" applyAlignment="1">
      <alignment horizontal="center"/>
    </xf>
    <xf numFmtId="190" fontId="61" fillId="10" borderId="31" xfId="26" applyNumberFormat="1" applyFont="1" applyFill="1" applyBorder="1" applyAlignment="1">
      <alignment horizontal="right" vertical="center"/>
    </xf>
    <xf numFmtId="0" fontId="59" fillId="8" borderId="71" xfId="26" applyFont="1" applyFill="1" applyBorder="1" applyAlignment="1">
      <alignment vertical="center"/>
    </xf>
    <xf numFmtId="0" fontId="59" fillId="8" borderId="72" xfId="26" applyFont="1" applyFill="1" applyBorder="1" applyAlignment="1">
      <alignment vertical="center"/>
    </xf>
    <xf numFmtId="0" fontId="59" fillId="8" borderId="73" xfId="26" applyFont="1" applyFill="1" applyBorder="1" applyAlignment="1">
      <alignment vertical="center"/>
    </xf>
    <xf numFmtId="0" fontId="55" fillId="14" borderId="72" xfId="26" applyFont="1" applyFill="1" applyBorder="1" applyAlignment="1">
      <alignment horizontal="center" vertical="center" wrapText="1"/>
    </xf>
    <xf numFmtId="0" fontId="55" fillId="14" borderId="59" xfId="26" applyFont="1" applyFill="1" applyBorder="1" applyAlignment="1">
      <alignment horizontal="center" vertical="center" wrapText="1"/>
    </xf>
    <xf numFmtId="198" fontId="55" fillId="14" borderId="84" xfId="26" applyNumberFormat="1" applyFont="1" applyFill="1" applyBorder="1" applyAlignment="1">
      <alignment horizontal="center" vertical="center" wrapText="1"/>
    </xf>
    <xf numFmtId="0" fontId="39" fillId="14" borderId="84" xfId="26" applyFont="1" applyFill="1" applyBorder="1" applyAlignment="1">
      <alignment horizontal="center" vertical="center" wrapText="1"/>
    </xf>
    <xf numFmtId="0" fontId="24" fillId="0" borderId="42" xfId="26" applyBorder="1" applyAlignment="1">
      <alignment horizontal="center"/>
    </xf>
    <xf numFmtId="190" fontId="24" fillId="0" borderId="43" xfId="26" applyNumberFormat="1" applyBorder="1"/>
    <xf numFmtId="199" fontId="61" fillId="0" borderId="34" xfId="26" applyNumberFormat="1" applyFont="1" applyBorder="1" applyAlignment="1">
      <alignment horizontal="center" vertical="center"/>
    </xf>
    <xf numFmtId="0" fontId="61" fillId="0" borderId="35" xfId="26" applyFont="1" applyBorder="1" applyAlignment="1">
      <alignment horizontal="center" vertical="center"/>
    </xf>
    <xf numFmtId="190" fontId="61" fillId="0" borderId="35" xfId="26" applyNumberFormat="1" applyFont="1" applyBorder="1" applyAlignment="1">
      <alignment horizontal="center" vertical="center"/>
    </xf>
    <xf numFmtId="190" fontId="61" fillId="0" borderId="36" xfId="26" applyNumberFormat="1" applyFont="1" applyBorder="1" applyAlignment="1">
      <alignment horizontal="center" vertical="center"/>
    </xf>
    <xf numFmtId="0" fontId="24" fillId="0" borderId="37" xfId="26" applyBorder="1" applyAlignment="1">
      <alignment horizontal="center"/>
    </xf>
    <xf numFmtId="190" fontId="24" fillId="0" borderId="38" xfId="26" applyNumberFormat="1" applyBorder="1"/>
    <xf numFmtId="199" fontId="61" fillId="0" borderId="37" xfId="26" applyNumberFormat="1" applyFont="1" applyBorder="1" applyAlignment="1">
      <alignment horizontal="center" vertical="center"/>
    </xf>
    <xf numFmtId="0" fontId="61" fillId="0" borderId="1" xfId="26" applyFont="1" applyBorder="1" applyAlignment="1">
      <alignment horizontal="center" vertical="center"/>
    </xf>
    <xf numFmtId="0" fontId="61" fillId="0" borderId="37" xfId="26" applyFont="1" applyBorder="1" applyAlignment="1">
      <alignment horizontal="center" vertical="center"/>
    </xf>
    <xf numFmtId="0" fontId="24" fillId="0" borderId="63" xfId="26" applyBorder="1" applyAlignment="1">
      <alignment horizontal="center"/>
    </xf>
    <xf numFmtId="0" fontId="24" fillId="0" borderId="3" xfId="26" applyBorder="1" applyAlignment="1">
      <alignment horizontal="center"/>
    </xf>
    <xf numFmtId="190" fontId="24" fillId="0" borderId="3" xfId="26" applyNumberFormat="1" applyBorder="1"/>
    <xf numFmtId="190" fontId="24" fillId="0" borderId="64" xfId="26" applyNumberFormat="1" applyBorder="1"/>
    <xf numFmtId="0" fontId="61" fillId="0" borderId="50" xfId="26" applyFont="1" applyBorder="1" applyAlignment="1">
      <alignment horizontal="center" vertical="center"/>
    </xf>
    <xf numFmtId="0" fontId="61" fillId="0" borderId="51" xfId="26" applyFont="1" applyBorder="1" applyAlignment="1">
      <alignment horizontal="center" vertical="center"/>
    </xf>
    <xf numFmtId="190" fontId="61" fillId="0" borderId="51" xfId="26" applyNumberFormat="1" applyFont="1" applyBorder="1" applyAlignment="1">
      <alignment horizontal="center" vertical="center"/>
    </xf>
    <xf numFmtId="190" fontId="61" fillId="0" borderId="52" xfId="26" applyNumberFormat="1" applyFont="1" applyBorder="1" applyAlignment="1">
      <alignment horizontal="center" vertical="center"/>
    </xf>
    <xf numFmtId="0" fontId="24" fillId="0" borderId="50" xfId="26" applyBorder="1" applyAlignment="1">
      <alignment horizontal="center"/>
    </xf>
    <xf numFmtId="190" fontId="24" fillId="0" borderId="52" xfId="26" applyNumberFormat="1" applyBorder="1"/>
    <xf numFmtId="202" fontId="24" fillId="10" borderId="0" xfId="26" applyNumberFormat="1" applyFill="1"/>
    <xf numFmtId="0" fontId="66" fillId="14" borderId="1" xfId="26" applyFont="1" applyFill="1" applyBorder="1" applyAlignment="1">
      <alignment horizontal="center" vertical="center" wrapText="1"/>
    </xf>
    <xf numFmtId="0" fontId="65" fillId="0" borderId="1" xfId="26" applyFont="1" applyBorder="1" applyAlignment="1">
      <alignment horizontal="center" vertical="center"/>
    </xf>
    <xf numFmtId="203" fontId="65" fillId="0" borderId="1" xfId="26" applyNumberFormat="1" applyFont="1" applyBorder="1" applyAlignment="1">
      <alignment horizontal="center" vertical="center"/>
    </xf>
    <xf numFmtId="0" fontId="65" fillId="0" borderId="1" xfId="26" applyFont="1" applyBorder="1" applyAlignment="1">
      <alignment horizontal="center" vertical="center" wrapText="1"/>
    </xf>
    <xf numFmtId="203" fontId="65" fillId="0" borderId="38" xfId="26" applyNumberFormat="1" applyFont="1" applyBorder="1" applyAlignment="1">
      <alignment horizontal="center" vertical="center"/>
    </xf>
    <xf numFmtId="0" fontId="65" fillId="0" borderId="38" xfId="26" applyFont="1" applyBorder="1" applyAlignment="1">
      <alignment horizontal="center" vertical="center" wrapText="1"/>
    </xf>
    <xf numFmtId="204" fontId="24" fillId="10" borderId="0" xfId="26" applyNumberFormat="1" applyFill="1"/>
    <xf numFmtId="0" fontId="65" fillId="0" borderId="51" xfId="26" applyFont="1" applyBorder="1" applyAlignment="1">
      <alignment horizontal="center" vertical="center"/>
    </xf>
    <xf numFmtId="203" fontId="65" fillId="0" borderId="51" xfId="26" applyNumberFormat="1" applyFont="1" applyBorder="1" applyAlignment="1">
      <alignment horizontal="center" vertical="center"/>
    </xf>
    <xf numFmtId="0" fontId="65" fillId="0" borderId="51" xfId="26" applyFont="1" applyBorder="1" applyAlignment="1">
      <alignment horizontal="center" vertical="center" wrapText="1"/>
    </xf>
    <xf numFmtId="0" fontId="65" fillId="0" borderId="52" xfId="26" applyFont="1" applyBorder="1" applyAlignment="1">
      <alignment horizontal="center" vertical="center" wrapText="1"/>
    </xf>
    <xf numFmtId="203" fontId="24" fillId="10" borderId="0" xfId="26" applyNumberFormat="1" applyFill="1"/>
    <xf numFmtId="0" fontId="24" fillId="0" borderId="1" xfId="26" applyBorder="1" applyAlignment="1">
      <alignment vertical="center"/>
    </xf>
    <xf numFmtId="179" fontId="24" fillId="0" borderId="1" xfId="26" applyNumberFormat="1" applyBorder="1" applyAlignment="1">
      <alignment vertical="center"/>
    </xf>
    <xf numFmtId="177" fontId="24" fillId="10" borderId="1" xfId="26" applyNumberFormat="1" applyFill="1" applyBorder="1"/>
    <xf numFmtId="177" fontId="0" fillId="0" borderId="1" xfId="33" applyNumberFormat="1" applyFont="1" applyBorder="1">
      <alignment vertical="center"/>
    </xf>
    <xf numFmtId="177" fontId="24" fillId="0" borderId="1" xfId="26" applyNumberFormat="1" applyBorder="1"/>
    <xf numFmtId="0" fontId="25" fillId="0" borderId="0" xfId="26" applyFont="1" applyAlignment="1">
      <alignment vertical="center"/>
    </xf>
    <xf numFmtId="0" fontId="28" fillId="0" borderId="0" xfId="26" applyFont="1" applyAlignment="1">
      <alignment vertical="center"/>
    </xf>
    <xf numFmtId="182" fontId="25" fillId="0" borderId="0" xfId="26" applyNumberFormat="1" applyFont="1" applyAlignment="1">
      <alignment vertical="center"/>
    </xf>
    <xf numFmtId="0" fontId="28" fillId="0" borderId="0" xfId="25" applyFont="1" applyAlignment="1">
      <alignment vertical="center"/>
    </xf>
    <xf numFmtId="0" fontId="25" fillId="0" borderId="0" xfId="0" applyFont="1">
      <alignment vertical="center"/>
    </xf>
    <xf numFmtId="0" fontId="25" fillId="0" borderId="0" xfId="25" applyFont="1" applyAlignment="1">
      <alignment vertical="center"/>
    </xf>
    <xf numFmtId="0" fontId="27" fillId="0" borderId="0" xfId="26" applyFont="1" applyAlignment="1">
      <alignment vertical="center"/>
    </xf>
    <xf numFmtId="0" fontId="25" fillId="0" borderId="0" xfId="24" applyFont="1">
      <alignment vertical="center"/>
    </xf>
    <xf numFmtId="0" fontId="27" fillId="0" borderId="0" xfId="25" applyFont="1" applyAlignment="1">
      <alignment vertical="center"/>
    </xf>
    <xf numFmtId="181" fontId="0" fillId="0" borderId="0" xfId="26" applyNumberFormat="1" applyFont="1" applyAlignment="1">
      <alignment horizontal="center" vertical="center" shrinkToFi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6" fillId="0" borderId="3" xfId="0" applyFont="1" applyBorder="1" applyAlignment="1">
      <alignment horizontal="center" vertical="center"/>
    </xf>
    <xf numFmtId="42" fontId="46" fillId="0" borderId="3" xfId="11" applyFont="1" applyBorder="1" applyAlignment="1">
      <alignment horizontal="center" vertical="center"/>
    </xf>
    <xf numFmtId="177" fontId="46" fillId="13" borderId="3" xfId="11" applyNumberFormat="1" applyFont="1" applyFill="1" applyBorder="1" applyAlignment="1">
      <alignment horizontal="center" vertical="center"/>
    </xf>
    <xf numFmtId="14" fontId="46" fillId="0" borderId="3" xfId="11" applyNumberFormat="1" applyFont="1" applyBorder="1" applyAlignment="1">
      <alignment horizontal="center" vertical="center"/>
    </xf>
    <xf numFmtId="14" fontId="46" fillId="0" borderId="3" xfId="0" applyNumberFormat="1" applyFont="1" applyBorder="1" applyAlignment="1">
      <alignment horizontal="center" vertical="center"/>
    </xf>
    <xf numFmtId="181" fontId="0" fillId="13" borderId="3" xfId="0" applyNumberFormat="1" applyFill="1" applyBorder="1" applyAlignment="1">
      <alignment horizontal="center" vertical="center"/>
    </xf>
    <xf numFmtId="181" fontId="0" fillId="0" borderId="29" xfId="26" applyNumberFormat="1" applyFont="1" applyBorder="1" applyAlignment="1">
      <alignment horizontal="left" vertical="center" shrinkToFit="1"/>
    </xf>
    <xf numFmtId="185" fontId="0" fillId="13" borderId="3" xfId="0" applyNumberFormat="1" applyFill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77" fontId="0" fillId="0" borderId="1" xfId="11" applyNumberFormat="1" applyFont="1" applyBorder="1" applyAlignment="1">
      <alignment horizontal="center" vertical="center"/>
    </xf>
    <xf numFmtId="14" fontId="17" fillId="0" borderId="18" xfId="0" applyNumberFormat="1" applyFont="1" applyBorder="1" applyAlignment="1">
      <alignment horizontal="center" vertical="center"/>
    </xf>
    <xf numFmtId="185" fontId="17" fillId="13" borderId="4" xfId="0" applyNumberFormat="1" applyFont="1" applyFill="1" applyBorder="1" applyAlignment="1">
      <alignment horizontal="center" vertical="center"/>
    </xf>
    <xf numFmtId="14" fontId="17" fillId="13" borderId="4" xfId="0" applyNumberFormat="1" applyFont="1" applyFill="1" applyBorder="1" applyAlignment="1">
      <alignment horizontal="center" vertical="center"/>
    </xf>
    <xf numFmtId="49" fontId="17" fillId="0" borderId="4" xfId="0" applyNumberFormat="1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14" fontId="17" fillId="0" borderId="4" xfId="11" applyNumberFormat="1" applyFont="1" applyFill="1" applyBorder="1" applyAlignment="1">
      <alignment horizontal="center" vertical="center"/>
    </xf>
    <xf numFmtId="14" fontId="17" fillId="0" borderId="4" xfId="0" applyNumberFormat="1" applyFont="1" applyBorder="1" applyAlignment="1">
      <alignment horizontal="center" vertical="center"/>
    </xf>
    <xf numFmtId="0" fontId="46" fillId="0" borderId="20" xfId="0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19" xfId="0" applyFont="1" applyBorder="1" applyAlignment="1">
      <alignment horizontal="center" vertical="center"/>
    </xf>
    <xf numFmtId="0" fontId="0" fillId="0" borderId="20" xfId="0" applyBorder="1">
      <alignment vertical="center"/>
    </xf>
    <xf numFmtId="42" fontId="46" fillId="19" borderId="1" xfId="11" applyFont="1" applyFill="1" applyBorder="1" applyAlignment="1">
      <alignment horizontal="center" vertical="center"/>
    </xf>
    <xf numFmtId="177" fontId="46" fillId="19" borderId="1" xfId="11" applyNumberFormat="1" applyFont="1" applyFill="1" applyBorder="1" applyAlignment="1">
      <alignment horizontal="center" vertical="center"/>
    </xf>
    <xf numFmtId="0" fontId="0" fillId="19" borderId="0" xfId="0" applyFill="1">
      <alignment vertical="center"/>
    </xf>
    <xf numFmtId="176" fontId="46" fillId="0" borderId="1" xfId="0" applyNumberFormat="1" applyFont="1" applyBorder="1" applyAlignment="1">
      <alignment horizontal="center" vertical="center"/>
    </xf>
    <xf numFmtId="179" fontId="46" fillId="0" borderId="1" xfId="11" applyNumberFormat="1" applyFont="1" applyBorder="1" applyAlignment="1">
      <alignment horizontal="center" vertical="center"/>
    </xf>
    <xf numFmtId="179" fontId="46" fillId="13" borderId="1" xfId="11" applyNumberFormat="1" applyFont="1" applyFill="1" applyBorder="1" applyAlignment="1">
      <alignment horizontal="center" vertical="center"/>
    </xf>
    <xf numFmtId="0" fontId="28" fillId="0" borderId="0" xfId="19" quotePrefix="1" applyFont="1" applyAlignment="1">
      <alignment horizontal="center" vertical="center"/>
    </xf>
    <xf numFmtId="0" fontId="46" fillId="19" borderId="1" xfId="0" applyFont="1" applyFill="1" applyBorder="1" applyAlignment="1">
      <alignment horizontal="center" vertical="center"/>
    </xf>
    <xf numFmtId="0" fontId="25" fillId="0" borderId="1" xfId="26" applyFont="1" applyBorder="1" applyAlignment="1">
      <alignment vertical="center"/>
    </xf>
    <xf numFmtId="14" fontId="0" fillId="19" borderId="16" xfId="0" applyNumberFormat="1" applyFill="1" applyBorder="1" applyAlignment="1">
      <alignment horizontal="center" vertical="center"/>
    </xf>
    <xf numFmtId="0" fontId="46" fillId="0" borderId="54" xfId="0" applyFont="1" applyBorder="1">
      <alignment vertical="center"/>
    </xf>
    <xf numFmtId="14" fontId="46" fillId="19" borderId="54" xfId="11" applyNumberFormat="1" applyFont="1" applyFill="1" applyBorder="1" applyAlignment="1">
      <alignment horizontal="center" vertical="center"/>
    </xf>
    <xf numFmtId="14" fontId="17" fillId="0" borderId="21" xfId="0" applyNumberFormat="1" applyFont="1" applyBorder="1" applyAlignment="1">
      <alignment horizontal="center" vertical="center"/>
    </xf>
    <xf numFmtId="185" fontId="17" fillId="13" borderId="2" xfId="0" applyNumberFormat="1" applyFont="1" applyFill="1" applyBorder="1" applyAlignment="1">
      <alignment horizontal="center" vertical="center"/>
    </xf>
    <xf numFmtId="14" fontId="17" fillId="13" borderId="2" xfId="0" applyNumberFormat="1" applyFont="1" applyFill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177" fontId="17" fillId="0" borderId="2" xfId="0" applyNumberFormat="1" applyFont="1" applyBorder="1" applyAlignment="1">
      <alignment horizontal="center" vertical="center"/>
    </xf>
    <xf numFmtId="42" fontId="17" fillId="13" borderId="2" xfId="11" applyFont="1" applyFill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46" fillId="0" borderId="19" xfId="0" applyFont="1" applyBorder="1">
      <alignment vertical="center"/>
    </xf>
    <xf numFmtId="0" fontId="46" fillId="0" borderId="19" xfId="0" applyFont="1" applyBorder="1" applyAlignment="1">
      <alignment vertical="center" wrapText="1"/>
    </xf>
    <xf numFmtId="42" fontId="46" fillId="0" borderId="1" xfId="11" applyFont="1" applyFill="1" applyBorder="1" applyAlignment="1">
      <alignment horizontal="center" vertical="center"/>
    </xf>
    <xf numFmtId="14" fontId="46" fillId="0" borderId="1" xfId="11" applyNumberFormat="1" applyFont="1" applyFill="1" applyBorder="1" applyAlignment="1">
      <alignment horizontal="center" vertical="center"/>
    </xf>
    <xf numFmtId="14" fontId="46" fillId="0" borderId="19" xfId="0" applyNumberFormat="1" applyFont="1" applyBorder="1" applyAlignment="1">
      <alignment horizontal="center" vertical="center"/>
    </xf>
    <xf numFmtId="14" fontId="46" fillId="0" borderId="54" xfId="0" applyNumberFormat="1" applyFont="1" applyBorder="1" applyAlignment="1">
      <alignment horizontal="center" vertical="center"/>
    </xf>
    <xf numFmtId="14" fontId="0" fillId="0" borderId="92" xfId="0" applyNumberFormat="1" applyBorder="1" applyAlignment="1">
      <alignment horizontal="center" vertical="center"/>
    </xf>
    <xf numFmtId="0" fontId="46" fillId="0" borderId="91" xfId="0" applyFont="1" applyBorder="1" applyAlignment="1">
      <alignment horizontal="center" vertical="center"/>
    </xf>
    <xf numFmtId="42" fontId="46" fillId="0" borderId="91" xfId="11" applyFont="1" applyBorder="1" applyAlignment="1">
      <alignment horizontal="center" vertical="center"/>
    </xf>
    <xf numFmtId="42" fontId="46" fillId="13" borderId="91" xfId="11" applyFont="1" applyFill="1" applyBorder="1" applyAlignment="1">
      <alignment horizontal="center" vertical="center"/>
    </xf>
    <xf numFmtId="177" fontId="46" fillId="13" borderId="91" xfId="11" applyNumberFormat="1" applyFont="1" applyFill="1" applyBorder="1" applyAlignment="1">
      <alignment horizontal="center" vertical="center"/>
    </xf>
    <xf numFmtId="0" fontId="46" fillId="0" borderId="93" xfId="0" applyFont="1" applyBorder="1">
      <alignment vertical="center"/>
    </xf>
    <xf numFmtId="14" fontId="0" fillId="0" borderId="91" xfId="0" applyNumberFormat="1" applyBorder="1" applyAlignment="1">
      <alignment horizontal="center" vertical="center"/>
    </xf>
    <xf numFmtId="14" fontId="46" fillId="0" borderId="91" xfId="11" applyNumberFormat="1" applyFont="1" applyBorder="1" applyAlignment="1">
      <alignment horizontal="center" vertical="center"/>
    </xf>
    <xf numFmtId="14" fontId="46" fillId="0" borderId="91" xfId="0" applyNumberFormat="1" applyFont="1" applyBorder="1" applyAlignment="1">
      <alignment horizontal="center" vertical="center"/>
    </xf>
    <xf numFmtId="179" fontId="46" fillId="0" borderId="91" xfId="0" applyNumberFormat="1" applyFont="1" applyBorder="1" applyAlignment="1">
      <alignment horizontal="center" vertical="center"/>
    </xf>
    <xf numFmtId="179" fontId="46" fillId="13" borderId="91" xfId="11" applyNumberFormat="1" applyFont="1" applyFill="1" applyBorder="1" applyAlignment="1">
      <alignment horizontal="center" vertical="center"/>
    </xf>
    <xf numFmtId="181" fontId="0" fillId="13" borderId="91" xfId="0" applyNumberFormat="1" applyFill="1" applyBorder="1" applyAlignment="1">
      <alignment horizontal="center" vertical="center"/>
    </xf>
    <xf numFmtId="0" fontId="46" fillId="0" borderId="93" xfId="0" applyFont="1" applyBorder="1" applyAlignment="1">
      <alignment vertical="center" wrapText="1"/>
    </xf>
    <xf numFmtId="0" fontId="46" fillId="0" borderId="54" xfId="0" applyFont="1" applyBorder="1" applyAlignment="1">
      <alignment vertical="center" wrapText="1"/>
    </xf>
    <xf numFmtId="0" fontId="24" fillId="0" borderId="91" xfId="0" applyFont="1" applyBorder="1" applyAlignment="1">
      <alignment horizontal="center" vertical="center"/>
    </xf>
    <xf numFmtId="0" fontId="7" fillId="0" borderId="0" xfId="24" applyFont="1" applyAlignment="1">
      <alignment horizontal="center" vertical="center"/>
    </xf>
    <xf numFmtId="179" fontId="46" fillId="0" borderId="91" xfId="11" applyNumberFormat="1" applyFont="1" applyBorder="1" applyAlignment="1">
      <alignment horizontal="center" vertical="center"/>
    </xf>
    <xf numFmtId="185" fontId="0" fillId="13" borderId="91" xfId="0" applyNumberFormat="1" applyFill="1" applyBorder="1" applyAlignment="1">
      <alignment horizontal="center" vertical="center"/>
    </xf>
    <xf numFmtId="0" fontId="46" fillId="0" borderId="93" xfId="0" applyFont="1" applyBorder="1" applyAlignment="1">
      <alignment horizontal="center" vertical="center"/>
    </xf>
    <xf numFmtId="14" fontId="46" fillId="0" borderId="93" xfId="0" applyNumberFormat="1" applyFont="1" applyBorder="1" applyAlignment="1">
      <alignment horizontal="center" vertical="center"/>
    </xf>
    <xf numFmtId="14" fontId="0" fillId="0" borderId="1" xfId="11" applyNumberFormat="1" applyFont="1" applyFill="1" applyBorder="1" applyAlignment="1">
      <alignment horizontal="center" vertical="center"/>
    </xf>
    <xf numFmtId="42" fontId="46" fillId="0" borderId="3" xfId="11" applyFont="1" applyFill="1" applyBorder="1" applyAlignment="1">
      <alignment horizontal="center" vertical="center"/>
    </xf>
    <xf numFmtId="14" fontId="46" fillId="0" borderId="3" xfId="11" applyNumberFormat="1" applyFont="1" applyFill="1" applyBorder="1" applyAlignment="1">
      <alignment horizontal="center" vertical="center"/>
    </xf>
    <xf numFmtId="42" fontId="46" fillId="0" borderId="91" xfId="11" applyFont="1" applyFill="1" applyBorder="1" applyAlignment="1">
      <alignment horizontal="center" vertical="center"/>
    </xf>
    <xf numFmtId="14" fontId="46" fillId="0" borderId="91" xfId="11" applyNumberFormat="1" applyFont="1" applyFill="1" applyBorder="1" applyAlignment="1">
      <alignment horizontal="center" vertical="center"/>
    </xf>
    <xf numFmtId="181" fontId="32" fillId="0" borderId="0" xfId="28" applyNumberFormat="1" applyFont="1" applyFill="1" applyAlignment="1">
      <alignment horizontal="center" vertical="center"/>
    </xf>
    <xf numFmtId="205" fontId="46" fillId="0" borderId="1" xfId="11" applyNumberFormat="1" applyFont="1" applyBorder="1" applyAlignment="1">
      <alignment horizontal="center" vertical="center"/>
    </xf>
    <xf numFmtId="205" fontId="46" fillId="13" borderId="1" xfId="11" applyNumberFormat="1" applyFont="1" applyFill="1" applyBorder="1" applyAlignment="1">
      <alignment horizontal="center" vertical="center"/>
    </xf>
    <xf numFmtId="14" fontId="46" fillId="0" borderId="54" xfId="11" applyNumberFormat="1" applyFont="1" applyFill="1" applyBorder="1" applyAlignment="1">
      <alignment horizontal="center" vertical="center"/>
    </xf>
    <xf numFmtId="14" fontId="46" fillId="0" borderId="93" xfId="11" applyNumberFormat="1" applyFont="1" applyFill="1" applyBorder="1" applyAlignment="1">
      <alignment horizontal="center" vertical="center"/>
    </xf>
    <xf numFmtId="185" fontId="0" fillId="0" borderId="1" xfId="0" applyNumberFormat="1" applyBorder="1" applyAlignment="1">
      <alignment horizontal="center" vertical="center"/>
    </xf>
    <xf numFmtId="0" fontId="6" fillId="0" borderId="0" xfId="24" applyFont="1" applyAlignment="1">
      <alignment horizontal="center" vertical="center"/>
    </xf>
    <xf numFmtId="0" fontId="5" fillId="0" borderId="0" xfId="24" applyFont="1" applyAlignment="1">
      <alignment horizontal="center" vertical="center"/>
    </xf>
    <xf numFmtId="179" fontId="70" fillId="0" borderId="52" xfId="26" applyNumberFormat="1" applyFont="1" applyBorder="1" applyAlignment="1">
      <alignment vertical="center"/>
    </xf>
    <xf numFmtId="0" fontId="4" fillId="0" borderId="0" xfId="24" applyFont="1" applyAlignment="1">
      <alignment horizontal="center" vertical="center"/>
    </xf>
    <xf numFmtId="42" fontId="0" fillId="0" borderId="1" xfId="11" applyFont="1" applyFill="1" applyBorder="1" applyAlignment="1">
      <alignment horizontal="center" vertical="center"/>
    </xf>
    <xf numFmtId="0" fontId="26" fillId="0" borderId="0" xfId="36" applyAlignment="1"/>
    <xf numFmtId="190" fontId="17" fillId="13" borderId="2" xfId="11" applyNumberFormat="1" applyFont="1" applyFill="1" applyBorder="1" applyAlignment="1">
      <alignment horizontal="center" vertical="center"/>
    </xf>
    <xf numFmtId="190" fontId="46" fillId="13" borderId="1" xfId="11" applyNumberFormat="1" applyFont="1" applyFill="1" applyBorder="1" applyAlignment="1">
      <alignment horizontal="center" vertical="center"/>
    </xf>
    <xf numFmtId="190" fontId="46" fillId="19" borderId="1" xfId="11" applyNumberFormat="1" applyFont="1" applyFill="1" applyBorder="1" applyAlignment="1">
      <alignment horizontal="center" vertical="center"/>
    </xf>
    <xf numFmtId="190" fontId="46" fillId="13" borderId="3" xfId="11" applyNumberFormat="1" applyFont="1" applyFill="1" applyBorder="1" applyAlignment="1">
      <alignment horizontal="center" vertical="center"/>
    </xf>
    <xf numFmtId="190" fontId="46" fillId="13" borderId="91" xfId="11" applyNumberFormat="1" applyFont="1" applyFill="1" applyBorder="1" applyAlignment="1">
      <alignment horizontal="center" vertical="center"/>
    </xf>
    <xf numFmtId="190" fontId="0" fillId="13" borderId="3" xfId="11" applyNumberFormat="1" applyFont="1" applyFill="1" applyBorder="1" applyAlignment="1">
      <alignment horizontal="center" vertical="center"/>
    </xf>
    <xf numFmtId="190" fontId="0" fillId="13" borderId="0" xfId="11" applyNumberFormat="1" applyFont="1" applyFill="1" applyAlignment="1">
      <alignment horizontal="center" vertical="center"/>
    </xf>
    <xf numFmtId="181" fontId="0" fillId="0" borderId="91" xfId="0" applyNumberForma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5" fontId="0" fillId="0" borderId="91" xfId="0" applyNumberFormat="1" applyBorder="1" applyAlignment="1">
      <alignment horizontal="center" vertical="center"/>
    </xf>
    <xf numFmtId="0" fontId="3" fillId="0" borderId="0" xfId="24" applyFont="1" applyAlignment="1">
      <alignment horizontal="center" vertical="center"/>
    </xf>
    <xf numFmtId="0" fontId="46" fillId="0" borderId="0" xfId="0" applyFont="1">
      <alignment vertical="center"/>
    </xf>
    <xf numFmtId="0" fontId="0" fillId="2" borderId="0" xfId="0" applyFill="1">
      <alignment vertical="center"/>
    </xf>
    <xf numFmtId="179" fontId="46" fillId="0" borderId="1" xfId="11" applyNumberFormat="1" applyFont="1" applyFill="1" applyBorder="1" applyAlignment="1">
      <alignment horizontal="center" vertical="center"/>
    </xf>
    <xf numFmtId="0" fontId="0" fillId="20" borderId="0" xfId="0" applyFill="1">
      <alignment vertical="center"/>
    </xf>
    <xf numFmtId="0" fontId="2" fillId="0" borderId="0" xfId="24" applyFont="1" applyAlignment="1">
      <alignment horizontal="center" vertical="center"/>
    </xf>
    <xf numFmtId="0" fontId="46" fillId="0" borderId="91" xfId="0" quotePrefix="1" applyFont="1" applyBorder="1" applyAlignment="1">
      <alignment horizontal="center" vertical="center"/>
    </xf>
    <xf numFmtId="42" fontId="0" fillId="10" borderId="1" xfId="11" applyFont="1" applyFill="1" applyBorder="1">
      <alignment vertical="center"/>
    </xf>
    <xf numFmtId="42" fontId="0" fillId="0" borderId="1" xfId="11" applyFont="1" applyBorder="1">
      <alignment vertical="center"/>
    </xf>
    <xf numFmtId="42" fontId="24" fillId="0" borderId="4" xfId="11" applyFont="1" applyBorder="1" applyAlignment="1">
      <alignment horizontal="center" vertical="center"/>
    </xf>
    <xf numFmtId="42" fontId="24" fillId="0" borderId="43" xfId="11" applyFont="1" applyBorder="1" applyAlignment="1">
      <alignment horizontal="center" vertical="center"/>
    </xf>
    <xf numFmtId="0" fontId="24" fillId="0" borderId="4" xfId="26" applyBorder="1" applyAlignment="1">
      <alignment horizontal="center" vertical="center" wrapText="1"/>
    </xf>
    <xf numFmtId="0" fontId="46" fillId="0" borderId="1" xfId="0" quotePrefix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5" fillId="0" borderId="37" xfId="26" applyFont="1" applyBorder="1" applyAlignment="1">
      <alignment horizontal="center" vertical="center"/>
    </xf>
    <xf numFmtId="0" fontId="15" fillId="0" borderId="1" xfId="26" applyFont="1" applyBorder="1" applyAlignment="1">
      <alignment horizontal="center" vertical="center" wrapText="1"/>
    </xf>
    <xf numFmtId="179" fontId="15" fillId="0" borderId="1" xfId="26" applyNumberFormat="1" applyFont="1" applyBorder="1" applyAlignment="1">
      <alignment vertical="center" wrapText="1"/>
    </xf>
    <xf numFmtId="0" fontId="15" fillId="0" borderId="1" xfId="26" applyFont="1" applyBorder="1" applyAlignment="1">
      <alignment horizontal="center" vertical="center"/>
    </xf>
    <xf numFmtId="14" fontId="0" fillId="0" borderId="95" xfId="0" applyNumberFormat="1" applyBorder="1" applyAlignment="1">
      <alignment horizontal="center" vertical="center"/>
    </xf>
    <xf numFmtId="185" fontId="0" fillId="13" borderId="94" xfId="0" applyNumberFormat="1" applyFill="1" applyBorder="1" applyAlignment="1">
      <alignment horizontal="center" vertical="center"/>
    </xf>
    <xf numFmtId="181" fontId="0" fillId="13" borderId="94" xfId="0" applyNumberFormat="1" applyFill="1" applyBorder="1" applyAlignment="1">
      <alignment horizontal="center" vertical="center"/>
    </xf>
    <xf numFmtId="0" fontId="46" fillId="0" borderId="94" xfId="0" applyFont="1" applyBorder="1" applyAlignment="1">
      <alignment horizontal="center" vertical="center"/>
    </xf>
    <xf numFmtId="42" fontId="46" fillId="0" borderId="94" xfId="11" applyFont="1" applyBorder="1" applyAlignment="1">
      <alignment horizontal="center" vertical="center"/>
    </xf>
    <xf numFmtId="190" fontId="46" fillId="13" borderId="94" xfId="11" applyNumberFormat="1" applyFont="1" applyFill="1" applyBorder="1" applyAlignment="1">
      <alignment horizontal="center" vertical="center"/>
    </xf>
    <xf numFmtId="177" fontId="46" fillId="13" borderId="94" xfId="11" applyNumberFormat="1" applyFont="1" applyFill="1" applyBorder="1" applyAlignment="1">
      <alignment horizontal="center" vertical="center"/>
    </xf>
    <xf numFmtId="0" fontId="46" fillId="0" borderId="96" xfId="0" applyFont="1" applyBorder="1" applyAlignment="1">
      <alignment vertical="center" wrapText="1"/>
    </xf>
    <xf numFmtId="14" fontId="0" fillId="0" borderId="99" xfId="0" applyNumberFormat="1" applyBorder="1" applyAlignment="1">
      <alignment horizontal="center" vertical="center"/>
    </xf>
    <xf numFmtId="185" fontId="0" fillId="13" borderId="97" xfId="0" applyNumberFormat="1" applyFill="1" applyBorder="1" applyAlignment="1">
      <alignment horizontal="center" vertical="center"/>
    </xf>
    <xf numFmtId="181" fontId="0" fillId="13" borderId="97" xfId="0" applyNumberFormat="1" applyFill="1" applyBorder="1" applyAlignment="1">
      <alignment horizontal="center" vertical="center"/>
    </xf>
    <xf numFmtId="0" fontId="46" fillId="0" borderId="97" xfId="0" applyFont="1" applyBorder="1" applyAlignment="1">
      <alignment horizontal="center" vertical="center"/>
    </xf>
    <xf numFmtId="42" fontId="46" fillId="0" borderId="97" xfId="11" applyFont="1" applyBorder="1" applyAlignment="1">
      <alignment horizontal="center" vertical="center"/>
    </xf>
    <xf numFmtId="190" fontId="46" fillId="13" borderId="97" xfId="11" applyNumberFormat="1" applyFont="1" applyFill="1" applyBorder="1" applyAlignment="1">
      <alignment horizontal="center" vertical="center"/>
    </xf>
    <xf numFmtId="177" fontId="46" fillId="13" borderId="97" xfId="11" applyNumberFormat="1" applyFont="1" applyFill="1" applyBorder="1" applyAlignment="1">
      <alignment horizontal="center" vertical="center"/>
    </xf>
    <xf numFmtId="14" fontId="0" fillId="0" borderId="100" xfId="0" applyNumberFormat="1" applyBorder="1" applyAlignment="1">
      <alignment horizontal="center" vertical="center"/>
    </xf>
    <xf numFmtId="181" fontId="0" fillId="13" borderId="98" xfId="0" applyNumberFormat="1" applyFill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42" fontId="46" fillId="0" borderId="98" xfId="11" applyFont="1" applyBorder="1" applyAlignment="1">
      <alignment horizontal="center" vertical="center"/>
    </xf>
    <xf numFmtId="190" fontId="46" fillId="13" borderId="98" xfId="11" applyNumberFormat="1" applyFont="1" applyFill="1" applyBorder="1" applyAlignment="1">
      <alignment horizontal="center" vertical="center"/>
    </xf>
    <xf numFmtId="177" fontId="46" fillId="13" borderId="98" xfId="11" applyNumberFormat="1" applyFont="1" applyFill="1" applyBorder="1" applyAlignment="1">
      <alignment horizontal="center" vertical="center"/>
    </xf>
    <xf numFmtId="42" fontId="46" fillId="0" borderId="98" xfId="11" applyFont="1" applyFill="1" applyBorder="1" applyAlignment="1">
      <alignment horizontal="center" vertical="center"/>
    </xf>
    <xf numFmtId="14" fontId="46" fillId="0" borderId="98" xfId="0" applyNumberFormat="1" applyFont="1" applyBorder="1" applyAlignment="1">
      <alignment horizontal="center" vertical="center"/>
    </xf>
    <xf numFmtId="14" fontId="0" fillId="0" borderId="98" xfId="0" applyNumberFormat="1" applyBorder="1" applyAlignment="1">
      <alignment horizontal="center" vertical="center"/>
    </xf>
    <xf numFmtId="185" fontId="0" fillId="0" borderId="98" xfId="0" applyNumberFormat="1" applyBorder="1" applyAlignment="1">
      <alignment horizontal="center" vertical="center"/>
    </xf>
    <xf numFmtId="185" fontId="0" fillId="13" borderId="98" xfId="0" applyNumberFormat="1" applyFill="1" applyBorder="1" applyAlignment="1">
      <alignment horizontal="center" vertical="center"/>
    </xf>
    <xf numFmtId="0" fontId="46" fillId="0" borderId="98" xfId="0" applyFont="1" applyBorder="1" applyAlignment="1">
      <alignment horizontal="center" vertical="center" wrapText="1"/>
    </xf>
    <xf numFmtId="14" fontId="46" fillId="0" borderId="98" xfId="11" applyNumberFormat="1" applyFont="1" applyBorder="1" applyAlignment="1">
      <alignment horizontal="center" vertical="center"/>
    </xf>
    <xf numFmtId="0" fontId="46" fillId="0" borderId="93" xfId="0" quotePrefix="1" applyFont="1" applyBorder="1" applyAlignment="1">
      <alignment vertical="center" wrapText="1"/>
    </xf>
    <xf numFmtId="183" fontId="46" fillId="13" borderId="98" xfId="11" applyNumberFormat="1" applyFont="1" applyFill="1" applyBorder="1" applyAlignment="1">
      <alignment horizontal="center" vertical="center"/>
    </xf>
    <xf numFmtId="14" fontId="0" fillId="0" borderId="104" xfId="0" applyNumberFormat="1" applyBorder="1" applyAlignment="1">
      <alignment horizontal="center" vertical="center"/>
    </xf>
    <xf numFmtId="185" fontId="0" fillId="13" borderId="102" xfId="0" applyNumberFormat="1" applyFill="1" applyBorder="1" applyAlignment="1">
      <alignment horizontal="center" vertical="center"/>
    </xf>
    <xf numFmtId="181" fontId="0" fillId="13" borderId="102" xfId="0" applyNumberFormat="1" applyFill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190" fontId="46" fillId="13" borderId="102" xfId="11" applyNumberFormat="1" applyFont="1" applyFill="1" applyBorder="1" applyAlignment="1">
      <alignment horizontal="center" vertical="center"/>
    </xf>
    <xf numFmtId="177" fontId="46" fillId="13" borderId="102" xfId="11" applyNumberFormat="1" applyFont="1" applyFill="1" applyBorder="1" applyAlignment="1">
      <alignment horizontal="center" vertical="center"/>
    </xf>
    <xf numFmtId="0" fontId="46" fillId="0" borderId="105" xfId="0" applyFont="1" applyBorder="1">
      <alignment vertical="center"/>
    </xf>
    <xf numFmtId="14" fontId="0" fillId="0" borderId="103" xfId="0" applyNumberFormat="1" applyBorder="1" applyAlignment="1">
      <alignment horizontal="center" vertical="center"/>
    </xf>
    <xf numFmtId="181" fontId="0" fillId="13" borderId="101" xfId="0" applyNumberFormat="1" applyFill="1" applyBorder="1" applyAlignment="1">
      <alignment horizontal="center" vertical="center"/>
    </xf>
    <xf numFmtId="0" fontId="46" fillId="0" borderId="101" xfId="0" applyFont="1" applyBorder="1" applyAlignment="1">
      <alignment horizontal="center" vertical="center"/>
    </xf>
    <xf numFmtId="190" fontId="46" fillId="13" borderId="101" xfId="11" applyNumberFormat="1" applyFont="1" applyFill="1" applyBorder="1" applyAlignment="1">
      <alignment horizontal="center" vertical="center"/>
    </xf>
    <xf numFmtId="177" fontId="46" fillId="13" borderId="101" xfId="11" applyNumberFormat="1" applyFont="1" applyFill="1" applyBorder="1" applyAlignment="1">
      <alignment horizontal="center" vertical="center"/>
    </xf>
    <xf numFmtId="0" fontId="46" fillId="0" borderId="106" xfId="0" applyFont="1" applyBorder="1">
      <alignment vertical="center"/>
    </xf>
    <xf numFmtId="179" fontId="46" fillId="0" borderId="101" xfId="11" applyNumberFormat="1" applyFont="1" applyBorder="1" applyAlignment="1">
      <alignment horizontal="center" vertical="center"/>
    </xf>
    <xf numFmtId="179" fontId="46" fillId="0" borderId="102" xfId="11" applyNumberFormat="1" applyFont="1" applyBorder="1" applyAlignment="1">
      <alignment horizontal="center" vertical="center"/>
    </xf>
    <xf numFmtId="14" fontId="0" fillId="0" borderId="107" xfId="0" applyNumberFormat="1" applyBorder="1" applyAlignment="1">
      <alignment horizontal="center" vertical="center"/>
    </xf>
    <xf numFmtId="185" fontId="0" fillId="0" borderId="107" xfId="0" applyNumberFormat="1" applyBorder="1" applyAlignment="1">
      <alignment horizontal="center" vertical="center"/>
    </xf>
    <xf numFmtId="0" fontId="46" fillId="0" borderId="107" xfId="0" applyFont="1" applyBorder="1" applyAlignment="1">
      <alignment horizontal="center" vertical="center"/>
    </xf>
    <xf numFmtId="42" fontId="46" fillId="0" borderId="107" xfId="11" applyFont="1" applyFill="1" applyBorder="1" applyAlignment="1">
      <alignment horizontal="center" vertical="center"/>
    </xf>
    <xf numFmtId="14" fontId="46" fillId="0" borderId="107" xfId="11" applyNumberFormat="1" applyFont="1" applyFill="1" applyBorder="1" applyAlignment="1">
      <alignment horizontal="center" vertical="center"/>
    </xf>
    <xf numFmtId="14" fontId="46" fillId="0" borderId="107" xfId="0" applyNumberFormat="1" applyFont="1" applyBorder="1" applyAlignment="1">
      <alignment horizontal="center" vertical="center"/>
    </xf>
    <xf numFmtId="0" fontId="1" fillId="0" borderId="0" xfId="24" applyFont="1" applyAlignment="1"/>
    <xf numFmtId="0" fontId="21" fillId="0" borderId="0" xfId="0" applyFont="1">
      <alignment vertical="center"/>
    </xf>
    <xf numFmtId="0" fontId="24" fillId="0" borderId="0" xfId="26" applyAlignment="1">
      <alignment horizontal="left"/>
    </xf>
    <xf numFmtId="181" fontId="24" fillId="0" borderId="0" xfId="26" applyNumberFormat="1" applyAlignment="1">
      <alignment horizontal="center" vertical="top"/>
    </xf>
    <xf numFmtId="181" fontId="24" fillId="0" borderId="0" xfId="26" applyNumberFormat="1" applyAlignment="1">
      <alignment horizontal="center" vertical="center"/>
    </xf>
    <xf numFmtId="14" fontId="24" fillId="0" borderId="0" xfId="26" applyNumberFormat="1" applyAlignment="1">
      <alignment horizontal="center" vertical="center"/>
    </xf>
    <xf numFmtId="0" fontId="24" fillId="0" borderId="0" xfId="26" applyAlignment="1">
      <alignment horizontal="center" vertical="center"/>
    </xf>
    <xf numFmtId="181" fontId="26" fillId="0" borderId="0" xfId="36" applyNumberFormat="1" applyAlignment="1">
      <alignment horizontal="center" vertical="center"/>
    </xf>
    <xf numFmtId="0" fontId="1" fillId="0" borderId="0" xfId="24" applyFont="1" applyAlignment="1">
      <alignment horizontal="center"/>
    </xf>
    <xf numFmtId="14" fontId="1" fillId="0" borderId="0" xfId="24" applyNumberFormat="1" applyFont="1" applyAlignment="1">
      <alignment horizontal="center"/>
    </xf>
    <xf numFmtId="0" fontId="26" fillId="0" borderId="0" xfId="36" applyAlignment="1">
      <alignment horizontal="center"/>
    </xf>
    <xf numFmtId="181" fontId="30" fillId="0" borderId="0" xfId="27" applyNumberFormat="1" applyFill="1" applyBorder="1" applyAlignment="1">
      <alignment horizontal="center" vertical="center"/>
    </xf>
    <xf numFmtId="0" fontId="1" fillId="0" borderId="0" xfId="24" applyFont="1" applyAlignment="1">
      <alignment horizontal="center" vertical="center"/>
    </xf>
    <xf numFmtId="181" fontId="30" fillId="0" borderId="0" xfId="27" applyNumberFormat="1" applyBorder="1" applyAlignment="1">
      <alignment horizontal="center" vertical="top"/>
    </xf>
    <xf numFmtId="0" fontId="30" fillId="0" borderId="0" xfId="27" applyBorder="1" applyAlignment="1">
      <alignment horizontal="center" vertical="center"/>
    </xf>
    <xf numFmtId="181" fontId="31" fillId="0" borderId="0" xfId="28" applyNumberFormat="1" applyBorder="1" applyAlignment="1">
      <alignment horizontal="center" vertical="top"/>
    </xf>
    <xf numFmtId="181" fontId="30" fillId="0" borderId="0" xfId="27" quotePrefix="1" applyNumberFormat="1" applyBorder="1" applyAlignment="1">
      <alignment horizontal="center" vertical="top"/>
    </xf>
    <xf numFmtId="181" fontId="30" fillId="0" borderId="0" xfId="27" applyNumberFormat="1" applyFill="1" applyBorder="1" applyAlignment="1">
      <alignment horizontal="center" vertical="center" wrapText="1"/>
    </xf>
    <xf numFmtId="0" fontId="30" fillId="0" borderId="0" xfId="27" applyBorder="1" applyAlignment="1">
      <alignment horizontal="center"/>
    </xf>
    <xf numFmtId="0" fontId="26" fillId="0" borderId="0" xfId="36" applyAlignment="1">
      <alignment horizontal="center" vertical="center"/>
    </xf>
    <xf numFmtId="0" fontId="74" fillId="0" borderId="0" xfId="24" applyFont="1" applyAlignment="1">
      <alignment horizontal="center" vertical="center"/>
    </xf>
    <xf numFmtId="0" fontId="46" fillId="0" borderId="0" xfId="24" applyFont="1" applyAlignment="1">
      <alignment horizontal="center" vertical="center"/>
    </xf>
    <xf numFmtId="181" fontId="26" fillId="0" borderId="0" xfId="36" applyNumberFormat="1" applyFill="1" applyBorder="1" applyAlignment="1">
      <alignment horizontal="center" vertical="top"/>
    </xf>
    <xf numFmtId="181" fontId="26" fillId="0" borderId="0" xfId="36" applyNumberFormat="1" applyFill="1" applyAlignment="1">
      <alignment horizontal="center" vertical="center"/>
    </xf>
    <xf numFmtId="185" fontId="0" fillId="13" borderId="107" xfId="0" applyNumberFormat="1" applyFill="1" applyBorder="1" applyAlignment="1">
      <alignment horizontal="center" vertical="center"/>
    </xf>
    <xf numFmtId="181" fontId="0" fillId="13" borderId="107" xfId="0" applyNumberFormat="1" applyFill="1" applyBorder="1" applyAlignment="1">
      <alignment horizontal="center" vertical="center"/>
    </xf>
    <xf numFmtId="42" fontId="46" fillId="0" borderId="107" xfId="11" applyFont="1" applyBorder="1" applyAlignment="1">
      <alignment horizontal="center" vertical="center"/>
    </xf>
    <xf numFmtId="177" fontId="46" fillId="13" borderId="107" xfId="11" applyNumberFormat="1" applyFont="1" applyFill="1" applyBorder="1" applyAlignment="1">
      <alignment horizontal="center" vertical="center"/>
    </xf>
    <xf numFmtId="0" fontId="46" fillId="0" borderId="106" xfId="0" quotePrefix="1" applyFont="1" applyBorder="1" applyAlignment="1">
      <alignment vertical="center" wrapText="1"/>
    </xf>
    <xf numFmtId="190" fontId="46" fillId="13" borderId="107" xfId="11" applyNumberFormat="1" applyFont="1" applyFill="1" applyBorder="1" applyAlignment="1">
      <alignment horizontal="center" vertical="center"/>
    </xf>
    <xf numFmtId="181" fontId="0" fillId="0" borderId="107" xfId="0" applyNumberFormat="1" applyBorder="1" applyAlignment="1">
      <alignment horizontal="center" vertical="center"/>
    </xf>
    <xf numFmtId="14" fontId="0" fillId="0" borderId="107" xfId="11" applyNumberFormat="1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25" fillId="0" borderId="1" xfId="24" applyFont="1" applyBorder="1">
      <alignment vertical="center"/>
    </xf>
    <xf numFmtId="0" fontId="26" fillId="0" borderId="0" xfId="36" applyFill="1" applyBorder="1" applyAlignment="1">
      <alignment horizontal="center" vertical="center"/>
    </xf>
    <xf numFmtId="14" fontId="46" fillId="0" borderId="107" xfId="11" applyNumberFormat="1" applyFont="1" applyBorder="1" applyAlignment="1">
      <alignment horizontal="center" vertical="center"/>
    </xf>
    <xf numFmtId="0" fontId="46" fillId="0" borderId="106" xfId="0" applyFont="1" applyBorder="1" applyAlignment="1">
      <alignment horizontal="center" vertical="center"/>
    </xf>
    <xf numFmtId="181" fontId="26" fillId="0" borderId="0" xfId="36" applyNumberFormat="1" applyAlignment="1">
      <alignment horizontal="center" vertical="top"/>
    </xf>
    <xf numFmtId="0" fontId="46" fillId="0" borderId="1" xfId="0" applyFont="1" applyBorder="1" applyAlignment="1">
      <alignment horizontal="left" vertical="center"/>
    </xf>
    <xf numFmtId="0" fontId="46" fillId="0" borderId="1" xfId="0" applyFont="1" applyBorder="1">
      <alignment vertical="center"/>
    </xf>
    <xf numFmtId="0" fontId="46" fillId="0" borderId="107" xfId="0" applyFont="1" applyBorder="1" applyAlignment="1">
      <alignment horizontal="left" vertical="center"/>
    </xf>
    <xf numFmtId="0" fontId="46" fillId="0" borderId="107" xfId="0" applyFont="1" applyBorder="1">
      <alignment vertical="center"/>
    </xf>
    <xf numFmtId="14" fontId="17" fillId="0" borderId="17" xfId="0" applyNumberFormat="1" applyFont="1" applyBorder="1" applyAlignment="1">
      <alignment horizontal="center" vertical="center"/>
    </xf>
    <xf numFmtId="185" fontId="17" fillId="0" borderId="3" xfId="0" applyNumberFormat="1" applyFont="1" applyBorder="1" applyAlignment="1">
      <alignment horizontal="center" vertical="center"/>
    </xf>
    <xf numFmtId="14" fontId="17" fillId="0" borderId="3" xfId="0" applyNumberFormat="1" applyFont="1" applyBorder="1" applyAlignment="1">
      <alignment horizontal="center" vertical="center"/>
    </xf>
    <xf numFmtId="49" fontId="17" fillId="0" borderId="3" xfId="0" applyNumberFormat="1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177" fontId="17" fillId="0" borderId="3" xfId="0" applyNumberFormat="1" applyFont="1" applyBorder="1" applyAlignment="1">
      <alignment horizontal="center" vertical="center"/>
    </xf>
    <xf numFmtId="42" fontId="17" fillId="0" borderId="3" xfId="11" applyFont="1" applyFill="1" applyBorder="1" applyAlignment="1">
      <alignment horizontal="center" vertical="center"/>
    </xf>
    <xf numFmtId="14" fontId="17" fillId="0" borderId="2" xfId="0" applyNumberFormat="1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 wrapText="1"/>
    </xf>
    <xf numFmtId="0" fontId="16" fillId="0" borderId="2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77" fontId="46" fillId="0" borderId="1" xfId="0" applyNumberFormat="1" applyFont="1" applyBorder="1" applyAlignment="1">
      <alignment horizontal="center" vertical="center"/>
    </xf>
    <xf numFmtId="0" fontId="46" fillId="0" borderId="4" xfId="0" applyFont="1" applyBorder="1">
      <alignment vertical="center"/>
    </xf>
    <xf numFmtId="0" fontId="21" fillId="0" borderId="1" xfId="0" applyFont="1" applyBorder="1" applyAlignment="1">
      <alignment horizontal="center" vertical="center"/>
    </xf>
    <xf numFmtId="3" fontId="21" fillId="0" borderId="1" xfId="0" applyNumberFormat="1" applyFon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46" fillId="0" borderId="3" xfId="0" applyFont="1" applyBorder="1" applyAlignment="1">
      <alignment horizontal="left" vertical="center"/>
    </xf>
    <xf numFmtId="0" fontId="46" fillId="0" borderId="91" xfId="0" applyFont="1" applyBorder="1" applyAlignment="1">
      <alignment horizontal="left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46" fillId="0" borderId="91" xfId="0" applyFont="1" applyBorder="1">
      <alignment vertical="center"/>
    </xf>
    <xf numFmtId="0" fontId="46" fillId="0" borderId="98" xfId="0" applyFont="1" applyBorder="1" applyAlignment="1">
      <alignment horizontal="left" vertical="center"/>
    </xf>
    <xf numFmtId="0" fontId="46" fillId="0" borderId="98" xfId="0" applyFont="1" applyBorder="1">
      <alignment vertical="center"/>
    </xf>
    <xf numFmtId="0" fontId="73" fillId="0" borderId="1" xfId="0" applyFont="1" applyBorder="1" applyAlignment="1">
      <alignment horizontal="center" vertical="center" wrapText="1"/>
    </xf>
    <xf numFmtId="0" fontId="73" fillId="0" borderId="107" xfId="0" applyFont="1" applyBorder="1" applyAlignment="1">
      <alignment horizontal="center" vertical="center" wrapText="1"/>
    </xf>
    <xf numFmtId="0" fontId="46" fillId="0" borderId="103" xfId="0" applyFont="1" applyBorder="1" applyAlignment="1">
      <alignment horizontal="center" vertical="center"/>
    </xf>
    <xf numFmtId="42" fontId="0" fillId="0" borderId="0" xfId="11" applyFont="1" applyFill="1" applyAlignment="1">
      <alignment horizontal="center" vertical="center"/>
    </xf>
    <xf numFmtId="14" fontId="0" fillId="0" borderId="0" xfId="11" applyNumberFormat="1" applyFont="1" applyFill="1" applyAlignment="1">
      <alignment horizontal="center" vertical="center"/>
    </xf>
    <xf numFmtId="42" fontId="46" fillId="0" borderId="0" xfId="11" applyFont="1" applyFill="1" applyBorder="1" applyAlignment="1">
      <alignment horizontal="center" vertical="center"/>
    </xf>
    <xf numFmtId="14" fontId="46" fillId="0" borderId="0" xfId="11" applyNumberFormat="1" applyFont="1" applyFill="1" applyBorder="1" applyAlignment="1">
      <alignment horizontal="center" vertical="center"/>
    </xf>
    <xf numFmtId="14" fontId="46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0" fillId="0" borderId="1" xfId="0" applyBorder="1">
      <alignment vertical="center"/>
    </xf>
    <xf numFmtId="42" fontId="0" fillId="0" borderId="107" xfId="11" applyFont="1" applyFill="1" applyBorder="1" applyAlignment="1">
      <alignment horizontal="center" vertical="center"/>
    </xf>
    <xf numFmtId="185" fontId="17" fillId="0" borderId="4" xfId="0" applyNumberFormat="1" applyFont="1" applyBorder="1" applyAlignment="1">
      <alignment horizontal="center" vertical="center"/>
    </xf>
    <xf numFmtId="177" fontId="17" fillId="0" borderId="4" xfId="0" applyNumberFormat="1" applyFont="1" applyBorder="1" applyAlignment="1">
      <alignment horizontal="center" vertical="center"/>
    </xf>
    <xf numFmtId="42" fontId="17" fillId="0" borderId="4" xfId="11" applyFont="1" applyFill="1" applyBorder="1" applyAlignment="1">
      <alignment horizontal="center" vertical="center"/>
    </xf>
    <xf numFmtId="49" fontId="17" fillId="0" borderId="4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4" xfId="0" applyBorder="1">
      <alignment vertical="center"/>
    </xf>
    <xf numFmtId="14" fontId="0" fillId="2" borderId="1" xfId="0" applyNumberFormat="1" applyFill="1" applyBorder="1" applyAlignment="1">
      <alignment horizontal="center" vertical="center"/>
    </xf>
    <xf numFmtId="185" fontId="0" fillId="2" borderId="1" xfId="0" applyNumberFormat="1" applyFill="1" applyBorder="1" applyAlignment="1">
      <alignment horizontal="center" vertical="center"/>
    </xf>
    <xf numFmtId="181" fontId="0" fillId="2" borderId="1" xfId="0" applyNumberForma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42" fontId="46" fillId="2" borderId="1" xfId="11" applyFont="1" applyFill="1" applyBorder="1" applyAlignment="1">
      <alignment horizontal="center" vertical="center"/>
    </xf>
    <xf numFmtId="14" fontId="46" fillId="2" borderId="1" xfId="11" applyNumberFormat="1" applyFont="1" applyFill="1" applyBorder="1" applyAlignment="1">
      <alignment horizontal="center" vertical="center"/>
    </xf>
    <xf numFmtId="14" fontId="46" fillId="2" borderId="1" xfId="0" applyNumberFormat="1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left" vertical="center"/>
    </xf>
    <xf numFmtId="0" fontId="46" fillId="2" borderId="1" xfId="0" applyFont="1" applyFill="1" applyBorder="1">
      <alignment vertical="center"/>
    </xf>
    <xf numFmtId="14" fontId="0" fillId="2" borderId="107" xfId="0" applyNumberFormat="1" applyFill="1" applyBorder="1" applyAlignment="1">
      <alignment horizontal="center" vertical="center"/>
    </xf>
    <xf numFmtId="185" fontId="0" fillId="2" borderId="107" xfId="0" applyNumberFormat="1" applyFill="1" applyBorder="1" applyAlignment="1">
      <alignment horizontal="center" vertical="center"/>
    </xf>
    <xf numFmtId="0" fontId="46" fillId="2" borderId="107" xfId="0" applyFont="1" applyFill="1" applyBorder="1" applyAlignment="1">
      <alignment horizontal="center" vertical="center"/>
    </xf>
    <xf numFmtId="42" fontId="46" fillId="2" borderId="107" xfId="11" applyFont="1" applyFill="1" applyBorder="1" applyAlignment="1">
      <alignment horizontal="center" vertical="center"/>
    </xf>
    <xf numFmtId="14" fontId="46" fillId="2" borderId="107" xfId="0" applyNumberFormat="1" applyFont="1" applyFill="1" applyBorder="1" applyAlignment="1">
      <alignment horizontal="center" vertical="center"/>
    </xf>
    <xf numFmtId="0" fontId="46" fillId="2" borderId="107" xfId="0" applyFont="1" applyFill="1" applyBorder="1" applyAlignment="1">
      <alignment horizontal="left" vertical="center"/>
    </xf>
    <xf numFmtId="0" fontId="46" fillId="2" borderId="107" xfId="0" applyFont="1" applyFill="1" applyBorder="1">
      <alignment vertical="center"/>
    </xf>
    <xf numFmtId="0" fontId="0" fillId="0" borderId="107" xfId="0" applyBorder="1" applyAlignment="1">
      <alignment horizontal="center" vertical="center"/>
    </xf>
    <xf numFmtId="0" fontId="0" fillId="0" borderId="106" xfId="0" applyBorder="1">
      <alignment vertical="center"/>
    </xf>
    <xf numFmtId="14" fontId="0" fillId="0" borderId="4" xfId="0" applyNumberFormat="1" applyBorder="1" applyAlignment="1">
      <alignment horizontal="center" vertical="center"/>
    </xf>
    <xf numFmtId="185" fontId="0" fillId="0" borderId="4" xfId="0" applyNumberFormat="1" applyBorder="1" applyAlignment="1">
      <alignment horizontal="center" vertical="center"/>
    </xf>
    <xf numFmtId="181" fontId="0" fillId="0" borderId="4" xfId="0" applyNumberForma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42" fontId="46" fillId="0" borderId="4" xfId="11" applyFont="1" applyFill="1" applyBorder="1" applyAlignment="1">
      <alignment horizontal="center" vertical="center"/>
    </xf>
    <xf numFmtId="14" fontId="46" fillId="0" borderId="4" xfId="11" applyNumberFormat="1" applyFont="1" applyFill="1" applyBorder="1" applyAlignment="1">
      <alignment horizontal="center" vertical="center"/>
    </xf>
    <xf numFmtId="14" fontId="46" fillId="0" borderId="4" xfId="0" applyNumberFormat="1" applyFont="1" applyBorder="1" applyAlignment="1">
      <alignment horizontal="center" vertical="center"/>
    </xf>
    <xf numFmtId="0" fontId="46" fillId="0" borderId="4" xfId="0" applyFont="1" applyBorder="1" applyAlignment="1">
      <alignment horizontal="left" vertical="center"/>
    </xf>
    <xf numFmtId="0" fontId="46" fillId="0" borderId="2" xfId="0" applyFont="1" applyBorder="1" applyAlignment="1">
      <alignment horizontal="center" vertical="center"/>
    </xf>
    <xf numFmtId="14" fontId="46" fillId="0" borderId="108" xfId="0" applyNumberFormat="1" applyFont="1" applyBorder="1" applyAlignment="1">
      <alignment horizontal="center" vertical="center"/>
    </xf>
    <xf numFmtId="177" fontId="0" fillId="0" borderId="107" xfId="0" applyNumberFormat="1" applyBorder="1" applyAlignment="1">
      <alignment horizontal="center" vertical="center"/>
    </xf>
    <xf numFmtId="0" fontId="0" fillId="0" borderId="107" xfId="0" applyBorder="1" applyAlignment="1">
      <alignment horizontal="left" vertical="center"/>
    </xf>
    <xf numFmtId="0" fontId="0" fillId="0" borderId="107" xfId="0" applyBorder="1">
      <alignment vertical="center"/>
    </xf>
    <xf numFmtId="179" fontId="46" fillId="0" borderId="107" xfId="11" applyNumberFormat="1" applyFont="1" applyBorder="1" applyAlignment="1">
      <alignment horizontal="center" vertical="center"/>
    </xf>
    <xf numFmtId="179" fontId="46" fillId="13" borderId="107" xfId="11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4" fontId="0" fillId="0" borderId="102" xfId="0" applyNumberFormat="1" applyBorder="1" applyAlignment="1">
      <alignment horizontal="center" vertical="center"/>
    </xf>
    <xf numFmtId="181" fontId="0" fillId="0" borderId="102" xfId="0" applyNumberFormat="1" applyBorder="1" applyAlignment="1">
      <alignment horizontal="center" vertical="center"/>
    </xf>
    <xf numFmtId="0" fontId="0" fillId="0" borderId="102" xfId="0" applyBorder="1" applyAlignment="1">
      <alignment horizontal="center" vertical="center"/>
    </xf>
    <xf numFmtId="176" fontId="0" fillId="0" borderId="102" xfId="0" applyNumberFormat="1" applyBorder="1" applyAlignment="1">
      <alignment horizontal="center" vertical="center"/>
    </xf>
    <xf numFmtId="179" fontId="0" fillId="0" borderId="102" xfId="0" applyNumberFormat="1" applyBorder="1" applyAlignment="1">
      <alignment horizontal="center" vertical="center"/>
    </xf>
    <xf numFmtId="179" fontId="21" fillId="0" borderId="102" xfId="0" applyNumberFormat="1" applyFont="1" applyBorder="1" applyAlignment="1">
      <alignment horizontal="right" vertical="center"/>
    </xf>
    <xf numFmtId="42" fontId="0" fillId="0" borderId="102" xfId="11" applyFont="1" applyFill="1" applyBorder="1" applyAlignment="1">
      <alignment horizontal="center" vertical="center"/>
    </xf>
    <xf numFmtId="14" fontId="0" fillId="0" borderId="102" xfId="11" applyNumberFormat="1" applyFont="1" applyFill="1" applyBorder="1" applyAlignment="1">
      <alignment horizontal="center" vertical="center"/>
    </xf>
    <xf numFmtId="14" fontId="21" fillId="0" borderId="102" xfId="0" applyNumberFormat="1" applyFont="1" applyBorder="1" applyAlignment="1">
      <alignment horizontal="center" vertical="center"/>
    </xf>
    <xf numFmtId="185" fontId="0" fillId="0" borderId="102" xfId="0" applyNumberFormat="1" applyBorder="1" applyAlignment="1">
      <alignment horizontal="center" vertical="center"/>
    </xf>
    <xf numFmtId="14" fontId="21" fillId="0" borderId="102" xfId="11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42" fontId="46" fillId="0" borderId="102" xfId="11" applyFont="1" applyBorder="1" applyAlignment="1">
      <alignment horizontal="center" vertical="center"/>
    </xf>
    <xf numFmtId="206" fontId="0" fillId="0" borderId="102" xfId="0" applyNumberFormat="1" applyBorder="1" applyAlignment="1">
      <alignment horizontal="center" vertical="center"/>
    </xf>
    <xf numFmtId="0" fontId="25" fillId="0" borderId="102" xfId="26" applyFont="1" applyBorder="1" applyAlignment="1">
      <alignment horizontal="center" vertical="center"/>
    </xf>
    <xf numFmtId="0" fontId="28" fillId="0" borderId="102" xfId="25" applyFont="1" applyBorder="1" applyAlignment="1">
      <alignment horizontal="center" vertical="center"/>
    </xf>
    <xf numFmtId="0" fontId="25" fillId="0" borderId="102" xfId="26" applyFont="1" applyBorder="1" applyAlignment="1">
      <alignment vertical="center"/>
    </xf>
    <xf numFmtId="14" fontId="0" fillId="2" borderId="102" xfId="0" applyNumberFormat="1" applyFill="1" applyBorder="1" applyAlignment="1">
      <alignment horizontal="center" vertical="center"/>
    </xf>
    <xf numFmtId="185" fontId="0" fillId="2" borderId="102" xfId="0" applyNumberFormat="1" applyFill="1" applyBorder="1" applyAlignment="1">
      <alignment horizontal="center" vertical="center"/>
    </xf>
    <xf numFmtId="181" fontId="0" fillId="2" borderId="102" xfId="0" applyNumberFormat="1" applyFill="1" applyBorder="1" applyAlignment="1">
      <alignment horizontal="center" vertical="center"/>
    </xf>
    <xf numFmtId="0" fontId="0" fillId="2" borderId="102" xfId="0" applyFill="1" applyBorder="1" applyAlignment="1">
      <alignment horizontal="center" vertical="center"/>
    </xf>
    <xf numFmtId="176" fontId="0" fillId="2" borderId="102" xfId="0" applyNumberFormat="1" applyFill="1" applyBorder="1" applyAlignment="1">
      <alignment horizontal="center" vertical="center"/>
    </xf>
    <xf numFmtId="179" fontId="0" fillId="2" borderId="102" xfId="0" applyNumberFormat="1" applyFill="1" applyBorder="1" applyAlignment="1">
      <alignment horizontal="center" vertical="center"/>
    </xf>
    <xf numFmtId="179" fontId="21" fillId="2" borderId="102" xfId="0" applyNumberFormat="1" applyFont="1" applyFill="1" applyBorder="1" applyAlignment="1">
      <alignment horizontal="right" vertical="center"/>
    </xf>
    <xf numFmtId="42" fontId="0" fillId="2" borderId="102" xfId="11" applyFont="1" applyFill="1" applyBorder="1" applyAlignment="1">
      <alignment horizontal="center" vertical="center"/>
    </xf>
    <xf numFmtId="14" fontId="21" fillId="2" borderId="102" xfId="11" applyNumberFormat="1" applyFont="1" applyFill="1" applyBorder="1" applyAlignment="1">
      <alignment horizontal="center" vertical="center"/>
    </xf>
    <xf numFmtId="205" fontId="0" fillId="0" borderId="102" xfId="0" applyNumberFormat="1" applyBorder="1" applyAlignment="1">
      <alignment horizontal="center" vertical="center"/>
    </xf>
    <xf numFmtId="0" fontId="0" fillId="0" borderId="102" xfId="0" quotePrefix="1" applyBorder="1" applyAlignment="1">
      <alignment horizontal="center" vertical="center"/>
    </xf>
    <xf numFmtId="179" fontId="0" fillId="0" borderId="102" xfId="11" applyNumberFormat="1" applyFont="1" applyFill="1" applyBorder="1" applyAlignment="1">
      <alignment horizontal="center" vertical="center"/>
    </xf>
    <xf numFmtId="0" fontId="0" fillId="0" borderId="102" xfId="0" applyBorder="1" applyAlignment="1">
      <alignment horizontal="left" vertical="center"/>
    </xf>
    <xf numFmtId="0" fontId="0" fillId="2" borderId="102" xfId="0" applyFill="1" applyBorder="1" applyAlignment="1">
      <alignment horizontal="left" vertical="center"/>
    </xf>
    <xf numFmtId="0" fontId="17" fillId="0" borderId="103" xfId="0" applyFont="1" applyBorder="1" applyAlignment="1">
      <alignment horizontal="center" vertical="center"/>
    </xf>
    <xf numFmtId="185" fontId="17" fillId="0" borderId="103" xfId="0" applyNumberFormat="1" applyFont="1" applyBorder="1" applyAlignment="1">
      <alignment horizontal="center" vertical="center"/>
    </xf>
    <xf numFmtId="181" fontId="17" fillId="0" borderId="103" xfId="0" applyNumberFormat="1" applyFont="1" applyBorder="1" applyAlignment="1">
      <alignment horizontal="center" vertical="center"/>
    </xf>
    <xf numFmtId="180" fontId="17" fillId="0" borderId="107" xfId="0" applyNumberFormat="1" applyFont="1" applyBorder="1" applyAlignment="1">
      <alignment horizontal="center" vertical="center"/>
    </xf>
    <xf numFmtId="49" fontId="17" fillId="0" borderId="107" xfId="0" applyNumberFormat="1" applyFont="1" applyBorder="1" applyAlignment="1">
      <alignment horizontal="center" vertical="center"/>
    </xf>
    <xf numFmtId="179" fontId="17" fillId="0" borderId="107" xfId="0" applyNumberFormat="1" applyFont="1" applyBorder="1">
      <alignment vertical="center"/>
    </xf>
    <xf numFmtId="14" fontId="17" fillId="0" borderId="107" xfId="0" applyNumberFormat="1" applyFont="1" applyBorder="1">
      <alignment vertical="center"/>
    </xf>
    <xf numFmtId="49" fontId="17" fillId="0" borderId="107" xfId="0" applyNumberFormat="1" applyFont="1" applyBorder="1">
      <alignment vertical="center"/>
    </xf>
    <xf numFmtId="14" fontId="17" fillId="0" borderId="107" xfId="0" applyNumberFormat="1" applyFont="1" applyBorder="1" applyAlignment="1">
      <alignment horizontal="center" vertical="center"/>
    </xf>
    <xf numFmtId="0" fontId="0" fillId="13" borderId="107" xfId="0" applyFill="1" applyBorder="1" applyAlignment="1">
      <alignment horizontal="center" vertical="center"/>
    </xf>
    <xf numFmtId="49" fontId="17" fillId="13" borderId="107" xfId="0" applyNumberFormat="1" applyFont="1" applyFill="1" applyBorder="1" applyAlignment="1">
      <alignment horizontal="center" vertical="center"/>
    </xf>
    <xf numFmtId="0" fontId="21" fillId="0" borderId="107" xfId="0" applyFont="1" applyBorder="1" applyAlignment="1">
      <alignment horizontal="center" vertical="center"/>
    </xf>
    <xf numFmtId="176" fontId="46" fillId="2" borderId="1" xfId="0" applyNumberFormat="1" applyFont="1" applyFill="1" applyBorder="1" applyAlignment="1">
      <alignment horizontal="center" vertical="center"/>
    </xf>
    <xf numFmtId="0" fontId="73" fillId="0" borderId="98" xfId="0" applyFont="1" applyBorder="1" applyAlignment="1">
      <alignment horizontal="center" vertical="center" wrapText="1"/>
    </xf>
    <xf numFmtId="0" fontId="73" fillId="0" borderId="107" xfId="0" applyFont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185" fontId="0" fillId="2" borderId="2" xfId="0" applyNumberFormat="1" applyFill="1" applyBorder="1" applyAlignment="1">
      <alignment horizontal="center" vertical="center"/>
    </xf>
    <xf numFmtId="181" fontId="0" fillId="2" borderId="4" xfId="0" applyNumberFormat="1" applyFill="1" applyBorder="1" applyAlignment="1">
      <alignment horizontal="center" vertical="center"/>
    </xf>
    <xf numFmtId="0" fontId="46" fillId="2" borderId="2" xfId="0" applyFont="1" applyFill="1" applyBorder="1" applyAlignment="1">
      <alignment horizontal="center" vertical="center"/>
    </xf>
    <xf numFmtId="0" fontId="46" fillId="2" borderId="21" xfId="0" applyFont="1" applyFill="1" applyBorder="1" applyAlignment="1">
      <alignment horizontal="center" vertical="center"/>
    </xf>
    <xf numFmtId="42" fontId="46" fillId="2" borderId="2" xfId="11" applyFont="1" applyFill="1" applyBorder="1" applyAlignment="1">
      <alignment horizontal="center" vertical="center"/>
    </xf>
    <xf numFmtId="14" fontId="46" fillId="2" borderId="2" xfId="0" applyNumberFormat="1" applyFont="1" applyFill="1" applyBorder="1" applyAlignment="1">
      <alignment horizontal="center" vertical="center"/>
    </xf>
    <xf numFmtId="0" fontId="46" fillId="2" borderId="2" xfId="0" applyFont="1" applyFill="1" applyBorder="1" applyAlignment="1">
      <alignment horizontal="left" vertical="center"/>
    </xf>
    <xf numFmtId="0" fontId="46" fillId="2" borderId="2" xfId="0" applyFont="1" applyFill="1" applyBorder="1">
      <alignment vertical="center"/>
    </xf>
    <xf numFmtId="14" fontId="46" fillId="2" borderId="107" xfId="11" applyNumberFormat="1" applyFont="1" applyFill="1" applyBorder="1" applyAlignment="1">
      <alignment horizontal="center" vertical="center"/>
    </xf>
    <xf numFmtId="0" fontId="46" fillId="2" borderId="107" xfId="0" quotePrefix="1" applyFont="1" applyFill="1" applyBorder="1">
      <alignment vertical="center"/>
    </xf>
    <xf numFmtId="0" fontId="46" fillId="2" borderId="102" xfId="0" applyFont="1" applyFill="1" applyBorder="1" applyAlignment="1">
      <alignment horizontal="center" vertical="center"/>
    </xf>
    <xf numFmtId="42" fontId="46" fillId="2" borderId="102" xfId="11" applyFont="1" applyFill="1" applyBorder="1" applyAlignment="1">
      <alignment horizontal="center" vertical="center"/>
    </xf>
    <xf numFmtId="14" fontId="46" fillId="2" borderId="102" xfId="0" applyNumberFormat="1" applyFont="1" applyFill="1" applyBorder="1" applyAlignment="1">
      <alignment horizontal="center" vertical="center"/>
    </xf>
    <xf numFmtId="0" fontId="46" fillId="2" borderId="102" xfId="0" applyFont="1" applyFill="1" applyBorder="1" applyAlignment="1">
      <alignment horizontal="left" vertical="center"/>
    </xf>
    <xf numFmtId="0" fontId="46" fillId="2" borderId="102" xfId="0" applyFont="1" applyFill="1" applyBorder="1">
      <alignment vertical="center"/>
    </xf>
    <xf numFmtId="14" fontId="0" fillId="2" borderId="104" xfId="0" applyNumberFormat="1" applyFill="1" applyBorder="1" applyAlignment="1">
      <alignment horizontal="center" vertical="center"/>
    </xf>
    <xf numFmtId="0" fontId="46" fillId="2" borderId="54" xfId="0" applyFont="1" applyFill="1" applyBorder="1">
      <alignment vertical="center"/>
    </xf>
    <xf numFmtId="176" fontId="0" fillId="0" borderId="107" xfId="0" applyNumberFormat="1" applyBorder="1" applyAlignment="1">
      <alignment horizontal="center" vertical="center"/>
    </xf>
    <xf numFmtId="179" fontId="0" fillId="0" borderId="107" xfId="0" applyNumberFormat="1" applyBorder="1" applyAlignment="1">
      <alignment horizontal="center" vertical="center"/>
    </xf>
    <xf numFmtId="179" fontId="21" fillId="0" borderId="107" xfId="0" applyNumberFormat="1" applyFont="1" applyBorder="1" applyAlignment="1">
      <alignment horizontal="right" vertical="center"/>
    </xf>
    <xf numFmtId="14" fontId="21" fillId="0" borderId="107" xfId="0" applyNumberFormat="1" applyFont="1" applyBorder="1" applyAlignment="1">
      <alignment horizontal="center" vertical="center"/>
    </xf>
    <xf numFmtId="0" fontId="46" fillId="0" borderId="106" xfId="0" applyFont="1" applyBorder="1" applyAlignment="1">
      <alignment vertical="center" wrapText="1"/>
    </xf>
    <xf numFmtId="0" fontId="46" fillId="0" borderId="105" xfId="0" applyFont="1" applyBorder="1" applyAlignment="1">
      <alignment vertical="center" wrapText="1"/>
    </xf>
    <xf numFmtId="42" fontId="46" fillId="0" borderId="102" xfId="11" applyFont="1" applyFill="1" applyBorder="1" applyAlignment="1">
      <alignment horizontal="center" vertical="center"/>
    </xf>
    <xf numFmtId="14" fontId="46" fillId="0" borderId="102" xfId="11" applyNumberFormat="1" applyFont="1" applyFill="1" applyBorder="1" applyAlignment="1">
      <alignment horizontal="center" vertical="center"/>
    </xf>
    <xf numFmtId="14" fontId="46" fillId="0" borderId="102" xfId="0" applyNumberFormat="1" applyFont="1" applyBorder="1" applyAlignment="1">
      <alignment horizontal="center" vertical="center"/>
    </xf>
    <xf numFmtId="0" fontId="46" fillId="0" borderId="102" xfId="0" applyFont="1" applyBorder="1" applyAlignment="1">
      <alignment horizontal="left" vertical="center"/>
    </xf>
    <xf numFmtId="0" fontId="46" fillId="0" borderId="102" xfId="0" applyFont="1" applyBorder="1">
      <alignment vertical="center"/>
    </xf>
    <xf numFmtId="0" fontId="37" fillId="0" borderId="24" xfId="26" applyFont="1" applyBorder="1" applyAlignment="1">
      <alignment horizontal="left" vertical="center"/>
    </xf>
    <xf numFmtId="0" fontId="37" fillId="0" borderId="0" xfId="26" applyFont="1" applyAlignment="1">
      <alignment horizontal="left" vertical="center"/>
    </xf>
    <xf numFmtId="0" fontId="36" fillId="0" borderId="0" xfId="26" applyFont="1" applyAlignment="1">
      <alignment horizontal="center" vertical="center" wrapText="1"/>
    </xf>
    <xf numFmtId="0" fontId="38" fillId="12" borderId="25" xfId="26" applyFont="1" applyFill="1" applyBorder="1" applyAlignment="1">
      <alignment horizontal="left" vertical="center" wrapText="1"/>
    </xf>
    <xf numFmtId="0" fontId="38" fillId="12" borderId="26" xfId="26" applyFont="1" applyFill="1" applyBorder="1" applyAlignment="1">
      <alignment horizontal="left" vertical="center" wrapText="1"/>
    </xf>
    <xf numFmtId="0" fontId="38" fillId="12" borderId="27" xfId="26" applyFont="1" applyFill="1" applyBorder="1" applyAlignment="1">
      <alignment horizontal="center" vertical="center"/>
    </xf>
    <xf numFmtId="0" fontId="38" fillId="12" borderId="26" xfId="26" applyFont="1" applyFill="1" applyBorder="1" applyAlignment="1">
      <alignment horizontal="center" vertical="center"/>
    </xf>
    <xf numFmtId="0" fontId="38" fillId="12" borderId="28" xfId="26" applyFont="1" applyFill="1" applyBorder="1" applyAlignment="1">
      <alignment horizontal="center" vertical="center"/>
    </xf>
    <xf numFmtId="0" fontId="16" fillId="12" borderId="25" xfId="26" applyFont="1" applyFill="1" applyBorder="1" applyAlignment="1">
      <alignment horizontal="center" vertical="center"/>
    </xf>
    <xf numFmtId="0" fontId="16" fillId="12" borderId="26" xfId="26" applyFont="1" applyFill="1" applyBorder="1" applyAlignment="1">
      <alignment horizontal="center" vertical="center"/>
    </xf>
    <xf numFmtId="0" fontId="16" fillId="12" borderId="28" xfId="26" applyFont="1" applyFill="1" applyBorder="1" applyAlignment="1">
      <alignment horizontal="center" vertical="center"/>
    </xf>
    <xf numFmtId="0" fontId="16" fillId="0" borderId="24" xfId="26" applyFont="1" applyBorder="1" applyAlignment="1">
      <alignment horizontal="center" vertical="center" wrapText="1"/>
    </xf>
    <xf numFmtId="0" fontId="16" fillId="0" borderId="0" xfId="26" applyFont="1" applyAlignment="1">
      <alignment horizontal="center" vertical="center"/>
    </xf>
    <xf numFmtId="0" fontId="16" fillId="0" borderId="29" xfId="26" applyFont="1" applyBorder="1" applyAlignment="1">
      <alignment horizontal="center" vertical="center"/>
    </xf>
    <xf numFmtId="0" fontId="16" fillId="0" borderId="24" xfId="26" applyFont="1" applyBorder="1" applyAlignment="1">
      <alignment horizontal="center" vertical="center"/>
    </xf>
    <xf numFmtId="0" fontId="16" fillId="0" borderId="30" xfId="26" applyFont="1" applyBorder="1" applyAlignment="1">
      <alignment horizontal="center" vertical="center"/>
    </xf>
    <xf numFmtId="0" fontId="16" fillId="0" borderId="31" xfId="26" applyFont="1" applyBorder="1" applyAlignment="1">
      <alignment horizontal="center" vertical="center"/>
    </xf>
    <xf numFmtId="0" fontId="16" fillId="0" borderId="33" xfId="26" applyFont="1" applyBorder="1" applyAlignment="1">
      <alignment horizontal="center" vertical="center"/>
    </xf>
    <xf numFmtId="0" fontId="16" fillId="0" borderId="47" xfId="26" applyFont="1" applyBorder="1" applyAlignment="1">
      <alignment horizontal="center" vertical="center"/>
    </xf>
    <xf numFmtId="0" fontId="16" fillId="0" borderId="48" xfId="26" applyFont="1" applyBorder="1" applyAlignment="1">
      <alignment horizontal="center" vertical="center"/>
    </xf>
    <xf numFmtId="42" fontId="16" fillId="0" borderId="48" xfId="11" applyFont="1" applyBorder="1" applyAlignment="1">
      <alignment horizontal="left" vertical="center" shrinkToFit="1"/>
    </xf>
    <xf numFmtId="42" fontId="16" fillId="0" borderId="49" xfId="11" applyFont="1" applyBorder="1" applyAlignment="1">
      <alignment horizontal="left" vertical="center" shrinkToFit="1"/>
    </xf>
    <xf numFmtId="0" fontId="37" fillId="0" borderId="24" xfId="26" applyFont="1" applyBorder="1" applyAlignment="1">
      <alignment horizontal="left" vertical="top" wrapText="1"/>
    </xf>
    <xf numFmtId="0" fontId="37" fillId="0" borderId="0" xfId="26" applyFont="1" applyAlignment="1">
      <alignment horizontal="left" vertical="top" wrapText="1"/>
    </xf>
    <xf numFmtId="0" fontId="37" fillId="0" borderId="30" xfId="26" applyFont="1" applyBorder="1" applyAlignment="1">
      <alignment horizontal="left" vertical="top" wrapText="1"/>
    </xf>
    <xf numFmtId="0" fontId="37" fillId="0" borderId="31" xfId="26" applyFont="1" applyBorder="1" applyAlignment="1">
      <alignment horizontal="left" vertical="top" wrapText="1"/>
    </xf>
    <xf numFmtId="14" fontId="37" fillId="0" borderId="22" xfId="26" applyNumberFormat="1" applyFont="1" applyBorder="1" applyAlignment="1">
      <alignment horizontal="right" vertical="center"/>
    </xf>
    <xf numFmtId="14" fontId="37" fillId="0" borderId="0" xfId="26" applyNumberFormat="1" applyFont="1" applyAlignment="1">
      <alignment horizontal="right" vertical="center"/>
    </xf>
    <xf numFmtId="0" fontId="37" fillId="0" borderId="32" xfId="26" applyFont="1" applyBorder="1" applyAlignment="1">
      <alignment horizontal="right"/>
    </xf>
    <xf numFmtId="0" fontId="37" fillId="0" borderId="31" xfId="26" applyFont="1" applyBorder="1" applyAlignment="1">
      <alignment horizontal="right"/>
    </xf>
    <xf numFmtId="0" fontId="16" fillId="0" borderId="44" xfId="26" applyFont="1" applyBorder="1" applyAlignment="1">
      <alignment horizontal="center" vertical="center"/>
    </xf>
    <xf numFmtId="0" fontId="16" fillId="0" borderId="45" xfId="26" applyFont="1" applyBorder="1" applyAlignment="1">
      <alignment horizontal="center" vertical="center"/>
    </xf>
    <xf numFmtId="42" fontId="16" fillId="0" borderId="45" xfId="11" applyFont="1" applyBorder="1" applyAlignment="1">
      <alignment horizontal="left" vertical="center" shrinkToFit="1"/>
    </xf>
    <xf numFmtId="42" fontId="16" fillId="0" borderId="46" xfId="11" applyFont="1" applyBorder="1" applyAlignment="1">
      <alignment horizontal="left" vertical="center" shrinkToFit="1"/>
    </xf>
    <xf numFmtId="0" fontId="0" fillId="0" borderId="24" xfId="26" applyFont="1" applyBorder="1" applyAlignment="1">
      <alignment horizontal="left" vertical="center"/>
    </xf>
    <xf numFmtId="179" fontId="16" fillId="0" borderId="45" xfId="29" applyNumberFormat="1" applyFont="1" applyBorder="1" applyAlignment="1">
      <alignment horizontal="left" vertical="center" shrinkToFit="1"/>
    </xf>
    <xf numFmtId="179" fontId="16" fillId="0" borderId="46" xfId="29" applyNumberFormat="1" applyFont="1" applyBorder="1" applyAlignment="1">
      <alignment horizontal="left" vertical="center" shrinkToFit="1"/>
    </xf>
    <xf numFmtId="0" fontId="47" fillId="0" borderId="0" xfId="26" applyFont="1" applyAlignment="1">
      <alignment horizontal="center" vertical="center" wrapText="1"/>
    </xf>
    <xf numFmtId="0" fontId="43" fillId="0" borderId="0" xfId="25" applyFont="1" applyAlignment="1">
      <alignment horizontal="left" vertical="center"/>
    </xf>
    <xf numFmtId="0" fontId="16" fillId="0" borderId="50" xfId="26" applyFont="1" applyBorder="1" applyAlignment="1">
      <alignment horizontal="center" vertical="center"/>
    </xf>
    <xf numFmtId="0" fontId="16" fillId="0" borderId="51" xfId="26" applyFont="1" applyBorder="1" applyAlignment="1">
      <alignment horizontal="center" vertical="center"/>
    </xf>
    <xf numFmtId="0" fontId="15" fillId="0" borderId="24" xfId="26" applyFont="1" applyBorder="1" applyAlignment="1">
      <alignment horizontal="left" vertical="center"/>
    </xf>
    <xf numFmtId="0" fontId="15" fillId="0" borderId="0" xfId="26" applyFont="1" applyAlignment="1">
      <alignment horizontal="left" vertical="center"/>
    </xf>
    <xf numFmtId="0" fontId="15" fillId="0" borderId="24" xfId="26" applyFont="1" applyBorder="1" applyAlignment="1">
      <alignment horizontal="left" vertical="top" wrapText="1" shrinkToFit="1"/>
    </xf>
    <xf numFmtId="0" fontId="15" fillId="0" borderId="0" xfId="26" applyFont="1" applyAlignment="1">
      <alignment horizontal="left" vertical="top" wrapText="1" shrinkToFit="1"/>
    </xf>
    <xf numFmtId="0" fontId="15" fillId="0" borderId="30" xfId="26" applyFont="1" applyBorder="1" applyAlignment="1">
      <alignment horizontal="left" vertical="top" wrapText="1" shrinkToFit="1"/>
    </xf>
    <xf numFmtId="0" fontId="15" fillId="0" borderId="31" xfId="26" applyFont="1" applyBorder="1" applyAlignment="1">
      <alignment horizontal="left" vertical="top" wrapText="1" shrinkToFit="1"/>
    </xf>
    <xf numFmtId="0" fontId="24" fillId="0" borderId="30" xfId="26" applyBorder="1" applyAlignment="1">
      <alignment horizontal="center" vertical="center"/>
    </xf>
    <xf numFmtId="0" fontId="24" fillId="0" borderId="31" xfId="26" applyBorder="1" applyAlignment="1">
      <alignment horizontal="center" vertical="center"/>
    </xf>
    <xf numFmtId="0" fontId="24" fillId="0" borderId="33" xfId="26" applyBorder="1" applyAlignment="1">
      <alignment horizontal="center" vertical="center"/>
    </xf>
    <xf numFmtId="14" fontId="15" fillId="0" borderId="31" xfId="26" applyNumberFormat="1" applyFont="1" applyBorder="1" applyAlignment="1">
      <alignment horizontal="left" vertical="center" shrinkToFit="1"/>
    </xf>
    <xf numFmtId="14" fontId="15" fillId="0" borderId="33" xfId="26" applyNumberFormat="1" applyFont="1" applyBorder="1" applyAlignment="1">
      <alignment horizontal="left" vertical="center" shrinkToFit="1"/>
    </xf>
    <xf numFmtId="44" fontId="0" fillId="0" borderId="62" xfId="37" applyFont="1" applyBorder="1" applyAlignment="1">
      <alignment horizontal="center" vertical="center" wrapText="1"/>
    </xf>
    <xf numFmtId="44" fontId="0" fillId="0" borderId="57" xfId="37" applyFont="1" applyBorder="1" applyAlignment="1">
      <alignment horizontal="center" vertical="center" wrapText="1"/>
    </xf>
    <xf numFmtId="44" fontId="0" fillId="0" borderId="90" xfId="37" applyFont="1" applyBorder="1" applyAlignment="1">
      <alignment horizontal="center" vertical="center" wrapText="1"/>
    </xf>
    <xf numFmtId="0" fontId="24" fillId="0" borderId="30" xfId="26" applyBorder="1" applyAlignment="1">
      <alignment horizontal="center" vertical="center" wrapText="1"/>
    </xf>
    <xf numFmtId="0" fontId="24" fillId="0" borderId="31" xfId="26" applyBorder="1" applyAlignment="1">
      <alignment horizontal="center" vertical="center" wrapText="1"/>
    </xf>
    <xf numFmtId="0" fontId="24" fillId="0" borderId="33" xfId="26" applyBorder="1" applyAlignment="1">
      <alignment horizontal="center" vertical="center" wrapText="1"/>
    </xf>
    <xf numFmtId="14" fontId="15" fillId="0" borderId="0" xfId="26" applyNumberFormat="1" applyFont="1" applyAlignment="1">
      <alignment horizontal="center" vertical="center"/>
    </xf>
    <xf numFmtId="14" fontId="15" fillId="0" borderId="29" xfId="26" applyNumberFormat="1" applyFont="1" applyBorder="1" applyAlignment="1">
      <alignment horizontal="center" vertical="center"/>
    </xf>
    <xf numFmtId="0" fontId="16" fillId="12" borderId="26" xfId="26" applyFont="1" applyFill="1" applyBorder="1" applyAlignment="1">
      <alignment horizontal="distributed" vertical="center"/>
    </xf>
    <xf numFmtId="0" fontId="16" fillId="12" borderId="0" xfId="26" applyFont="1" applyFill="1" applyAlignment="1">
      <alignment horizontal="distributed" vertical="center"/>
    </xf>
    <xf numFmtId="14" fontId="16" fillId="0" borderId="26" xfId="26" applyNumberFormat="1" applyFont="1" applyBorder="1" applyAlignment="1">
      <alignment horizontal="center" vertical="center"/>
    </xf>
    <xf numFmtId="14" fontId="16" fillId="0" borderId="28" xfId="26" applyNumberFormat="1" applyFont="1" applyBorder="1" applyAlignment="1">
      <alignment horizontal="center" vertical="center"/>
    </xf>
    <xf numFmtId="14" fontId="16" fillId="0" borderId="0" xfId="26" applyNumberFormat="1" applyFont="1" applyAlignment="1">
      <alignment horizontal="center" vertical="center"/>
    </xf>
    <xf numFmtId="14" fontId="16" fillId="0" borderId="29" xfId="26" applyNumberFormat="1" applyFont="1" applyBorder="1" applyAlignment="1">
      <alignment horizontal="center" vertical="center"/>
    </xf>
    <xf numFmtId="0" fontId="15" fillId="0" borderId="0" xfId="26" applyFont="1" applyAlignment="1">
      <alignment horizontal="center" vertical="center"/>
    </xf>
    <xf numFmtId="0" fontId="15" fillId="0" borderId="29" xfId="26" applyFont="1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187" fontId="37" fillId="0" borderId="72" xfId="11" applyNumberFormat="1" applyFont="1" applyBorder="1" applyAlignment="1">
      <alignment horizontal="right" vertical="center"/>
    </xf>
    <xf numFmtId="187" fontId="37" fillId="0" borderId="73" xfId="11" applyNumberFormat="1" applyFont="1" applyBorder="1" applyAlignment="1">
      <alignment horizontal="righ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56" fillId="0" borderId="0" xfId="0" applyFont="1" applyAlignment="1">
      <alignment horizontal="center"/>
    </xf>
    <xf numFmtId="188" fontId="38" fillId="0" borderId="72" xfId="0" applyNumberFormat="1" applyFont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8" borderId="93" xfId="0" applyFill="1" applyBorder="1" applyAlignment="1">
      <alignment horizontal="center" vertical="center"/>
    </xf>
    <xf numFmtId="0" fontId="0" fillId="8" borderId="92" xfId="0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11" borderId="93" xfId="0" applyFill="1" applyBorder="1" applyAlignment="1">
      <alignment horizontal="center" vertical="center" wrapText="1"/>
    </xf>
    <xf numFmtId="0" fontId="0" fillId="11" borderId="92" xfId="0" applyFill="1" applyBorder="1" applyAlignment="1">
      <alignment horizontal="center" vertical="center" wrapText="1"/>
    </xf>
    <xf numFmtId="0" fontId="0" fillId="11" borderId="20" xfId="0" applyFill="1" applyBorder="1" applyAlignment="1">
      <alignment horizontal="center" vertical="center" wrapText="1"/>
    </xf>
    <xf numFmtId="0" fontId="0" fillId="11" borderId="18" xfId="0" applyFill="1" applyBorder="1" applyAlignment="1">
      <alignment horizontal="center" vertical="center" wrapText="1"/>
    </xf>
    <xf numFmtId="178" fontId="16" fillId="0" borderId="0" xfId="0" applyNumberFormat="1" applyFont="1" applyAlignment="1">
      <alignment horizontal="left" vertical="center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0" fillId="3" borderId="93" xfId="0" applyFill="1" applyBorder="1" applyAlignment="1">
      <alignment horizontal="center" vertical="center" wrapText="1"/>
    </xf>
    <xf numFmtId="0" fontId="0" fillId="3" borderId="92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93" xfId="0" applyFill="1" applyBorder="1" applyAlignment="1">
      <alignment horizontal="center" vertical="center" wrapText="1"/>
    </xf>
    <xf numFmtId="0" fontId="0" fillId="6" borderId="92" xfId="0" applyFill="1" applyBorder="1" applyAlignment="1">
      <alignment horizontal="center" vertical="center" wrapText="1"/>
    </xf>
    <xf numFmtId="0" fontId="0" fillId="6" borderId="20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distributed" wrapText="1"/>
    </xf>
    <xf numFmtId="0" fontId="0" fillId="0" borderId="75" xfId="0" applyBorder="1" applyAlignment="1">
      <alignment horizontal="center" vertical="distributed" wrapText="1"/>
    </xf>
    <xf numFmtId="0" fontId="0" fillId="0" borderId="44" xfId="0" applyBorder="1" applyAlignment="1">
      <alignment horizontal="center" vertical="distributed" wrapText="1"/>
    </xf>
    <xf numFmtId="0" fontId="0" fillId="0" borderId="1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67" fillId="2" borderId="0" xfId="26" applyFont="1" applyFill="1" applyAlignment="1">
      <alignment horizontal="center" vertical="center"/>
    </xf>
    <xf numFmtId="0" fontId="57" fillId="8" borderId="25" xfId="26" applyFont="1" applyFill="1" applyBorder="1" applyAlignment="1">
      <alignment horizontal="center" vertical="center"/>
    </xf>
    <xf numFmtId="0" fontId="57" fillId="8" borderId="26" xfId="26" applyFont="1" applyFill="1" applyBorder="1" applyAlignment="1">
      <alignment horizontal="center" vertical="center"/>
    </xf>
    <xf numFmtId="0" fontId="57" fillId="8" borderId="28" xfId="26" applyFont="1" applyFill="1" applyBorder="1" applyAlignment="1">
      <alignment horizontal="center" vertical="center"/>
    </xf>
    <xf numFmtId="0" fontId="57" fillId="8" borderId="88" xfId="26" applyFont="1" applyFill="1" applyBorder="1" applyAlignment="1">
      <alignment horizontal="center" vertical="center"/>
    </xf>
    <xf numFmtId="0" fontId="57" fillId="8" borderId="55" xfId="26" applyFont="1" applyFill="1" applyBorder="1" applyAlignment="1">
      <alignment horizontal="center" vertical="center"/>
    </xf>
    <xf numFmtId="0" fontId="57" fillId="8" borderId="89" xfId="26" applyFont="1" applyFill="1" applyBorder="1" applyAlignment="1">
      <alignment horizontal="center" vertical="center"/>
    </xf>
    <xf numFmtId="0" fontId="65" fillId="18" borderId="17" xfId="26" applyFont="1" applyFill="1" applyBorder="1" applyAlignment="1">
      <alignment horizontal="center" vertical="center" wrapText="1"/>
    </xf>
    <xf numFmtId="0" fontId="65" fillId="18" borderId="21" xfId="26" applyFont="1" applyFill="1" applyBorder="1" applyAlignment="1">
      <alignment horizontal="center" vertical="center" wrapText="1"/>
    </xf>
    <xf numFmtId="0" fontId="65" fillId="18" borderId="69" xfId="26" applyFont="1" applyFill="1" applyBorder="1" applyAlignment="1">
      <alignment horizontal="center" vertical="center" wrapText="1"/>
    </xf>
    <xf numFmtId="0" fontId="66" fillId="14" borderId="54" xfId="26" applyFont="1" applyFill="1" applyBorder="1" applyAlignment="1">
      <alignment horizontal="center" vertical="center" wrapText="1"/>
    </xf>
    <xf numFmtId="0" fontId="66" fillId="14" borderId="16" xfId="26" applyFont="1" applyFill="1" applyBorder="1" applyAlignment="1">
      <alignment horizontal="center" vertical="center" wrapText="1"/>
    </xf>
    <xf numFmtId="0" fontId="65" fillId="18" borderId="3" xfId="26" applyFont="1" applyFill="1" applyBorder="1" applyAlignment="1">
      <alignment horizontal="center" vertical="center" wrapText="1"/>
    </xf>
    <xf numFmtId="0" fontId="65" fillId="18" borderId="2" xfId="26" applyFont="1" applyFill="1" applyBorder="1" applyAlignment="1">
      <alignment horizontal="center" vertical="center" wrapText="1"/>
    </xf>
    <xf numFmtId="0" fontId="65" fillId="18" borderId="45" xfId="26" applyFont="1" applyFill="1" applyBorder="1" applyAlignment="1">
      <alignment horizontal="center" vertical="center" wrapText="1"/>
    </xf>
    <xf numFmtId="0" fontId="66" fillId="14" borderId="1" xfId="26" applyFont="1" applyFill="1" applyBorder="1" applyAlignment="1">
      <alignment horizontal="center" vertical="center" wrapText="1"/>
    </xf>
    <xf numFmtId="0" fontId="66" fillId="14" borderId="38" xfId="26" applyFont="1" applyFill="1" applyBorder="1" applyAlignment="1">
      <alignment horizontal="center" vertical="center" wrapText="1"/>
    </xf>
    <xf numFmtId="0" fontId="55" fillId="14" borderId="65" xfId="26" applyFont="1" applyFill="1" applyBorder="1" applyAlignment="1">
      <alignment horizontal="center" vertical="center" wrapText="1"/>
    </xf>
    <xf numFmtId="0" fontId="55" fillId="14" borderId="66" xfId="26" applyFont="1" applyFill="1" applyBorder="1" applyAlignment="1">
      <alignment horizontal="center" vertical="center" wrapText="1"/>
    </xf>
    <xf numFmtId="199" fontId="55" fillId="14" borderId="71" xfId="26" applyNumberFormat="1" applyFont="1" applyFill="1" applyBorder="1" applyAlignment="1">
      <alignment horizontal="center" vertical="center"/>
    </xf>
    <xf numFmtId="199" fontId="55" fillId="14" borderId="73" xfId="26" applyNumberFormat="1" applyFont="1" applyFill="1" applyBorder="1" applyAlignment="1">
      <alignment horizontal="center" vertical="center"/>
    </xf>
    <xf numFmtId="0" fontId="57" fillId="15" borderId="55" xfId="26" applyFont="1" applyFill="1" applyBorder="1" applyAlignment="1">
      <alignment horizontal="center" vertical="center" wrapText="1"/>
    </xf>
    <xf numFmtId="0" fontId="57" fillId="15" borderId="53" xfId="26" applyFont="1" applyFill="1" applyBorder="1" applyAlignment="1">
      <alignment horizontal="center" vertical="center" wrapText="1"/>
    </xf>
    <xf numFmtId="0" fontId="57" fillId="15" borderId="76" xfId="26" applyFont="1" applyFill="1" applyBorder="1" applyAlignment="1">
      <alignment horizontal="center" vertical="center" wrapText="1"/>
    </xf>
    <xf numFmtId="0" fontId="60" fillId="15" borderId="84" xfId="26" applyFont="1" applyFill="1" applyBorder="1" applyAlignment="1">
      <alignment horizontal="center" vertical="center" wrapText="1"/>
    </xf>
    <xf numFmtId="0" fontId="60" fillId="15" borderId="85" xfId="26" applyFont="1" applyFill="1" applyBorder="1" applyAlignment="1">
      <alignment horizontal="center" vertical="center" wrapText="1"/>
    </xf>
    <xf numFmtId="0" fontId="60" fillId="15" borderId="87" xfId="26" applyFont="1" applyFill="1" applyBorder="1" applyAlignment="1">
      <alignment horizontal="center" vertical="center" wrapText="1"/>
    </xf>
    <xf numFmtId="0" fontId="55" fillId="14" borderId="71" xfId="26" applyFont="1" applyFill="1" applyBorder="1" applyAlignment="1">
      <alignment horizontal="center" vertical="center" wrapText="1"/>
    </xf>
    <xf numFmtId="0" fontId="55" fillId="14" borderId="86" xfId="26" applyFont="1" applyFill="1" applyBorder="1" applyAlignment="1">
      <alignment horizontal="center" vertical="center" wrapText="1"/>
    </xf>
    <xf numFmtId="0" fontId="57" fillId="15" borderId="57" xfId="26" applyFont="1" applyFill="1" applyBorder="1" applyAlignment="1">
      <alignment horizontal="center" vertical="center" wrapText="1"/>
    </xf>
    <xf numFmtId="0" fontId="62" fillId="0" borderId="1" xfId="35" applyFont="1" applyBorder="1" applyAlignment="1">
      <alignment horizontal="center" vertical="center"/>
    </xf>
    <xf numFmtId="0" fontId="24" fillId="10" borderId="55" xfId="26" applyFill="1" applyBorder="1" applyAlignment="1">
      <alignment horizontal="center"/>
    </xf>
    <xf numFmtId="0" fontId="24" fillId="10" borderId="1" xfId="26" applyFill="1" applyBorder="1" applyAlignment="1">
      <alignment horizontal="center" vertical="center"/>
    </xf>
    <xf numFmtId="0" fontId="8" fillId="0" borderId="3" xfId="35" applyBorder="1" applyAlignment="1">
      <alignment horizontal="center" vertical="center"/>
    </xf>
    <xf numFmtId="0" fontId="8" fillId="0" borderId="4" xfId="35" applyBorder="1" applyAlignment="1">
      <alignment horizontal="center" vertical="center"/>
    </xf>
    <xf numFmtId="0" fontId="62" fillId="10" borderId="1" xfId="35" applyFont="1" applyFill="1" applyBorder="1" applyAlignment="1">
      <alignment horizontal="center" vertical="center"/>
    </xf>
    <xf numFmtId="0" fontId="59" fillId="8" borderId="71" xfId="26" applyFont="1" applyFill="1" applyBorder="1" applyAlignment="1">
      <alignment horizontal="center" vertical="center"/>
    </xf>
    <xf numFmtId="0" fontId="59" fillId="8" borderId="72" xfId="26" applyFont="1" applyFill="1" applyBorder="1" applyAlignment="1">
      <alignment horizontal="center" vertical="center"/>
    </xf>
    <xf numFmtId="0" fontId="59" fillId="8" borderId="73" xfId="26" applyFont="1" applyFill="1" applyBorder="1" applyAlignment="1">
      <alignment horizontal="center" vertical="center"/>
    </xf>
    <xf numFmtId="0" fontId="24" fillId="10" borderId="0" xfId="26" applyFill="1" applyAlignment="1">
      <alignment horizontal="center"/>
    </xf>
    <xf numFmtId="0" fontId="53" fillId="15" borderId="82" xfId="26" applyFont="1" applyFill="1" applyBorder="1" applyAlignment="1">
      <alignment horizontal="center" vertical="center" wrapText="1"/>
    </xf>
    <xf numFmtId="0" fontId="53" fillId="15" borderId="2" xfId="26" applyFont="1" applyFill="1" applyBorder="1" applyAlignment="1">
      <alignment horizontal="center" vertical="center" wrapText="1"/>
    </xf>
    <xf numFmtId="0" fontId="53" fillId="15" borderId="4" xfId="26" applyFont="1" applyFill="1" applyBorder="1" applyAlignment="1">
      <alignment horizontal="center" vertical="center" wrapText="1"/>
    </xf>
    <xf numFmtId="0" fontId="53" fillId="15" borderId="78" xfId="26" applyFont="1" applyFill="1" applyBorder="1" applyAlignment="1">
      <alignment horizontal="center" vertical="center" wrapText="1"/>
    </xf>
    <xf numFmtId="0" fontId="53" fillId="15" borderId="79" xfId="26" applyFont="1" applyFill="1" applyBorder="1" applyAlignment="1">
      <alignment horizontal="center" vertical="center" wrapText="1"/>
    </xf>
    <xf numFmtId="0" fontId="53" fillId="15" borderId="81" xfId="26" applyFont="1" applyFill="1" applyBorder="1" applyAlignment="1">
      <alignment horizontal="center" vertical="center" wrapText="1"/>
    </xf>
    <xf numFmtId="0" fontId="8" fillId="0" borderId="1" xfId="35" applyBorder="1" applyAlignment="1">
      <alignment horizontal="center" vertical="center"/>
    </xf>
    <xf numFmtId="0" fontId="59" fillId="8" borderId="0" xfId="26" applyFont="1" applyFill="1" applyAlignment="1">
      <alignment horizontal="center" vertical="center"/>
    </xf>
    <xf numFmtId="0" fontId="59" fillId="8" borderId="31" xfId="26" applyFont="1" applyFill="1" applyBorder="1" applyAlignment="1">
      <alignment horizontal="center" vertical="center"/>
    </xf>
    <xf numFmtId="0" fontId="59" fillId="8" borderId="29" xfId="26" applyFont="1" applyFill="1" applyBorder="1" applyAlignment="1">
      <alignment horizontal="center" vertical="center"/>
    </xf>
    <xf numFmtId="0" fontId="57" fillId="8" borderId="58" xfId="26" applyFont="1" applyFill="1" applyBorder="1" applyAlignment="1">
      <alignment horizontal="center" vertical="center"/>
    </xf>
    <xf numFmtId="0" fontId="57" fillId="8" borderId="57" xfId="26" applyFont="1" applyFill="1" applyBorder="1" applyAlignment="1">
      <alignment horizontal="center" vertical="center"/>
    </xf>
    <xf numFmtId="0" fontId="57" fillId="8" borderId="56" xfId="26" applyFont="1" applyFill="1" applyBorder="1" applyAlignment="1">
      <alignment horizontal="center" vertical="center"/>
    </xf>
    <xf numFmtId="0" fontId="38" fillId="8" borderId="0" xfId="26" applyFont="1" applyFill="1" applyAlignment="1">
      <alignment horizontal="center" vertical="center"/>
    </xf>
    <xf numFmtId="0" fontId="58" fillId="8" borderId="71" xfId="26" applyFont="1" applyFill="1" applyBorder="1" applyAlignment="1">
      <alignment horizontal="center" vertical="center"/>
    </xf>
    <xf numFmtId="0" fontId="58" fillId="8" borderId="73" xfId="26" applyFont="1" applyFill="1" applyBorder="1" applyAlignment="1">
      <alignment horizontal="center" vertical="center"/>
    </xf>
    <xf numFmtId="0" fontId="57" fillId="8" borderId="71" xfId="26" applyFont="1" applyFill="1" applyBorder="1" applyAlignment="1">
      <alignment horizontal="center" vertical="center"/>
    </xf>
    <xf numFmtId="0" fontId="57" fillId="8" borderId="72" xfId="26" applyFont="1" applyFill="1" applyBorder="1" applyAlignment="1">
      <alignment horizontal="center" vertical="center"/>
    </xf>
    <xf numFmtId="0" fontId="57" fillId="8" borderId="73" xfId="26" applyFont="1" applyFill="1" applyBorder="1" applyAlignment="1">
      <alignment horizontal="center" vertical="center"/>
    </xf>
    <xf numFmtId="0" fontId="24" fillId="10" borderId="0" xfId="26" applyFill="1" applyAlignment="1">
      <alignment horizontal="center" wrapText="1"/>
    </xf>
    <xf numFmtId="0" fontId="0" fillId="10" borderId="5" xfId="0" applyFill="1" applyBorder="1" applyAlignment="1">
      <alignment horizontal="center" vertical="center" wrapText="1"/>
    </xf>
    <xf numFmtId="0" fontId="0" fillId="10" borderId="6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 wrapText="1"/>
    </xf>
    <xf numFmtId="0" fontId="0" fillId="10" borderId="15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</cellXfs>
  <cellStyles count="38">
    <cellStyle name="백분율 2" xfId="33" xr:uid="{C07DC019-7A05-45C2-B74F-19717C08305D}"/>
    <cellStyle name="쉼표 [0]" xfId="30" builtinId="6"/>
    <cellStyle name="쉼표 [0] 2" xfId="1" xr:uid="{00000000-0005-0000-0000-000000000000}"/>
    <cellStyle name="쉼표 [0] 2 2" xfId="2" xr:uid="{00000000-0005-0000-0000-000001000000}"/>
    <cellStyle name="쉼표 [0] 2 2 2" xfId="3" xr:uid="{00000000-0005-0000-0000-000002000000}"/>
    <cellStyle name="쉼표 [0] 2 2 3" xfId="4" xr:uid="{00000000-0005-0000-0000-000003000000}"/>
    <cellStyle name="쉼표 [0] 2 3" xfId="5" xr:uid="{00000000-0005-0000-0000-000004000000}"/>
    <cellStyle name="쉼표 [0] 2 4" xfId="6" xr:uid="{00000000-0005-0000-0000-000005000000}"/>
    <cellStyle name="쉼표 [0] 2 5" xfId="29" xr:uid="{912B0CB0-A191-4D83-844E-315154A44682}"/>
    <cellStyle name="쉼표 [0] 3" xfId="7" xr:uid="{00000000-0005-0000-0000-000006000000}"/>
    <cellStyle name="쉼표 [0] 3 2" xfId="8" xr:uid="{00000000-0005-0000-0000-000007000000}"/>
    <cellStyle name="쉼표 [0] 3 3" xfId="9" xr:uid="{00000000-0005-0000-0000-000008000000}"/>
    <cellStyle name="쉼표 [0] 4" xfId="10" xr:uid="{00000000-0005-0000-0000-000009000000}"/>
    <cellStyle name="통화" xfId="37" builtinId="4"/>
    <cellStyle name="통화 [0]" xfId="11" builtinId="7"/>
    <cellStyle name="통화 [0] 2" xfId="12" xr:uid="{00000000-0005-0000-0000-00000B000000}"/>
    <cellStyle name="통화 [0] 2 2" xfId="13" xr:uid="{00000000-0005-0000-0000-00000C000000}"/>
    <cellStyle name="통화 [0] 2 2 2" xfId="14" xr:uid="{00000000-0005-0000-0000-00000D000000}"/>
    <cellStyle name="통화 [0] 2 2 3" xfId="15" xr:uid="{00000000-0005-0000-0000-00000E000000}"/>
    <cellStyle name="통화 [0] 2 3" xfId="16" xr:uid="{00000000-0005-0000-0000-00000F000000}"/>
    <cellStyle name="통화 [0] 2 4" xfId="17" xr:uid="{00000000-0005-0000-0000-000010000000}"/>
    <cellStyle name="통화 [0] 2 5" xfId="32" xr:uid="{B84F634F-0B5A-4C9C-A93B-A09D1AE56530}"/>
    <cellStyle name="통화 [0] 3" xfId="18" xr:uid="{00000000-0005-0000-0000-000011000000}"/>
    <cellStyle name="통화 [0] 4" xfId="34" xr:uid="{996063C6-81B2-4D1B-B625-688E40C6E7A6}"/>
    <cellStyle name="표준" xfId="0" builtinId="0"/>
    <cellStyle name="표준 2" xfId="19" xr:uid="{00000000-0005-0000-0000-000013000000}"/>
    <cellStyle name="표준 2 2" xfId="25" xr:uid="{0AA92BD9-962A-4E7C-8E66-4BF7B6E2D4C4}"/>
    <cellStyle name="표준 2 3" xfId="26" xr:uid="{4F039618-8A82-4A5F-92C3-9D150A4515A1}"/>
    <cellStyle name="표준 3" xfId="20" xr:uid="{00000000-0005-0000-0000-000014000000}"/>
    <cellStyle name="표준 4" xfId="21" xr:uid="{00000000-0005-0000-0000-000015000000}"/>
    <cellStyle name="표준 5" xfId="23" xr:uid="{0E95475C-4149-489D-AD71-BA908DBDBDA3}"/>
    <cellStyle name="표준 5 2" xfId="31" xr:uid="{2F32A721-FD49-4E89-8AD8-FB83A8A3CC9B}"/>
    <cellStyle name="표준 6" xfId="22" xr:uid="{00000000-0005-0000-0000-000016000000}"/>
    <cellStyle name="표준 7" xfId="24" xr:uid="{F3AB6B8F-CA5A-44C8-9EC3-D00F89FCFA91}"/>
    <cellStyle name="표준 8" xfId="35" xr:uid="{0F714572-A467-4E4B-92F7-4C3190066C20}"/>
    <cellStyle name="하이퍼링크" xfId="36" builtinId="8"/>
    <cellStyle name="하이퍼링크 2" xfId="27" xr:uid="{B2FE7471-61DE-4036-BA2B-C20DA2D0E240}"/>
    <cellStyle name="하이퍼링크 2 2" xfId="28" xr:uid="{8363C304-F95F-4783-A056-F2D42BE9C2AD}"/>
  </cellStyles>
  <dxfs count="432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맑은 고딕"/>
        <family val="3"/>
        <charset val="129"/>
        <scheme val="major"/>
      </font>
      <numFmt numFmtId="181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family val="3"/>
        <charset val="129"/>
        <scheme val="major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1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family val="3"/>
        <charset val="129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맑은 고딕"/>
        <family val="3"/>
        <charset val="129"/>
        <scheme val="maj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border>
        <left style="thin">
          <color indexed="64"/>
        </left>
        <vertical style="thin">
          <color indexed="64"/>
        </vertic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2" formatCode="_-&quot;₩&quot;* #,##0_-;\-&quot;₩&quot;* #,##0_-;_-&quot;₩&quot;* &quot;-&quot;_-;_-@_-"/>
    </dxf>
    <dxf>
      <numFmt numFmtId="177" formatCode="_-[$₩-412]* #,##0_-;\-[$₩-412]* #,##0_-;_-[$₩-412]* &quot;-&quot;??_-;_-@_-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wrapText="1" readingOrder="0"/>
    </dxf>
    <dxf>
      <font>
        <color rgb="FFFF0000"/>
      </font>
    </dxf>
    <dxf>
      <alignment horizontal="center" readingOrder="0"/>
    </dxf>
    <dxf>
      <numFmt numFmtId="178" formatCode="&quot;₩&quot;#,##0;[Red]&quot;₩&quot;#,##0"/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border>
        <right style="thin">
          <color indexed="64"/>
        </right>
        <vertical style="thin">
          <color indexed="64"/>
        </vertical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9" formatCode="yyyy/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9" formatCode="yyyy/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1" formatCode="0_);[Red]\(0\)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5" formatCode="00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81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algun Gothic"/>
        <family val="3"/>
        <charset val="129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algun Gothic"/>
        <family val="3"/>
        <charset val="129"/>
        <scheme val="none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79" formatCode="_-[$$-409]* #,##0.00_ ;_-[$$-409]* \-#,##0.00\ ;_-[$$-409]* &quot;-&quot;??_ ;_-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76" formatCode="#,##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81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numFmt numFmtId="185" formatCode="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9" formatCode="yyyy/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32" formatCode="_-&quot;₩&quot;* #,##0_-;\-&quot;₩&quot;* #,##0_-;_-&quot;₩&quot;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9" formatCode="yyyy/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32" formatCode="_-&quot;₩&quot;* #,##0_-;\-&quot;₩&quot;* #,##0_-;_-&quot;₩&quot;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32" formatCode="_-&quot;₩&quot;* #,##0_-;\-&quot;₩&quot;* #,##0_-;_-&quot;₩&quot;* &quot;-&quot;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32" formatCode="_-&quot;₩&quot;* #,##0_-;\-&quot;₩&quot;* #,##0_-;_-&quot;₩&quot;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32" formatCode="_-&quot;₩&quot;* #,##0_-;\-&quot;₩&quot;* #,##0_-;_-&quot;₩&quot;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1" formatCode="0_);[Red]\(0\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81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85" formatCode="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numFmt numFmtId="19" formatCode="yyyy/m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7" formatCode="_-[$₩-412]* #,##0_-;\-[$₩-412]* #,##0_-;_-[$₩-412]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85" formatCode="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77" formatCode="_-[$₩-412]* #,##0_-;\-[$₩-412]* #,##0_-;_-[$₩-412]* &quot;-&quot;??_-;_-@_-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numFmt numFmtId="190" formatCode="_-[$$-409]* #,##0_ ;_-[$$-409]* \-#,##0\ ;_-[$$-409]* &quot;-&quot;??_ ;_-@_ 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algun Gothic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1" formatCode="0_);[Red]\(0\)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5" formatCode="00"/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pivotSource>
    <c:name>[COX_Sales list.xlsm]2025매출차트!피벗 테이블3</c:name>
    <c:fmtId val="0"/>
  </c:pivotSource>
  <c:chart>
    <c:autoTitleDeleted val="0"/>
    <c:pivotFmts>
      <c:pivotFmt>
        <c:idx val="0"/>
        <c:spPr>
          <a:solidFill>
            <a:srgbClr val="92D050"/>
          </a:solidFill>
          <a:ln>
            <a:gradFill>
              <a:gsLst>
                <a:gs pos="0">
                  <a:schemeClr val="accent1">
                    <a:tint val="66000"/>
                    <a:satMod val="160000"/>
                  </a:schemeClr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a:ln>
          <a:effectLst>
            <a:outerShdw blurRad="40000" dist="23000" dir="5400000" rotWithShape="0">
              <a:srgbClr val="00B050">
                <a:alpha val="35000"/>
              </a:srgbClr>
            </a:outerShdw>
          </a:effec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solidFill>
              <a:schemeClr val="tx1"/>
            </a:solidFill>
          </a:ln>
        </c:spPr>
        <c:marker>
          <c:spPr>
            <a:solidFill>
              <a:srgbClr val="FF0000"/>
            </a:solidFill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'2025매출차트'!$B$15:$B$16</c:f>
              <c:strCache>
                <c:ptCount val="1"/>
                <c:pt idx="0">
                  <c:v>합계 : 해외 매출액</c:v>
                </c:pt>
              </c:strCache>
            </c:strRef>
          </c:tx>
          <c:spPr>
            <a:solidFill>
              <a:srgbClr val="92D050"/>
            </a:solidFill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  <a:effectLst>
              <a:outerShdw blurRad="40000" dist="23000" dir="5400000" rotWithShape="0">
                <a:srgbClr val="00B050">
                  <a:alpha val="35000"/>
                </a:srgbClr>
              </a:outerShdw>
            </a:effectLst>
          </c:spPr>
          <c:invertIfNegative val="0"/>
          <c:cat>
            <c:strRef>
              <c:f>'2025매출차트'!$A$17:$A$29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'2025매출차트'!$B$17:$B$29</c:f>
              <c:numCache>
                <c:formatCode>_("₩"* #,##0_);_("₩"* \(#,##0\);_("₩"* "-"_);_(@_)</c:formatCode>
                <c:ptCount val="12"/>
                <c:pt idx="0">
                  <c:v>57611313.019999996</c:v>
                </c:pt>
                <c:pt idx="1">
                  <c:v>10639811.300000001</c:v>
                </c:pt>
                <c:pt idx="2">
                  <c:v>50021188.800000004</c:v>
                </c:pt>
                <c:pt idx="3">
                  <c:v>115386199.68000001</c:v>
                </c:pt>
                <c:pt idx="4">
                  <c:v>28969359.199999999</c:v>
                </c:pt>
                <c:pt idx="5">
                  <c:v>100586649.59999999</c:v>
                </c:pt>
                <c:pt idx="6">
                  <c:v>98942401.640000001</c:v>
                </c:pt>
                <c:pt idx="7">
                  <c:v>62600653.535999998</c:v>
                </c:pt>
                <c:pt idx="8">
                  <c:v>93875280.631999984</c:v>
                </c:pt>
                <c:pt idx="9">
                  <c:v>15965719.92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FB-4C89-AA35-227E79396F4B}"/>
            </c:ext>
          </c:extLst>
        </c:ser>
        <c:ser>
          <c:idx val="1"/>
          <c:order val="1"/>
          <c:tx>
            <c:strRef>
              <c:f>'2025매출차트'!$C$15:$C$16</c:f>
              <c:strCache>
                <c:ptCount val="1"/>
                <c:pt idx="0">
                  <c:v>합계 : 국내 매출액</c:v>
                </c:pt>
              </c:strCache>
            </c:strRef>
          </c:tx>
          <c:invertIfNegative val="0"/>
          <c:cat>
            <c:strRef>
              <c:f>'2025매출차트'!$A$17:$A$29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'2025매출차트'!$C$17:$C$29</c:f>
              <c:numCache>
                <c:formatCode>_("₩"* #,##0_);_("₩"* \(#,##0\);_("₩"* "-"_);_(@_)</c:formatCode>
                <c:ptCount val="12"/>
                <c:pt idx="0">
                  <c:v>12146000</c:v>
                </c:pt>
                <c:pt idx="1">
                  <c:v>275130300</c:v>
                </c:pt>
                <c:pt idx="2">
                  <c:v>92458000</c:v>
                </c:pt>
                <c:pt idx="3">
                  <c:v>153454000</c:v>
                </c:pt>
                <c:pt idx="4">
                  <c:v>48956000</c:v>
                </c:pt>
                <c:pt idx="5">
                  <c:v>39979298</c:v>
                </c:pt>
                <c:pt idx="6">
                  <c:v>1600000</c:v>
                </c:pt>
                <c:pt idx="7">
                  <c:v>36880384</c:v>
                </c:pt>
                <c:pt idx="8">
                  <c:v>2300000</c:v>
                </c:pt>
                <c:pt idx="9">
                  <c:v>66583600</c:v>
                </c:pt>
                <c:pt idx="10">
                  <c:v>70000000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FB-4C89-AA35-227E79396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"/>
        <c:axId val="4"/>
      </c:barChart>
      <c:lineChart>
        <c:grouping val="stacked"/>
        <c:varyColors val="0"/>
        <c:ser>
          <c:idx val="2"/>
          <c:order val="2"/>
          <c:tx>
            <c:strRef>
              <c:f>'2025매출차트'!$D$15:$D$16</c:f>
              <c:strCache>
                <c:ptCount val="1"/>
                <c:pt idx="0">
                  <c:v>합계 : 국내외 카메라 수량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pPr>
              <a:solidFill>
                <a:srgbClr val="FF0000"/>
              </a:solidFill>
            </c:spPr>
          </c:marker>
          <c:cat>
            <c:strRef>
              <c:f>'2025매출차트'!$A$17:$A$29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'2025매출차트'!$D$17:$D$29</c:f>
              <c:numCache>
                <c:formatCode>General</c:formatCode>
                <c:ptCount val="12"/>
                <c:pt idx="0">
                  <c:v>6</c:v>
                </c:pt>
                <c:pt idx="1">
                  <c:v>19</c:v>
                </c:pt>
                <c:pt idx="2">
                  <c:v>26</c:v>
                </c:pt>
                <c:pt idx="3">
                  <c:v>23</c:v>
                </c:pt>
                <c:pt idx="4">
                  <c:v>13</c:v>
                </c:pt>
                <c:pt idx="5">
                  <c:v>28</c:v>
                </c:pt>
                <c:pt idx="6">
                  <c:v>24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FB-4C89-AA35-227E79396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4149423"/>
        <c:axId val="1"/>
      </c:lineChart>
      <c:catAx>
        <c:axId val="1314149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4149423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numFmt formatCode="_(&quot;₩&quot;* #,##0_);_(&quot;₩&quot;* \(#,##0\);_(&quot;₩&quot;* &quot;-&quot;_);_(@_)" sourceLinked="1"/>
        <c:majorTickMark val="out"/>
        <c:minorTickMark val="none"/>
        <c:tickLblPos val="nextTo"/>
        <c:crossAx val="3"/>
        <c:crosses val="max"/>
        <c:crossBetween val="between"/>
      </c:valAx>
      <c:dTable>
        <c:showHorzBorder val="1"/>
        <c:showVertBorder val="1"/>
        <c:showOutline val="1"/>
        <c:showKeys val="0"/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Resolution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'2025매출차트'!$D$32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</c:spPr>
          <c:dPt>
            <c:idx val="0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0-4542-45AE-BBB9-596E7372158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4542-45AE-BBB9-596E7372158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4542-45AE-BBB9-596E7372158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4542-45AE-BBB9-596E7372158D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4-4542-45AE-BBB9-596E7372158D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4542-45AE-BBB9-596E7372158D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1"/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'2025매출차트'!$A$33:$A$38</c:f>
              <c:strCache>
                <c:ptCount val="5"/>
                <c:pt idx="0">
                  <c:v>QVGA</c:v>
                </c:pt>
                <c:pt idx="2">
                  <c:v>VGA</c:v>
                </c:pt>
                <c:pt idx="4">
                  <c:v>XGA</c:v>
                </c:pt>
              </c:strCache>
            </c:strRef>
          </c:cat>
          <c:val>
            <c:numRef>
              <c:f>'2025매출차트'!$D$33:$D$38</c:f>
              <c:numCache>
                <c:formatCode>General</c:formatCode>
                <c:ptCount val="6"/>
                <c:pt idx="0">
                  <c:v>35</c:v>
                </c:pt>
                <c:pt idx="2">
                  <c:v>170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542-45AE-BBB9-596E7372158D}"/>
            </c:ext>
          </c:extLst>
        </c:ser>
        <c:ser>
          <c:idx val="1"/>
          <c:order val="1"/>
          <c:tx>
            <c:strRef>
              <c:f>'2025매출차트'!$D$32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</c:spPr>
          <c:dPt>
            <c:idx val="0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7-4542-45AE-BBB9-596E7372158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8-4542-45AE-BBB9-596E7372158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9-4542-45AE-BBB9-596E7372158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A-4542-45AE-BBB9-596E7372158D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B-4542-45AE-BBB9-596E7372158D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C-4542-45AE-BBB9-596E7372158D}"/>
              </c:ext>
            </c:extLst>
          </c:dPt>
          <c:cat>
            <c:strRef>
              <c:f>'2025매출차트'!$A$33:$A$38</c:f>
              <c:strCache>
                <c:ptCount val="5"/>
                <c:pt idx="0">
                  <c:v>QVGA</c:v>
                </c:pt>
                <c:pt idx="2">
                  <c:v>VGA</c:v>
                </c:pt>
                <c:pt idx="4">
                  <c:v>XGA</c:v>
                </c:pt>
              </c:strCache>
            </c:strRef>
          </c:cat>
          <c:val>
            <c:numRef>
              <c:f>'2025매출차트'!$D$33:$D$38</c:f>
              <c:numCache>
                <c:formatCode>General</c:formatCode>
                <c:ptCount val="6"/>
                <c:pt idx="0">
                  <c:v>35</c:v>
                </c:pt>
                <c:pt idx="2">
                  <c:v>170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542-45AE-BBB9-596E7372158D}"/>
            </c:ext>
          </c:extLst>
        </c:ser>
        <c:ser>
          <c:idx val="2"/>
          <c:order val="2"/>
          <c:tx>
            <c:strRef>
              <c:f>'2025매출차트'!$D$32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</c:spPr>
          <c:dPt>
            <c:idx val="0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E-4542-45AE-BBB9-596E7372158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F-4542-45AE-BBB9-596E7372158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0-4542-45AE-BBB9-596E7372158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1-4542-45AE-BBB9-596E7372158D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12-4542-45AE-BBB9-596E7372158D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3-4542-45AE-BBB9-596E7372158D}"/>
              </c:ext>
            </c:extLst>
          </c:dPt>
          <c:cat>
            <c:strRef>
              <c:f>'2025매출차트'!$A$33:$A$38</c:f>
              <c:strCache>
                <c:ptCount val="5"/>
                <c:pt idx="0">
                  <c:v>QVGA</c:v>
                </c:pt>
                <c:pt idx="2">
                  <c:v>VGA</c:v>
                </c:pt>
                <c:pt idx="4">
                  <c:v>XGA</c:v>
                </c:pt>
              </c:strCache>
            </c:strRef>
          </c:cat>
          <c:val>
            <c:numRef>
              <c:f>'2025매출차트'!$D$33:$D$38</c:f>
              <c:numCache>
                <c:formatCode>General</c:formatCode>
                <c:ptCount val="6"/>
                <c:pt idx="0">
                  <c:v>35</c:v>
                </c:pt>
                <c:pt idx="2">
                  <c:v>170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542-45AE-BBB9-596E7372158D}"/>
            </c:ext>
          </c:extLst>
        </c:ser>
        <c:ser>
          <c:idx val="3"/>
          <c:order val="3"/>
          <c:tx>
            <c:strRef>
              <c:f>'2025매출차트'!$D$32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</c:spPr>
          <c:dPt>
            <c:idx val="0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15-4542-45AE-BBB9-596E7372158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6-4542-45AE-BBB9-596E7372158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7-4542-45AE-BBB9-596E7372158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8-4542-45AE-BBB9-596E7372158D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19-4542-45AE-BBB9-596E7372158D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A-4542-45AE-BBB9-596E7372158D}"/>
              </c:ext>
            </c:extLst>
          </c:dPt>
          <c:cat>
            <c:strRef>
              <c:f>'2025매출차트'!$A$33:$A$38</c:f>
              <c:strCache>
                <c:ptCount val="5"/>
                <c:pt idx="0">
                  <c:v>QVGA</c:v>
                </c:pt>
                <c:pt idx="2">
                  <c:v>VGA</c:v>
                </c:pt>
                <c:pt idx="4">
                  <c:v>XGA</c:v>
                </c:pt>
              </c:strCache>
            </c:strRef>
          </c:cat>
          <c:val>
            <c:numRef>
              <c:f>'2025매출차트'!$D$33:$D$38</c:f>
              <c:numCache>
                <c:formatCode>General</c:formatCode>
                <c:ptCount val="6"/>
                <c:pt idx="0">
                  <c:v>35</c:v>
                </c:pt>
                <c:pt idx="2">
                  <c:v>170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542-45AE-BBB9-596E73721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egendEntry>
        <c:idx val="3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1515926833053323"/>
          <c:y val="0.17607147183525135"/>
          <c:w val="0.7580198233575558"/>
          <c:h val="8.61090248334343E-2"/>
        </c:manualLayout>
      </c:layout>
      <c:overlay val="0"/>
      <c:txPr>
        <a:bodyPr/>
        <a:lstStyle/>
        <a:p>
          <a:pPr>
            <a:defRPr sz="1100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Model type </a:t>
            </a:r>
            <a:r>
              <a:rPr lang="en-US" altLang="ko-KR">
                <a:latin typeface="맑은 고딕"/>
                <a:ea typeface="맑은 고딕"/>
              </a:rPr>
              <a:t>Ⅰ</a:t>
            </a:r>
            <a:endParaRPr lang="ko-KR" altLang="en-US"/>
          </a:p>
        </c:rich>
      </c:tx>
      <c:overlay val="0"/>
    </c:title>
    <c:autoTitleDeleted val="0"/>
    <c:plotArea>
      <c:layout/>
      <c:pieChart>
        <c:varyColors val="1"/>
        <c:ser>
          <c:idx val="1"/>
          <c:order val="0"/>
          <c:tx>
            <c:strRef>
              <c:f>'2025매출차트'!$I$33:$I$34</c:f>
              <c:strCache>
                <c:ptCount val="2"/>
              </c:strCache>
            </c:strRef>
          </c:tx>
          <c:spPr>
            <a:solidFill>
              <a:schemeClr val="accent3"/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059-42B9-A79D-D9BFCB5CA41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B059-42B9-A79D-D9BFCB5CA41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2-B059-42B9-A79D-D9BFCB5CA41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B059-42B9-A79D-D9BFCB5CA41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4-B059-42B9-A79D-D9BFCB5CA41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B059-42B9-A79D-D9BFCB5CA418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'2025매출차트'!$I$33:$I$38</c:f>
              <c:numCache>
                <c:formatCode>General</c:formatCode>
                <c:ptCount val="6"/>
              </c:numCache>
            </c:numRef>
          </c:cat>
          <c:val>
            <c:numRef>
              <c:f>'2025매출차트'!$L$33:$L$38</c:f>
              <c:numCache>
                <c:formatCode>General</c:formatCode>
                <c:ptCount val="6"/>
                <c:pt idx="0">
                  <c:v>172</c:v>
                </c:pt>
                <c:pt idx="2">
                  <c:v>32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59-42B9-A79D-D9BFCB5CA418}"/>
            </c:ext>
          </c:extLst>
        </c:ser>
        <c:ser>
          <c:idx val="0"/>
          <c:order val="1"/>
          <c:tx>
            <c:strRef>
              <c:f>'2025매출차트'!$I$35:$I$36</c:f>
              <c:strCache>
                <c:ptCount val="2"/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B059-42B9-A79D-D9BFCB5CA41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8-B059-42B9-A79D-D9BFCB5CA41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9-B059-42B9-A79D-D9BFCB5CA41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A-B059-42B9-A79D-D9BFCB5CA41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B-B059-42B9-A79D-D9BFCB5CA41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C-B059-42B9-A79D-D9BFCB5CA418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'2025매출차트'!$I$33:$I$38</c:f>
              <c:numCache>
                <c:formatCode>General</c:formatCode>
                <c:ptCount val="6"/>
              </c:numCache>
            </c:num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D-B059-42B9-A79D-D9BFCB5CA418}"/>
            </c:ext>
          </c:extLst>
        </c:ser>
        <c:ser>
          <c:idx val="2"/>
          <c:order val="2"/>
          <c:tx>
            <c:strRef>
              <c:f>'2025매출차트'!$I$37:$I$38</c:f>
              <c:strCache>
                <c:ptCount val="2"/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E-B059-42B9-A79D-D9BFCB5CA41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F-B059-42B9-A79D-D9BFCB5CA41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0-B059-42B9-A79D-D9BFCB5CA41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1-B059-42B9-A79D-D9BFCB5CA41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2-B059-42B9-A79D-D9BFCB5CA41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3-B059-42B9-A79D-D9BFCB5CA418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'2025매출차트'!$I$33:$I$38</c:f>
              <c:numCache>
                <c:formatCode>General</c:formatCode>
                <c:ptCount val="6"/>
              </c:numCache>
            </c:num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4-B059-42B9-A79D-D9BFCB5CA418}"/>
            </c:ext>
          </c:extLst>
        </c:ser>
        <c:ser>
          <c:idx val="3"/>
          <c:order val="3"/>
          <c:tx>
            <c:strRef>
              <c:f>'2025매출차트'!$I$33:$I$34</c:f>
              <c:strCache>
                <c:ptCount val="2"/>
              </c:strCache>
            </c:strRef>
          </c:tx>
          <c:spPr>
            <a:solidFill>
              <a:schemeClr val="accent3"/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5-B059-42B9-A79D-D9BFCB5CA41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6-B059-42B9-A79D-D9BFCB5CA41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17-B059-42B9-A79D-D9BFCB5CA41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8-B059-42B9-A79D-D9BFCB5CA41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19-B059-42B9-A79D-D9BFCB5CA41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A-B059-42B9-A79D-D9BFCB5CA418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'2025매출차트'!$I$33:$I$38</c:f>
              <c:numCache>
                <c:formatCode>General</c:formatCode>
                <c:ptCount val="6"/>
              </c:numCache>
            </c:numRef>
          </c:cat>
          <c:val>
            <c:numRef>
              <c:f>'2025매출차트'!$L$33:$L$38</c:f>
              <c:numCache>
                <c:formatCode>General</c:formatCode>
                <c:ptCount val="6"/>
                <c:pt idx="0">
                  <c:v>172</c:v>
                </c:pt>
                <c:pt idx="2">
                  <c:v>32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059-42B9-A79D-D9BFCB5CA418}"/>
            </c:ext>
          </c:extLst>
        </c:ser>
        <c:ser>
          <c:idx val="4"/>
          <c:order val="4"/>
          <c:tx>
            <c:strRef>
              <c:f>'2025매출차트'!$I$35:$I$36</c:f>
              <c:strCache>
                <c:ptCount val="2"/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C-B059-42B9-A79D-D9BFCB5CA41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D-B059-42B9-A79D-D9BFCB5CA41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E-B059-42B9-A79D-D9BFCB5CA41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F-B059-42B9-A79D-D9BFCB5CA41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20-B059-42B9-A79D-D9BFCB5CA41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21-B059-42B9-A79D-D9BFCB5CA418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'2025매출차트'!$I$33:$I$38</c:f>
              <c:numCache>
                <c:formatCode>General</c:formatCode>
                <c:ptCount val="6"/>
              </c:numCache>
            </c:num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2-B059-42B9-A79D-D9BFCB5CA418}"/>
            </c:ext>
          </c:extLst>
        </c:ser>
        <c:ser>
          <c:idx val="5"/>
          <c:order val="5"/>
          <c:tx>
            <c:strRef>
              <c:f>'2025매출차트'!$I$37:$I$38</c:f>
              <c:strCache>
                <c:ptCount val="2"/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23-B059-42B9-A79D-D9BFCB5CA41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24-B059-42B9-A79D-D9BFCB5CA41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5-B059-42B9-A79D-D9BFCB5CA41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26-B059-42B9-A79D-D9BFCB5CA41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27-B059-42B9-A79D-D9BFCB5CA41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28-B059-42B9-A79D-D9BFCB5CA418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'2025매출차트'!$I$33:$I$38</c:f>
              <c:numCache>
                <c:formatCode>General</c:formatCode>
                <c:ptCount val="6"/>
              </c:numCache>
            </c:num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9-B059-42B9-A79D-D9BFCB5CA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egendEntry>
        <c:idx val="3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9529367312376442"/>
          <c:y val="0.17130962078016107"/>
          <c:w val="0.64026098280131438"/>
          <c:h val="8.6108949025050036E-2"/>
        </c:manualLayout>
      </c:layout>
      <c:overlay val="0"/>
      <c:txPr>
        <a:bodyPr/>
        <a:lstStyle/>
        <a:p>
          <a:pPr rtl="0">
            <a:defRPr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해상도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ko-K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1E0-41DB-A6C4-AD874351281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1E0-41DB-A6C4-AD874351281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1E0-41DB-A6C4-AD8743512811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'2025매출차트'!$A$33:$A$38</c15:sqref>
                  </c15:fullRef>
                </c:ext>
              </c:extLst>
              <c:f>('2025매출차트'!$A$33,'2025매출차트'!$A$35,'2025매출차트'!$A$37)</c:f>
              <c:strCache>
                <c:ptCount val="3"/>
                <c:pt idx="0">
                  <c:v>QVGA</c:v>
                </c:pt>
                <c:pt idx="1">
                  <c:v>VGA</c:v>
                </c:pt>
                <c:pt idx="2">
                  <c:v>XGA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'2025매출차트'!$D$33:$D$38</c15:sqref>
                  </c15:fullRef>
                </c:ext>
              </c:extLst>
              <c:f>('2025매출차트'!$D$33,'2025매출차트'!$D$35,'2025매출차트'!$D$37)</c:f>
              <c:numCache>
                <c:formatCode>General</c:formatCode>
                <c:ptCount val="3"/>
                <c:pt idx="0">
                  <c:v>35</c:v>
                </c:pt>
                <c:pt idx="1">
                  <c:v>170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4DBE-4974-96F3-F8D387CEF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용도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ko-KR"/>
        </a:p>
      </c:txPr>
    </c:title>
    <c:autoTitleDeleted val="0"/>
    <c:plotArea>
      <c:layout/>
      <c:pieChart>
        <c:varyColors val="1"/>
        <c:ser>
          <c:idx val="0"/>
          <c:order val="0"/>
          <c:tx>
            <c:v>Type1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B9E-49FE-A19C-D0A11C19C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B9E-49FE-A19C-D0A11C19C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B9E-49FE-A19C-D0A11C19C7E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B9E-49FE-A19C-D0A11C19C7E9}"/>
              </c:ext>
            </c:extLst>
          </c:dPt>
          <c:cat>
            <c:strRef>
              <c:f>('2025매출차트'!$H$33,'2025매출차트'!$H$35,'2025매출차트'!$H$37,'2025매출차트'!$H$39)</c:f>
              <c:strCache>
                <c:ptCount val="4"/>
                <c:pt idx="0">
                  <c:v>Radiometric</c:v>
                </c:pt>
                <c:pt idx="1">
                  <c:v>Security</c:v>
                </c:pt>
                <c:pt idx="2">
                  <c:v>Night vision</c:v>
                </c:pt>
                <c:pt idx="3">
                  <c:v>Fever screening</c:v>
                </c:pt>
              </c:strCache>
            </c:strRef>
          </c:cat>
          <c:val>
            <c:numRef>
              <c:f>('2025매출차트'!$L$33,'2025매출차트'!$L$35,'2025매출차트'!$L$37,'2025매출차트'!$L$39)</c:f>
              <c:numCache>
                <c:formatCode>General</c:formatCode>
                <c:ptCount val="4"/>
                <c:pt idx="0">
                  <c:v>172</c:v>
                </c:pt>
                <c:pt idx="1">
                  <c:v>32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7-46C5-B398-06EF41720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구분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ko-K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637-470E-A1D8-ED74B2A66E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637-470E-A1D8-ED74B2A66E7E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('2025매출차트'!$P$33:$P$34,'2025매출차트'!$P$35:$P$36)</c15:sqref>
                  </c15:fullRef>
                </c:ext>
              </c:extLst>
              <c:f>('2025매출차트'!$P$33,'2025매출차트'!$P$35)</c:f>
              <c:strCache>
                <c:ptCount val="2"/>
                <c:pt idx="0">
                  <c:v>Analogue</c:v>
                </c:pt>
                <c:pt idx="1">
                  <c:v>Network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('2025매출차트'!$S$33:$S$34,'2025매출차트'!$S$35:$S$36)</c15:sqref>
                  </c15:fullRef>
                </c:ext>
              </c:extLst>
              <c:f>('2025매출차트'!$S$33,'2025매출차트'!$S$35)</c:f>
              <c:numCache>
                <c:formatCode>General</c:formatCode>
                <c:ptCount val="2"/>
                <c:pt idx="0">
                  <c:v>100</c:v>
                </c:pt>
                <c:pt idx="1">
                  <c:v>105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868A-4E4C-8030-C3E2F993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테이블12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국내</a:t>
            </a:r>
            <a:r>
              <a:rPr lang="en-US" altLang="ko-KR"/>
              <a:t>/</a:t>
            </a:r>
            <a:r>
              <a:rPr lang="ko-KR" altLang="en-US"/>
              <a:t>해외 판매 분포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'판매 분포도 차트'!$Q$4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0D54-4885-9F7A-4B04D8CFBF33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0D54-4885-9F7A-4B04D8CFBF33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'판매 분포도 차트'!$P$5:$P$7</c:f>
              <c:strCache>
                <c:ptCount val="2"/>
                <c:pt idx="0">
                  <c:v>국내</c:v>
                </c:pt>
                <c:pt idx="1">
                  <c:v>해외</c:v>
                </c:pt>
              </c:strCache>
            </c:strRef>
          </c:cat>
          <c:val>
            <c:numRef>
              <c:f>'판매 분포도 차트'!$Q$5:$Q$7</c:f>
              <c:numCache>
                <c:formatCode>General</c:formatCode>
                <c:ptCount val="2"/>
                <c:pt idx="0">
                  <c:v>16</c:v>
                </c:pt>
                <c:pt idx="1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54-4885-9F7A-4B04D8CFB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테이블13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모델별 판매 분포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'판매 분포도 차트'!$C$40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'판매 분포도 차트'!$B$41:$B$51</c:f>
              <c:strCache>
                <c:ptCount val="10"/>
                <c:pt idx="0">
                  <c:v>CG320</c:v>
                </c:pt>
                <c:pt idx="1">
                  <c:v>CG640</c:v>
                </c:pt>
                <c:pt idx="2">
                  <c:v>CG600</c:v>
                </c:pt>
                <c:pt idx="3">
                  <c:v>CG320IP</c:v>
                </c:pt>
                <c:pt idx="4">
                  <c:v>CG640IP</c:v>
                </c:pt>
                <c:pt idx="5">
                  <c:v>CG600IP</c:v>
                </c:pt>
                <c:pt idx="6">
                  <c:v>CG600-NM</c:v>
                </c:pt>
                <c:pt idx="7">
                  <c:v>CZ600IP</c:v>
                </c:pt>
                <c:pt idx="8">
                  <c:v>CZ320</c:v>
                </c:pt>
                <c:pt idx="9">
                  <c:v>V61</c:v>
                </c:pt>
              </c:strCache>
            </c:strRef>
          </c:cat>
          <c:val>
            <c:numRef>
              <c:f>'판매 분포도 차트'!$C$41:$C$51</c:f>
              <c:numCache>
                <c:formatCode>General</c:formatCode>
                <c:ptCount val="10"/>
                <c:pt idx="0">
                  <c:v>2</c:v>
                </c:pt>
                <c:pt idx="1">
                  <c:v>15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8</c:v>
                </c:pt>
                <c:pt idx="6">
                  <c:v>16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C7-4EC7-9274-1059FAFF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4945935"/>
        <c:axId val="1"/>
      </c:barChart>
      <c:catAx>
        <c:axId val="140494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494593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테이블14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렌즈 크기별 판매 분포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'판매 분포도 차트'!$C$76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'판매 분포도 차트'!$B$77:$B$89</c:f>
              <c:strCache>
                <c:ptCount val="12"/>
                <c:pt idx="0">
                  <c:v>G 20mm</c:v>
                </c:pt>
                <c:pt idx="1">
                  <c:v>M 20mm-motor</c:v>
                </c:pt>
                <c:pt idx="2">
                  <c:v>M 75mm-motor</c:v>
                </c:pt>
                <c:pt idx="3">
                  <c:v>M 8mm-motor</c:v>
                </c:pt>
                <c:pt idx="4">
                  <c:v>G 4.8mm</c:v>
                </c:pt>
                <c:pt idx="5">
                  <c:v>G 8mm</c:v>
                </c:pt>
                <c:pt idx="6">
                  <c:v>G 35mm</c:v>
                </c:pt>
                <c:pt idx="7">
                  <c:v>M 25mm-motor</c:v>
                </c:pt>
                <c:pt idx="8">
                  <c:v>A 8mm</c:v>
                </c:pt>
                <c:pt idx="9">
                  <c:v>A 4.7mm</c:v>
                </c:pt>
                <c:pt idx="10">
                  <c:v>Z 25-225mm-motor</c:v>
                </c:pt>
                <c:pt idx="11">
                  <c:v>A 35mm</c:v>
                </c:pt>
              </c:strCache>
            </c:strRef>
          </c:cat>
          <c:val>
            <c:numRef>
              <c:f>'판매 분포도 차트'!$C$77:$C$89</c:f>
              <c:numCache>
                <c:formatCode>General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11</c:v>
                </c:pt>
                <c:pt idx="3">
                  <c:v>1</c:v>
                </c:pt>
                <c:pt idx="4">
                  <c:v>3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5</c:v>
                </c:pt>
                <c:pt idx="9">
                  <c:v>10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B8-44BC-AE43-4FDBA2866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4935119"/>
        <c:axId val="1"/>
      </c:barChart>
      <c:catAx>
        <c:axId val="1404935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4935119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테이블19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해상도별 판매 분포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'판매 분포도 차트'!$Q$150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C0ED-40FA-8B4E-87E3D7C7D76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C0ED-40FA-8B4E-87E3D7C7D76E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'판매 분포도 차트'!$P$151:$P$153</c:f>
              <c:strCache>
                <c:ptCount val="2"/>
                <c:pt idx="0">
                  <c:v>QVGA</c:v>
                </c:pt>
                <c:pt idx="1">
                  <c:v>VGA</c:v>
                </c:pt>
              </c:strCache>
            </c:strRef>
          </c:cat>
          <c:val>
            <c:numRef>
              <c:f>'판매 분포도 차트'!$Q$151:$Q$153</c:f>
              <c:numCache>
                <c:formatCode>General</c:formatCode>
                <c:ptCount val="2"/>
                <c:pt idx="0">
                  <c:v>4</c:v>
                </c:pt>
                <c:pt idx="1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ED-40FA-8B4E-87E3D7C7D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테이블17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온도별 판매 분포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'판매 분포도 차트'!$Q$40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957C-4BAD-9D73-EFEF2876ADA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957C-4BAD-9D73-EFEF2876ADA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957C-4BAD-9D73-EFEF2876ADA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957C-4BAD-9D73-EFEF2876ADA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957C-4BAD-9D73-EFEF2876ADA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9-957C-4BAD-9D73-EFEF2876ADA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A-957C-4BAD-9D73-EFEF2876ADA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B-957C-4BAD-9D73-EFEF2876ADA0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'판매 분포도 차트'!$P$41:$P$45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Normal</c:v>
                </c:pt>
                <c:pt idx="3">
                  <c:v>(비어 있음)</c:v>
                </c:pt>
              </c:strCache>
            </c:strRef>
          </c:cat>
          <c:val>
            <c:numRef>
              <c:f>'판매 분포도 차트'!$Q$41:$Q$45</c:f>
              <c:numCache>
                <c:formatCode>General</c:formatCode>
                <c:ptCount val="4"/>
                <c:pt idx="0">
                  <c:v>6</c:v>
                </c:pt>
                <c:pt idx="1">
                  <c:v>5</c:v>
                </c:pt>
                <c:pt idx="2">
                  <c:v>13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7C-4BAD-9D73-EFEF2876A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테이블20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용도별 판매 분포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'판매 분포도 차트'!$Q$116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356C-4EDC-AB50-09BC4202EB7B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56C-4EDC-AB50-09BC4202EB7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356C-4EDC-AB50-09BC4202EB7B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'판매 분포도 차트'!$P$117:$P$119</c:f>
              <c:strCache>
                <c:ptCount val="2"/>
                <c:pt idx="0">
                  <c:v>Radiometric</c:v>
                </c:pt>
                <c:pt idx="1">
                  <c:v>Security</c:v>
                </c:pt>
              </c:strCache>
            </c:strRef>
          </c:cat>
          <c:val>
            <c:numRef>
              <c:f>'판매 분포도 차트'!$Q$117:$Q$119</c:f>
              <c:numCache>
                <c:formatCode>General</c:formatCode>
                <c:ptCount val="2"/>
                <c:pt idx="0">
                  <c:v>24</c:v>
                </c:pt>
                <c:pt idx="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6C-4EDC-AB50-09BC4202E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테이블22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월별 판매 분포</a:t>
            </a:r>
            <a:endParaRPr lang="en-US" altLang="ko-KR"/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'판매 분포도 차트'!$C$116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'판매 분포도 차트'!$B$117:$B$121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'판매 분포도 차트'!$C$117:$C$121</c:f>
              <c:numCache>
                <c:formatCode>General</c:formatCode>
                <c:ptCount val="4"/>
                <c:pt idx="0">
                  <c:v>16</c:v>
                </c:pt>
                <c:pt idx="1">
                  <c:v>16</c:v>
                </c:pt>
                <c:pt idx="2">
                  <c:v>14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1-48BB-9B59-521F1923B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4936783"/>
        <c:axId val="1"/>
      </c:barChart>
      <c:catAx>
        <c:axId val="140493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4936783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테이블23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월별 판매 분포 </a:t>
            </a:r>
            <a:r>
              <a:rPr lang="en-US" altLang="ko-KR"/>
              <a:t>2</a:t>
            </a:r>
            <a:endParaRPr lang="ko-KR" altLang="en-US"/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504D"/>
          </a:solidFill>
          <a:ln w="25400">
            <a:noFill/>
          </a:ln>
        </c:spPr>
      </c:pivotFmt>
      <c:pivotFmt>
        <c:idx val="2"/>
        <c:spPr>
          <a:solidFill>
            <a:srgbClr val="C0504D"/>
          </a:solidFill>
          <a:ln w="25400">
            <a:noFill/>
          </a:ln>
        </c:spPr>
      </c:pivotFmt>
      <c:pivotFmt>
        <c:idx val="3"/>
        <c:spPr>
          <a:solidFill>
            <a:srgbClr val="C0504D"/>
          </a:solidFill>
          <a:ln w="25400">
            <a:noFill/>
          </a:ln>
        </c:spPr>
      </c:pivotFmt>
      <c:pivotFmt>
        <c:idx val="4"/>
        <c:spPr>
          <a:solidFill>
            <a:srgbClr val="C0504D"/>
          </a:solidFill>
          <a:ln w="25400">
            <a:noFill/>
          </a:ln>
        </c:spPr>
      </c:pivotFmt>
      <c:pivotFmt>
        <c:idx val="5"/>
        <c:spPr>
          <a:solidFill>
            <a:srgbClr val="C0504D"/>
          </a:solidFill>
          <a:ln w="25400">
            <a:noFill/>
          </a:ln>
        </c:spPr>
      </c:pivotFmt>
      <c:pivotFmt>
        <c:idx val="6"/>
        <c:spPr>
          <a:solidFill>
            <a:srgbClr val="C0504D"/>
          </a:solidFill>
          <a:ln w="25400">
            <a:noFill/>
          </a:ln>
        </c:spPr>
      </c:pivotFmt>
      <c:pivotFmt>
        <c:idx val="7"/>
        <c:spPr>
          <a:solidFill>
            <a:srgbClr val="C0504D"/>
          </a:solidFill>
          <a:ln w="25400">
            <a:noFill/>
          </a:ln>
        </c:spPr>
      </c:pivotFmt>
      <c:pivotFmt>
        <c:idx val="8"/>
        <c:spPr>
          <a:solidFill>
            <a:srgbClr val="C0504D"/>
          </a:solidFill>
          <a:ln w="25400">
            <a:noFill/>
          </a:ln>
        </c:spPr>
      </c:pivotFmt>
      <c:pivotFmt>
        <c:idx val="9"/>
        <c:spPr>
          <a:solidFill>
            <a:srgbClr val="C0504D"/>
          </a:solidFill>
          <a:ln w="25400">
            <a:noFill/>
          </a:ln>
        </c:spPr>
      </c:pivotFmt>
      <c:pivotFmt>
        <c:idx val="10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0504D"/>
          </a:solidFill>
          <a:ln w="25400">
            <a:noFill/>
          </a:ln>
        </c:spPr>
      </c:pivotFmt>
      <c:pivotFmt>
        <c:idx val="12"/>
        <c:spPr>
          <a:solidFill>
            <a:srgbClr val="C0504D"/>
          </a:solidFill>
          <a:ln w="25400">
            <a:noFill/>
          </a:ln>
        </c:spPr>
      </c:pivotFmt>
      <c:pivotFmt>
        <c:idx val="13"/>
        <c:spPr>
          <a:solidFill>
            <a:srgbClr val="C0504D"/>
          </a:solidFill>
          <a:ln w="25400">
            <a:noFill/>
          </a:ln>
        </c:spPr>
      </c:pivotFmt>
      <c:pivotFmt>
        <c:idx val="14"/>
        <c:spPr>
          <a:solidFill>
            <a:srgbClr val="C0504D"/>
          </a:solidFill>
          <a:ln w="25400">
            <a:noFill/>
          </a:ln>
        </c:spPr>
      </c:pivotFmt>
      <c:pivotFmt>
        <c:idx val="15"/>
        <c:spPr>
          <a:solidFill>
            <a:srgbClr val="C0504D"/>
          </a:solidFill>
          <a:ln w="25400">
            <a:noFill/>
          </a:ln>
        </c:spPr>
      </c:pivotFmt>
      <c:pivotFmt>
        <c:idx val="16"/>
        <c:spPr>
          <a:solidFill>
            <a:srgbClr val="C0504D"/>
          </a:solidFill>
          <a:ln w="25400">
            <a:noFill/>
          </a:ln>
        </c:spPr>
      </c:pivotFmt>
      <c:pivotFmt>
        <c:idx val="17"/>
        <c:spPr>
          <a:solidFill>
            <a:srgbClr val="C0504D"/>
          </a:solidFill>
          <a:ln w="25400">
            <a:noFill/>
          </a:ln>
        </c:spPr>
      </c:pivotFmt>
      <c:pivotFmt>
        <c:idx val="18"/>
        <c:spPr>
          <a:solidFill>
            <a:srgbClr val="C0504D"/>
          </a:solidFill>
          <a:ln w="25400">
            <a:noFill/>
          </a:ln>
        </c:spPr>
      </c:pivotFmt>
      <c:pivotFmt>
        <c:idx val="19"/>
        <c:spPr>
          <a:solidFill>
            <a:srgbClr val="C0504D"/>
          </a:solidFill>
          <a:ln w="25400">
            <a:noFill/>
          </a:ln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'판매 분포도 차트'!$D$150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699-43A5-B83E-2A4059B525BA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699-43A5-B83E-2A4059B525BA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C699-43A5-B83E-2A4059B525BA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699-43A5-B83E-2A4059B525BA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699-43A5-B83E-2A4059B525BA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C699-43A5-B83E-2A4059B525BA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C699-43A5-B83E-2A4059B525BA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699-43A5-B83E-2A4059B525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C699-43A5-B83E-2A4059B525BA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'판매 분포도 차트'!$B$151:$C$161</c:f>
              <c:multiLvlStrCache>
                <c:ptCount val="6"/>
                <c:lvl>
                  <c:pt idx="0">
                    <c:v>해외</c:v>
                  </c:pt>
                  <c:pt idx="1">
                    <c:v>국내</c:v>
                  </c:pt>
                  <c:pt idx="2">
                    <c:v>해외</c:v>
                  </c:pt>
                  <c:pt idx="3">
                    <c:v>국내</c:v>
                  </c:pt>
                  <c:pt idx="4">
                    <c:v>해외</c:v>
                  </c:pt>
                  <c:pt idx="5">
                    <c:v>해외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3">
                    <c:v>3</c:v>
                  </c:pt>
                  <c:pt idx="5">
                    <c:v>4</c:v>
                  </c:pt>
                </c:lvl>
              </c:multiLvlStrCache>
            </c:multiLvlStrRef>
          </c:cat>
          <c:val>
            <c:numRef>
              <c:f>'판매 분포도 차트'!$D$151:$D$161</c:f>
              <c:numCache>
                <c:formatCode>General</c:formatCode>
                <c:ptCount val="6"/>
                <c:pt idx="0">
                  <c:v>16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699-43A5-B83E-2A4059B52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4953423"/>
        <c:axId val="1"/>
      </c:barChart>
      <c:catAx>
        <c:axId val="140495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4953423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해외 국가별 판매 분포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F81BD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'판매 분포도 차트'!$C$4:$C$5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cat>
            <c:strRef>
              <c:f>'판매 분포도 차트'!$B$6:$B$7</c:f>
              <c:strCache>
                <c:ptCount val="1"/>
                <c:pt idx="0">
                  <c:v>(비어 있음)</c:v>
                </c:pt>
              </c:strCache>
            </c:strRef>
          </c:cat>
          <c:val>
            <c:numRef>
              <c:f>'판매 분포도 차트'!$C$6:$C$7</c:f>
              <c:numCache>
                <c:formatCode>General</c:formatCode>
                <c:ptCount val="1"/>
                <c:pt idx="0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5F-4B23-8AEC-91B23E5E2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04946351"/>
        <c:axId val="1"/>
      </c:barChart>
      <c:catAx>
        <c:axId val="1404946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494635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[COX_Sales list.xlsm]판매 분포도 차트!피벗 테이블21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카메라 종류별 판매 분포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'판매 분포도 차트'!$Q$76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6EA6-4025-A0E6-4561CAF548F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6EA6-4025-A0E6-4561CAF548F6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'판매 분포도 차트'!$P$77:$P$79</c:f>
              <c:strCache>
                <c:ptCount val="2"/>
                <c:pt idx="0">
                  <c:v>Analgoue</c:v>
                </c:pt>
                <c:pt idx="1">
                  <c:v>Network</c:v>
                </c:pt>
              </c:strCache>
            </c:strRef>
          </c:cat>
          <c:val>
            <c:numRef>
              <c:f>'판매 분포도 차트'!$Q$77:$Q$79</c:f>
              <c:numCache>
                <c:formatCode>General</c:formatCode>
                <c:ptCount val="2"/>
                <c:pt idx="0">
                  <c:v>37</c:v>
                </c:pt>
                <c:pt idx="1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A6-4025-A0E6-4561CAF54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750794</xdr:colOff>
      <xdr:row>35</xdr:row>
      <xdr:rowOff>0</xdr:rowOff>
    </xdr:from>
    <xdr:to>
      <xdr:col>6</xdr:col>
      <xdr:colOff>1064558</xdr:colOff>
      <xdr:row>40</xdr:row>
      <xdr:rowOff>84948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F2BFDA6-94C6-4E0B-B132-6DFB9C8C5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9118" y="10589559"/>
          <a:ext cx="2498911" cy="1328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33617</xdr:colOff>
      <xdr:row>37</xdr:row>
      <xdr:rowOff>22411</xdr:rowOff>
    </xdr:from>
    <xdr:to>
      <xdr:col>6</xdr:col>
      <xdr:colOff>795616</xdr:colOff>
      <xdr:row>42</xdr:row>
      <xdr:rowOff>107359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C09483D-786F-421C-A413-4D94652B8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0467" y="10014136"/>
          <a:ext cx="2492188" cy="1323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2667000</xdr:colOff>
      <xdr:row>38</xdr:row>
      <xdr:rowOff>145678</xdr:rowOff>
    </xdr:from>
    <xdr:to>
      <xdr:col>6</xdr:col>
      <xdr:colOff>907675</xdr:colOff>
      <xdr:row>44</xdr:row>
      <xdr:rowOff>185803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1F6B986-8A74-4E61-875A-FEC033064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0029" y="12326472"/>
          <a:ext cx="2498911" cy="13175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114300</xdr:rowOff>
        </xdr:from>
        <xdr:to>
          <xdr:col>6</xdr:col>
          <xdr:colOff>933450</xdr:colOff>
          <xdr:row>4</xdr:row>
          <xdr:rowOff>133654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69862B19-57FB-B88C-56EC-52BD83651BA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드롭다운!$H$2:$L$5" spid="_x0000_s853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67025" y="114300"/>
              <a:ext cx="3324225" cy="85755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24</xdr:row>
          <xdr:rowOff>200025</xdr:rowOff>
        </xdr:from>
        <xdr:to>
          <xdr:col>6</xdr:col>
          <xdr:colOff>952500</xdr:colOff>
          <xdr:row>26</xdr:row>
          <xdr:rowOff>0</xdr:rowOff>
        </xdr:to>
        <xdr:pic>
          <xdr:nvPicPr>
            <xdr:cNvPr id="8" name="그림 7">
              <a:extLst>
                <a:ext uri="{FF2B5EF4-FFF2-40B4-BE49-F238E27FC236}">
                  <a16:creationId xmlns:a16="http://schemas.microsoft.com/office/drawing/2014/main" id="{DEA9D304-DAF0-F5C3-4182-C6483079FD2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드롭다운!$N$2:$P$2" spid="_x0000_s8532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029075" y="8067675"/>
              <a:ext cx="2181225" cy="219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15689</xdr:colOff>
      <xdr:row>0</xdr:row>
      <xdr:rowOff>0</xdr:rowOff>
    </xdr:from>
    <xdr:to>
      <xdr:col>24</xdr:col>
      <xdr:colOff>190500</xdr:colOff>
      <xdr:row>29</xdr:row>
      <xdr:rowOff>104775</xdr:rowOff>
    </xdr:to>
    <xdr:graphicFrame macro="">
      <xdr:nvGraphicFramePr>
        <xdr:cNvPr id="5439717" name="차트 2">
          <a:extLst>
            <a:ext uri="{FF2B5EF4-FFF2-40B4-BE49-F238E27FC236}">
              <a16:creationId xmlns:a16="http://schemas.microsoft.com/office/drawing/2014/main" id="{5E7D63F9-5445-49F7-96BA-0E93C625EE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57</xdr:row>
      <xdr:rowOff>28575</xdr:rowOff>
    </xdr:from>
    <xdr:to>
      <xdr:col>3</xdr:col>
      <xdr:colOff>1019175</xdr:colOff>
      <xdr:row>68</xdr:row>
      <xdr:rowOff>200025</xdr:rowOff>
    </xdr:to>
    <xdr:graphicFrame macro="">
      <xdr:nvGraphicFramePr>
        <xdr:cNvPr id="5439721" name="차트 3">
          <a:extLst>
            <a:ext uri="{FF2B5EF4-FFF2-40B4-BE49-F238E27FC236}">
              <a16:creationId xmlns:a16="http://schemas.microsoft.com/office/drawing/2014/main" id="{FC2E09B1-8A40-472B-A95A-7FCC4A722B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19050</xdr:colOff>
      <xdr:row>57</xdr:row>
      <xdr:rowOff>19050</xdr:rowOff>
    </xdr:from>
    <xdr:to>
      <xdr:col>8</xdr:col>
      <xdr:colOff>1209675</xdr:colOff>
      <xdr:row>68</xdr:row>
      <xdr:rowOff>200025</xdr:rowOff>
    </xdr:to>
    <xdr:graphicFrame macro="">
      <xdr:nvGraphicFramePr>
        <xdr:cNvPr id="5439722" name="차트 3">
          <a:extLst>
            <a:ext uri="{FF2B5EF4-FFF2-40B4-BE49-F238E27FC236}">
              <a16:creationId xmlns:a16="http://schemas.microsoft.com/office/drawing/2014/main" id="{78A0F03D-8E65-4923-A282-C1910A5A9B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476249</xdr:colOff>
      <xdr:row>40</xdr:row>
      <xdr:rowOff>34737</xdr:rowOff>
    </xdr:from>
    <xdr:to>
      <xdr:col>3</xdr:col>
      <xdr:colOff>1731308</xdr:colOff>
      <xdr:row>71</xdr:row>
      <xdr:rowOff>10084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FF6BDC4B-37BE-F358-4CCA-A00F934123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521073</xdr:colOff>
      <xdr:row>40</xdr:row>
      <xdr:rowOff>146797</xdr:rowOff>
    </xdr:from>
    <xdr:to>
      <xdr:col>13</xdr:col>
      <xdr:colOff>162485</xdr:colOff>
      <xdr:row>71</xdr:row>
      <xdr:rowOff>122144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6683BB82-ABF1-2F7B-7824-D218620B98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16808</xdr:colOff>
      <xdr:row>40</xdr:row>
      <xdr:rowOff>158003</xdr:rowOff>
    </xdr:from>
    <xdr:to>
      <xdr:col>21</xdr:col>
      <xdr:colOff>476249</xdr:colOff>
      <xdr:row>71</xdr:row>
      <xdr:rowOff>133350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C1F61431-CDF8-D745-939C-959FD2C109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66675</xdr:colOff>
      <xdr:row>2</xdr:row>
      <xdr:rowOff>161925</xdr:rowOff>
    </xdr:from>
    <xdr:to>
      <xdr:col>27</xdr:col>
      <xdr:colOff>390525</xdr:colOff>
      <xdr:row>19</xdr:row>
      <xdr:rowOff>142875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152E4A0-D2E9-4FD4-90DB-6CA8E84BD9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</xdr:colOff>
      <xdr:row>38</xdr:row>
      <xdr:rowOff>200025</xdr:rowOff>
    </xdr:from>
    <xdr:to>
      <xdr:col>13</xdr:col>
      <xdr:colOff>371475</xdr:colOff>
      <xdr:row>58</xdr:row>
      <xdr:rowOff>180975</xdr:rowOff>
    </xdr:to>
    <xdr:graphicFrame macro="">
      <xdr:nvGraphicFramePr>
        <xdr:cNvPr id="3" name="차트 4">
          <a:extLst>
            <a:ext uri="{FF2B5EF4-FFF2-40B4-BE49-F238E27FC236}">
              <a16:creationId xmlns:a16="http://schemas.microsoft.com/office/drawing/2014/main" id="{EF06700E-0841-45A4-B3D9-5307806AA4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76200</xdr:colOff>
      <xdr:row>75</xdr:row>
      <xdr:rowOff>9525</xdr:rowOff>
    </xdr:from>
    <xdr:to>
      <xdr:col>13</xdr:col>
      <xdr:colOff>400050</xdr:colOff>
      <xdr:row>99</xdr:row>
      <xdr:rowOff>9525</xdr:rowOff>
    </xdr:to>
    <xdr:graphicFrame macro="">
      <xdr:nvGraphicFramePr>
        <xdr:cNvPr id="4" name="차트 5">
          <a:extLst>
            <a:ext uri="{FF2B5EF4-FFF2-40B4-BE49-F238E27FC236}">
              <a16:creationId xmlns:a16="http://schemas.microsoft.com/office/drawing/2014/main" id="{12C6A317-8E8F-4CCA-8467-D6D90E5246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148</xdr:row>
      <xdr:rowOff>200025</xdr:rowOff>
    </xdr:from>
    <xdr:to>
      <xdr:col>27</xdr:col>
      <xdr:colOff>390525</xdr:colOff>
      <xdr:row>165</xdr:row>
      <xdr:rowOff>171450</xdr:rowOff>
    </xdr:to>
    <xdr:graphicFrame macro="">
      <xdr:nvGraphicFramePr>
        <xdr:cNvPr id="5" name="차트 6">
          <a:extLst>
            <a:ext uri="{FF2B5EF4-FFF2-40B4-BE49-F238E27FC236}">
              <a16:creationId xmlns:a16="http://schemas.microsoft.com/office/drawing/2014/main" id="{91288DC5-E4CD-4AB1-9E7F-B6D1A210B3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200025</xdr:colOff>
      <xdr:row>39</xdr:row>
      <xdr:rowOff>0</xdr:rowOff>
    </xdr:from>
    <xdr:to>
      <xdr:col>27</xdr:col>
      <xdr:colOff>523875</xdr:colOff>
      <xdr:row>58</xdr:row>
      <xdr:rowOff>200025</xdr:rowOff>
    </xdr:to>
    <xdr:graphicFrame macro="">
      <xdr:nvGraphicFramePr>
        <xdr:cNvPr id="7" name="차트 9">
          <a:extLst>
            <a:ext uri="{FF2B5EF4-FFF2-40B4-BE49-F238E27FC236}">
              <a16:creationId xmlns:a16="http://schemas.microsoft.com/office/drawing/2014/main" id="{11F576CE-2A7B-4674-AAC3-03EBFAF881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152400</xdr:colOff>
      <xdr:row>115</xdr:row>
      <xdr:rowOff>9525</xdr:rowOff>
    </xdr:from>
    <xdr:to>
      <xdr:col>27</xdr:col>
      <xdr:colOff>485775</xdr:colOff>
      <xdr:row>139</xdr:row>
      <xdr:rowOff>161925</xdr:rowOff>
    </xdr:to>
    <xdr:graphicFrame macro="">
      <xdr:nvGraphicFramePr>
        <xdr:cNvPr id="9" name="차트 11">
          <a:extLst>
            <a:ext uri="{FF2B5EF4-FFF2-40B4-BE49-F238E27FC236}">
              <a16:creationId xmlns:a16="http://schemas.microsoft.com/office/drawing/2014/main" id="{D3661AA2-C3DF-4370-8193-F50AF0B82E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152400</xdr:colOff>
      <xdr:row>115</xdr:row>
      <xdr:rowOff>95250</xdr:rowOff>
    </xdr:from>
    <xdr:to>
      <xdr:col>13</xdr:col>
      <xdr:colOff>476250</xdr:colOff>
      <xdr:row>132</xdr:row>
      <xdr:rowOff>76200</xdr:rowOff>
    </xdr:to>
    <xdr:graphicFrame macro="">
      <xdr:nvGraphicFramePr>
        <xdr:cNvPr id="10" name="차트 12">
          <a:extLst>
            <a:ext uri="{FF2B5EF4-FFF2-40B4-BE49-F238E27FC236}">
              <a16:creationId xmlns:a16="http://schemas.microsoft.com/office/drawing/2014/main" id="{6B1418B4-FAEC-4A2C-91F0-9254CD857A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142875</xdr:colOff>
      <xdr:row>148</xdr:row>
      <xdr:rowOff>171450</xdr:rowOff>
    </xdr:from>
    <xdr:to>
      <xdr:col>13</xdr:col>
      <xdr:colOff>476250</xdr:colOff>
      <xdr:row>178</xdr:row>
      <xdr:rowOff>57150</xdr:rowOff>
    </xdr:to>
    <xdr:graphicFrame macro="">
      <xdr:nvGraphicFramePr>
        <xdr:cNvPr id="11" name="차트 13">
          <a:extLst>
            <a:ext uri="{FF2B5EF4-FFF2-40B4-BE49-F238E27FC236}">
              <a16:creationId xmlns:a16="http://schemas.microsoft.com/office/drawing/2014/main" id="{BB2FB9C0-385B-41F9-9CDC-37637587A6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47625</xdr:colOff>
      <xdr:row>2</xdr:row>
      <xdr:rowOff>133350</xdr:rowOff>
    </xdr:from>
    <xdr:to>
      <xdr:col>13</xdr:col>
      <xdr:colOff>466725</xdr:colOff>
      <xdr:row>32</xdr:row>
      <xdr:rowOff>19050</xdr:rowOff>
    </xdr:to>
    <xdr:graphicFrame macro="">
      <xdr:nvGraphicFramePr>
        <xdr:cNvPr id="12" name="차트 2">
          <a:extLst>
            <a:ext uri="{FF2B5EF4-FFF2-40B4-BE49-F238E27FC236}">
              <a16:creationId xmlns:a16="http://schemas.microsoft.com/office/drawing/2014/main" id="{FB516D2C-E810-4398-B451-09DB096706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212912</xdr:colOff>
      <xdr:row>75</xdr:row>
      <xdr:rowOff>33617</xdr:rowOff>
    </xdr:from>
    <xdr:to>
      <xdr:col>27</xdr:col>
      <xdr:colOff>536762</xdr:colOff>
      <xdr:row>91</xdr:row>
      <xdr:rowOff>25773</xdr:rowOff>
    </xdr:to>
    <xdr:graphicFrame macro="">
      <xdr:nvGraphicFramePr>
        <xdr:cNvPr id="13" name="차트 7">
          <a:extLst>
            <a:ext uri="{FF2B5EF4-FFF2-40B4-BE49-F238E27FC236}">
              <a16:creationId xmlns:a16="http://schemas.microsoft.com/office/drawing/2014/main" id="{76C0FEC2-F4D6-45C8-A66B-CB8F65C4A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min Ha" refreshedDate="45439.448920254632" createdVersion="6" refreshedVersion="8" recordCount="25" xr:uid="{00000000-000A-0000-FFFF-FFFF19000000}">
  <cacheSource type="worksheet">
    <worksheetSource name="tbl_qty"/>
  </cacheSource>
  <cacheFields count="12">
    <cacheField name="구분" numFmtId="0">
      <sharedItems containsBlank="1" count="3">
        <s v="해외"/>
        <s v="국내"/>
        <m u="1"/>
      </sharedItems>
    </cacheField>
    <cacheField name="월" numFmtId="0">
      <sharedItems containsSemiMixedTypes="0" containsString="0" containsNumber="1" containsInteger="1" minValue="1" maxValue="12" count="12">
        <n v="1"/>
        <n v="2"/>
        <n v="3"/>
        <n v="4"/>
        <n v="5" u="1"/>
        <n v="6" u="1"/>
        <n v="7" u="1"/>
        <n v="8" u="1"/>
        <n v="9" u="1"/>
        <n v="10" u="1"/>
        <n v="11" u="1"/>
        <n v="12" u="1"/>
      </sharedItems>
    </cacheField>
    <cacheField name="바이어" numFmtId="0">
      <sharedItems/>
    </cacheField>
    <cacheField name="국가" numFmtId="0">
      <sharedItems containsBlank="1" count="23">
        <m/>
        <s v="Korea" u="1"/>
        <s v="Italy" u="1"/>
        <s v="Israel" u="1"/>
        <s v="UK" u="1"/>
        <s v="Kazakhstan" u="1"/>
        <s v="Austrailia" u="1"/>
        <s v="Hongkong" u="1"/>
        <s v="USA" u="1"/>
        <s v="China" u="1"/>
        <s v="Malaysia" u="1"/>
        <s v="France" u="1"/>
        <s v="Singapore" u="1"/>
        <s v="India" u="1"/>
        <s v="Sweden" u="1"/>
        <s v="Spain" u="1"/>
        <s v="Poland" u="1"/>
        <s v="Chille" u="1"/>
        <s v="Russia" u="1"/>
        <s v="Australia" u="1"/>
        <s v="Turkey" u="1"/>
        <s v="United Kingdom" u="1"/>
        <s v="Japan" u="1"/>
      </sharedItems>
    </cacheField>
    <cacheField name="모델" numFmtId="0">
      <sharedItems containsBlank="1" count="29">
        <s v="CG320IP"/>
        <s v="CG600-NM"/>
        <s v="CG640"/>
        <s v="CZ600IP"/>
        <s v="CG320"/>
        <s v="CG600IP"/>
        <s v="CG640IP"/>
        <s v="CZ320"/>
        <s v="CG600"/>
        <s v="V61"/>
        <s v="D-30" u="1"/>
        <m u="1"/>
        <s v="CG300IP" u="1"/>
        <s v="CG300" u="1"/>
        <s v="CN300" u="1"/>
        <s v="DO-60" u="1"/>
        <s v="CZ1000IP" u="1"/>
        <s v="LTEV01" u="1"/>
        <s v="A 19mm" u="1"/>
        <s v="CN600" u="1"/>
        <s v="CZ600" u="1"/>
        <s v="Repair" u="1"/>
        <s v="CF320B" u="1"/>
        <s v="AIO320B" u="1"/>
        <s v="CG300-NM" u="1"/>
        <s v="CZ640IP" u="1"/>
        <s v="CF320" u="1"/>
        <s v="Freight" u="1"/>
        <s v="CZ320IP" u="1"/>
      </sharedItems>
    </cacheField>
    <cacheField name="렌즈분류" numFmtId="0">
      <sharedItems containsBlank="1" count="47">
        <s v="G 8mm"/>
        <s v="A 35mm"/>
        <s v="A 4.7mm"/>
        <s v="A 8mm"/>
        <s v="G 20mm"/>
        <s v="G 4.8mm"/>
        <s v="M 75mm-motor"/>
        <s v="M 20mm-motor"/>
        <s v="Z 25-225mm-motor"/>
        <s v="G 35mm"/>
        <s v="M 25mm-motor"/>
        <s v="M 8mm-motor"/>
        <s v="A 4.0" u="1"/>
        <m u="1"/>
        <s v="M 12mm-motor" u="1"/>
        <s v="M 35mm-motor" u="1"/>
        <s v="M 4.8mm-motor" u="1"/>
        <s v="x" u="1"/>
        <s v="M 100mm-motor" u="1"/>
        <s v="A 8mm_" u="1"/>
        <s v="A 8.1mm" u="1"/>
        <s v="M 130mm-motor" u="1"/>
        <s v="G 75mm" u="1"/>
        <s v="G 100mm" u="1"/>
        <s v="A 19mm" u="1"/>
        <s v="M 50mm-motor" u="1"/>
        <s v="M 60mm-motor" u="1"/>
        <s v="module only" u="1"/>
        <s v="M 150mm-motor" u="1"/>
        <s v="Z 25-100mm-motor zoom " u="1"/>
        <s v="M 4.8mm" u="1"/>
        <s v="Micro-objective 0.6" u="1"/>
        <s v="A 7.1mm" u="1"/>
        <s v="MF 100mm-motor" u="1"/>
        <s v="Z 25-225mm motor zoom" u="1"/>
        <s v="A 4.0mm" u="1"/>
        <s v="Window 60x4t" u="1"/>
        <s v="_x0009_A 7.1mm" u="1"/>
        <s v="x0.6 micro objective" u="1"/>
        <s v="G 12mm" u="1"/>
        <s v="body only" u="1"/>
        <s v="A 7.5mm" u="1"/>
        <s v="M 300mm-motor" u="1"/>
        <s v="A 15mm" u="1"/>
        <s v="G 50mm" u="1"/>
        <s v="A 4.3mm" u="1"/>
        <s v="M 40mm-motor" u="1"/>
      </sharedItems>
    </cacheField>
    <cacheField name="옵션" numFmtId="0">
      <sharedItems containsBlank="1" count="10">
        <s v="Normal"/>
        <m/>
        <s v="Medium"/>
        <s v="High"/>
        <s v="x" u="1"/>
        <s v="medical2" u="1"/>
        <s v="no" u="1"/>
        <s v="medial2" u="1"/>
        <s v="medical1" u="1"/>
        <s v="meidical2" u="1"/>
      </sharedItems>
    </cacheField>
    <cacheField name="Qty" numFmtId="0">
      <sharedItems containsSemiMixedTypes="0" containsString="0" containsNumber="1" containsInteger="1" minValue="1" maxValue="8"/>
    </cacheField>
    <cacheField name="해상도" numFmtId="0">
      <sharedItems containsBlank="1" count="5">
        <s v="QVGA"/>
        <s v="VGA"/>
        <m u="1"/>
        <s v="XGA" u="1"/>
        <e v="#N/A" u="1"/>
      </sharedItems>
    </cacheField>
    <cacheField name="용도" numFmtId="0">
      <sharedItems containsBlank="1" count="6">
        <s v="Radiometric"/>
        <s v="Security"/>
        <m u="1"/>
        <s v="Night vision" u="1"/>
        <e v="#N/A" u="1"/>
        <s v="Fever screening" u="1"/>
      </sharedItems>
    </cacheField>
    <cacheField name="Purpose" numFmtId="0">
      <sharedItems containsBlank="1" count="4">
        <s v="Network"/>
        <s v="Analgoue"/>
        <m u="1"/>
        <e v="#N/A" u="1"/>
      </sharedItems>
    </cacheField>
    <cacheField name="센서구분" numFmtId="0">
      <sharedItems containsSemiMixedTypes="0" containsString="0" containsNumber="1" containsInteger="1" minValue="12" maxValue="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min Ha" refreshedDate="45965.446199074075" createdVersion="6" refreshedVersion="8" recordCount="12" xr:uid="{00000000-000A-0000-FFFF-FFFF18000000}">
  <cacheSource type="worksheet">
    <worksheetSource ref="A1:D13" sheet="2025매출차트"/>
  </cacheSource>
  <cacheFields count="4">
    <cacheField name="윌별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해외 매출액" numFmtId="177">
      <sharedItems containsSemiMixedTypes="0" containsString="0" containsNumber="1" minValue="0" maxValue="115386199.68000001"/>
    </cacheField>
    <cacheField name="국내 매출액" numFmtId="177">
      <sharedItems containsSemiMixedTypes="0" containsString="0" containsNumber="1" containsInteger="1" minValue="0" maxValue="275130300"/>
    </cacheField>
    <cacheField name="국내외 카메라 수량" numFmtId="181">
      <sharedItems containsSemiMixedTypes="0" containsString="0" containsNumber="1" containsInteger="1" minValue="0" maxValue="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x v="0"/>
    <s v="Global Proof S.r.l."/>
    <x v="0"/>
    <x v="0"/>
    <x v="0"/>
    <x v="0"/>
    <n v="1"/>
    <x v="0"/>
    <x v="0"/>
    <x v="0"/>
    <n v="17"/>
  </r>
  <r>
    <x v="0"/>
    <x v="0"/>
    <s v="Videoset"/>
    <x v="0"/>
    <x v="1"/>
    <x v="1"/>
    <x v="1"/>
    <n v="2"/>
    <x v="1"/>
    <x v="1"/>
    <x v="1"/>
    <n v="17"/>
  </r>
  <r>
    <x v="0"/>
    <x v="0"/>
    <s v="Videoset"/>
    <x v="0"/>
    <x v="1"/>
    <x v="2"/>
    <x v="1"/>
    <n v="7"/>
    <x v="1"/>
    <x v="1"/>
    <x v="1"/>
    <n v="17"/>
  </r>
  <r>
    <x v="0"/>
    <x v="0"/>
    <s v="Videoset"/>
    <x v="0"/>
    <x v="1"/>
    <x v="3"/>
    <x v="1"/>
    <n v="4"/>
    <x v="1"/>
    <x v="1"/>
    <x v="1"/>
    <n v="17"/>
  </r>
  <r>
    <x v="0"/>
    <x v="0"/>
    <s v="Focus 2000 Infrared Ltd"/>
    <x v="0"/>
    <x v="2"/>
    <x v="0"/>
    <x v="2"/>
    <n v="2"/>
    <x v="1"/>
    <x v="0"/>
    <x v="1"/>
    <n v="17"/>
  </r>
  <r>
    <x v="0"/>
    <x v="1"/>
    <s v="OpteamX Ltd."/>
    <x v="0"/>
    <x v="3"/>
    <x v="3"/>
    <x v="1"/>
    <n v="1"/>
    <x v="1"/>
    <x v="1"/>
    <x v="0"/>
    <n v="12"/>
  </r>
  <r>
    <x v="0"/>
    <x v="1"/>
    <s v="Pergam Kazakhstan"/>
    <x v="0"/>
    <x v="2"/>
    <x v="4"/>
    <x v="0"/>
    <n v="3"/>
    <x v="1"/>
    <x v="0"/>
    <x v="1"/>
    <n v="17"/>
  </r>
  <r>
    <x v="0"/>
    <x v="1"/>
    <s v="Videoset"/>
    <x v="0"/>
    <x v="1"/>
    <x v="2"/>
    <x v="1"/>
    <n v="3"/>
    <x v="1"/>
    <x v="1"/>
    <x v="1"/>
    <n v="17"/>
  </r>
  <r>
    <x v="0"/>
    <x v="2"/>
    <s v="Raygen Resources PTY Ltd."/>
    <x v="0"/>
    <x v="2"/>
    <x v="4"/>
    <x v="3"/>
    <n v="1"/>
    <x v="1"/>
    <x v="0"/>
    <x v="1"/>
    <n v="17"/>
  </r>
  <r>
    <x v="0"/>
    <x v="2"/>
    <s v="Focus 2000 Infrared Ltd"/>
    <x v="0"/>
    <x v="4"/>
    <x v="0"/>
    <x v="2"/>
    <n v="1"/>
    <x v="0"/>
    <x v="0"/>
    <x v="1"/>
    <n v="17"/>
  </r>
  <r>
    <x v="0"/>
    <x v="2"/>
    <s v="Focus 2000 Infrared Ltd"/>
    <x v="0"/>
    <x v="2"/>
    <x v="5"/>
    <x v="2"/>
    <n v="1"/>
    <x v="1"/>
    <x v="0"/>
    <x v="1"/>
    <n v="17"/>
  </r>
  <r>
    <x v="0"/>
    <x v="2"/>
    <s v="Focus 2000 Infrared Ltd"/>
    <x v="0"/>
    <x v="2"/>
    <x v="5"/>
    <x v="0"/>
    <n v="2"/>
    <x v="1"/>
    <x v="0"/>
    <x v="1"/>
    <n v="17"/>
  </r>
  <r>
    <x v="0"/>
    <x v="2"/>
    <s v="Focus 2000 Infrared Ltd"/>
    <x v="0"/>
    <x v="2"/>
    <x v="0"/>
    <x v="0"/>
    <n v="2"/>
    <x v="1"/>
    <x v="0"/>
    <x v="1"/>
    <n v="17"/>
  </r>
  <r>
    <x v="1"/>
    <x v="1"/>
    <s v="주식회사 프로아테크"/>
    <x v="0"/>
    <x v="5"/>
    <x v="6"/>
    <x v="1"/>
    <n v="8"/>
    <x v="1"/>
    <x v="1"/>
    <x v="0"/>
    <n v="17"/>
  </r>
  <r>
    <x v="1"/>
    <x v="1"/>
    <s v="주식회사 프로아테크"/>
    <x v="0"/>
    <x v="6"/>
    <x v="7"/>
    <x v="0"/>
    <n v="1"/>
    <x v="1"/>
    <x v="0"/>
    <x v="0"/>
    <n v="17"/>
  </r>
  <r>
    <x v="1"/>
    <x v="2"/>
    <s v="화신텍시스템(주)"/>
    <x v="0"/>
    <x v="7"/>
    <x v="4"/>
    <x v="3"/>
    <n v="1"/>
    <x v="0"/>
    <x v="0"/>
    <x v="1"/>
    <n v="12"/>
  </r>
  <r>
    <x v="1"/>
    <x v="2"/>
    <s v="15사단(6685부대)"/>
    <x v="0"/>
    <x v="8"/>
    <x v="6"/>
    <x v="1"/>
    <n v="1"/>
    <x v="1"/>
    <x v="1"/>
    <x v="1"/>
    <n v="17"/>
  </r>
  <r>
    <x v="1"/>
    <x v="2"/>
    <s v="7사단"/>
    <x v="0"/>
    <x v="8"/>
    <x v="6"/>
    <x v="1"/>
    <n v="1"/>
    <x v="1"/>
    <x v="1"/>
    <x v="1"/>
    <n v="17"/>
  </r>
  <r>
    <x v="1"/>
    <x v="2"/>
    <s v="루트비전"/>
    <x v="0"/>
    <x v="9"/>
    <x v="8"/>
    <x v="1"/>
    <n v="1"/>
    <x v="1"/>
    <x v="1"/>
    <x v="0"/>
    <n v="12"/>
  </r>
  <r>
    <x v="1"/>
    <x v="2"/>
    <s v="주식회사 프로아테크"/>
    <x v="0"/>
    <x v="6"/>
    <x v="7"/>
    <x v="0"/>
    <n v="2"/>
    <x v="1"/>
    <x v="0"/>
    <x v="0"/>
    <n v="17"/>
  </r>
  <r>
    <x v="1"/>
    <x v="2"/>
    <s v="7사단"/>
    <x v="0"/>
    <x v="8"/>
    <x v="6"/>
    <x v="1"/>
    <n v="1"/>
    <x v="1"/>
    <x v="1"/>
    <x v="1"/>
    <n v="17"/>
  </r>
  <r>
    <x v="0"/>
    <x v="3"/>
    <s v="Pergam Kazakhstan"/>
    <x v="0"/>
    <x v="2"/>
    <x v="4"/>
    <x v="3"/>
    <n v="1"/>
    <x v="1"/>
    <x v="0"/>
    <x v="1"/>
    <n v="17"/>
  </r>
  <r>
    <x v="0"/>
    <x v="3"/>
    <s v="Pergam Kazakhstan"/>
    <x v="0"/>
    <x v="2"/>
    <x v="9"/>
    <x v="3"/>
    <n v="3"/>
    <x v="1"/>
    <x v="0"/>
    <x v="1"/>
    <n v="17"/>
  </r>
  <r>
    <x v="0"/>
    <x v="3"/>
    <s v="Ventionex Innovations Sdn Bhd"/>
    <x v="0"/>
    <x v="6"/>
    <x v="10"/>
    <x v="0"/>
    <n v="2"/>
    <x v="1"/>
    <x v="0"/>
    <x v="0"/>
    <n v="17"/>
  </r>
  <r>
    <x v="0"/>
    <x v="3"/>
    <s v="Focus 2000 Infrared Ltd"/>
    <x v="0"/>
    <x v="4"/>
    <x v="11"/>
    <x v="2"/>
    <n v="1"/>
    <x v="0"/>
    <x v="0"/>
    <x v="1"/>
    <n v="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57611313.019999996"/>
    <n v="12146000"/>
    <n v="6"/>
  </r>
  <r>
    <x v="1"/>
    <n v="10639811.300000001"/>
    <n v="275130300"/>
    <n v="19"/>
  </r>
  <r>
    <x v="2"/>
    <n v="50021188.800000004"/>
    <n v="92458000"/>
    <n v="26"/>
  </r>
  <r>
    <x v="3"/>
    <n v="115386199.68000001"/>
    <n v="153454000"/>
    <n v="23"/>
  </r>
  <r>
    <x v="4"/>
    <n v="28969359.199999999"/>
    <n v="48956000"/>
    <n v="13"/>
  </r>
  <r>
    <x v="5"/>
    <n v="100586649.59999999"/>
    <n v="39979298"/>
    <n v="28"/>
  </r>
  <r>
    <x v="6"/>
    <n v="98942401.640000001"/>
    <n v="1600000"/>
    <n v="24"/>
  </r>
  <r>
    <x v="7"/>
    <n v="62600653.535999998"/>
    <n v="36880384"/>
    <n v="18"/>
  </r>
  <r>
    <x v="8"/>
    <n v="93875280.631999984"/>
    <n v="2300000"/>
    <n v="18"/>
  </r>
  <r>
    <x v="9"/>
    <n v="15965719.92"/>
    <n v="66583600"/>
    <n v="18"/>
  </r>
  <r>
    <x v="10"/>
    <n v="0"/>
    <n v="70000000"/>
    <n v="0"/>
  </r>
  <r>
    <x v="11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52DEBB-6BA7-41B4-BFA6-DE97337E2C78}" name="피벗 테이블4" cacheId="0" applyNumberFormats="0" applyBorderFormats="0" applyFontFormats="0" applyPatternFormats="0" applyAlignmentFormats="0" applyWidthHeightFormats="1" dataCaption="데이터" missingCaption="0" updatedVersion="8" minRefreshableVersion="3" showMemberPropertyTips="0" useAutoFormatting="1" itemPrintTitles="1" mergeItem="1" createdVersion="6" indent="0" compact="0" compactData="0" chartFormat="3">
  <location ref="P88:S94" firstHeaderRow="1" firstDataRow="2" firstDataCol="1"/>
  <pivotFields count="12">
    <pivotField axis="axisCol" compact="0" outline="0" subtotalTop="0" showAll="0" includeNewItemsInFilter="1">
      <items count="4">
        <item x="1"/>
        <item x="0"/>
        <item m="1" x="2"/>
        <item t="default"/>
      </items>
    </pivotField>
    <pivotField compact="0" outline="0" subtotalTop="0" showAll="0" includeNewItemsInFilter="1">
      <items count="13">
        <item x="0"/>
        <item x="1"/>
        <item x="2"/>
        <item x="3"/>
        <item m="1" x="4"/>
        <item m="1" x="5"/>
        <item m="1" x="6"/>
        <item m="1" x="7"/>
        <item m="1" x="8"/>
        <item m="1" x="9"/>
        <item m="1" x="10"/>
        <item m="1" x="11"/>
        <item t="default"/>
      </items>
    </pivotField>
    <pivotField compact="0" outline="0" subtotalTop="0" showAll="0" includeNewItemsInFilter="1"/>
    <pivotField compact="0" outline="0" subtotalTop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defaultSubtotal="0"/>
    <pivotField compact="0" outline="0" subtotalTop="0" showAll="0" includeNewItemsInFilter="1"/>
    <pivotField compact="0" outline="0" subtotalTop="0" showAll="0" includeNewItemsInFilter="1"/>
    <pivotField axis="axisRow" compact="0" outline="0" subtotalTop="0" defaultSubtotal="0">
      <items count="4">
        <item x="1"/>
        <item x="0"/>
        <item m="1" x="2"/>
        <item m="1" x="3"/>
      </items>
    </pivotField>
    <pivotField compact="0" outline="0" subtotalTop="0" showAll="0" defaultSubtotal="0"/>
  </pivotFields>
  <rowFields count="1">
    <field x="10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합계 : Qty" fld="7" baseField="0" baseItem="0"/>
  </dataFields>
  <formats count="30">
    <format dxfId="208">
      <pivotArea type="all" dataOnly="0" outline="0" fieldPosition="0"/>
    </format>
    <format dxfId="207">
      <pivotArea outline="0" fieldPosition="0"/>
    </format>
    <format dxfId="206">
      <pivotArea type="origin" dataOnly="0" labelOnly="1" outline="0" fieldPosition="0"/>
    </format>
    <format dxfId="205">
      <pivotArea type="topRight" dataOnly="0" labelOnly="1" outline="0" fieldPosition="0"/>
    </format>
    <format dxfId="204">
      <pivotArea field="1" type="button" dataOnly="0" labelOnly="1" outline="0"/>
    </format>
    <format dxfId="203">
      <pivotArea dataOnly="0" labelOnly="1" grandRow="1" outline="0" fieldPosition="0"/>
    </format>
    <format dxfId="202">
      <pivotArea dataOnly="0" labelOnly="1" grandCol="1" outline="0" fieldPosition="0"/>
    </format>
    <format dxfId="201">
      <pivotArea type="all" dataOnly="0" outline="0" fieldPosition="0"/>
    </format>
    <format dxfId="200">
      <pivotArea outline="0" fieldPosition="0"/>
    </format>
    <format dxfId="199">
      <pivotArea type="origin" dataOnly="0" labelOnly="1" outline="0" fieldPosition="0"/>
    </format>
    <format dxfId="198">
      <pivotArea type="topRight" dataOnly="0" labelOnly="1" outline="0" fieldPosition="0"/>
    </format>
    <format dxfId="197">
      <pivotArea field="1" type="button" dataOnly="0" labelOnly="1" outline="0"/>
    </format>
    <format dxfId="196">
      <pivotArea dataOnly="0" labelOnly="1" grandRow="1" outline="0" fieldPosition="0"/>
    </format>
    <format dxfId="195">
      <pivotArea dataOnly="0" labelOnly="1" grandCol="1" outline="0" fieldPosition="0"/>
    </format>
    <format>
      <pivotArea type="all" dataOnly="0" outline="0" fieldPosition="0"/>
    </format>
    <format>
      <pivotArea dataOnly="0" labelOnly="1" grandRow="1" outline="0" fieldPosition="0"/>
    </format>
    <format dxfId="194">
      <pivotArea grandRow="1" outline="0" fieldPosition="0"/>
    </format>
    <format dxfId="193">
      <pivotArea dataOnly="0" labelOnly="1" grandRow="1" outline="0" fieldPosition="0"/>
    </format>
    <format dxfId="192">
      <pivotArea type="all" dataOnly="0" outline="0" fieldPosition="0"/>
    </format>
    <format dxfId="191">
      <pivotArea outline="0" collapsedLevelsAreSubtotals="1" fieldPosition="0"/>
    </format>
    <format dxfId="190">
      <pivotArea type="origin" dataOnly="0" labelOnly="1" outline="0" fieldPosition="0"/>
    </format>
    <format dxfId="189">
      <pivotArea field="10" type="button" dataOnly="0" labelOnly="1" outline="0" axis="axisRow" fieldPosition="0"/>
    </format>
    <format dxfId="188">
      <pivotArea type="topRight" dataOnly="0" labelOnly="1" outline="0" fieldPosition="0"/>
    </format>
    <format dxfId="187">
      <pivotArea field="0" type="button" dataOnly="0" labelOnly="1" outline="0" axis="axisCol" fieldPosition="0"/>
    </format>
    <format dxfId="186">
      <pivotArea field="1" type="button" dataOnly="0" labelOnly="1" outline="0"/>
    </format>
    <format dxfId="185">
      <pivotArea dataOnly="0" labelOnly="1" outline="0" fieldPosition="0">
        <references count="1">
          <reference field="0" count="0"/>
        </references>
      </pivotArea>
    </format>
    <format dxfId="184">
      <pivotArea dataOnly="0" labelOnly="1" outline="0" fieldPosition="0">
        <references count="1">
          <reference field="0" count="0" defaultSubtotal="1"/>
        </references>
      </pivotArea>
    </format>
    <format dxfId="183">
      <pivotArea dataOnly="0" labelOnly="1" grandRow="1" outline="0" fieldPosition="0"/>
    </format>
    <format dxfId="182">
      <pivotArea dataOnly="0" labelOnly="1" outline="0" fieldPosition="0">
        <references count="1">
          <reference field="10" count="0"/>
        </references>
      </pivotArea>
    </format>
    <format dxfId="181">
      <pivotArea dataOnly="0" labelOnly="1" grandCol="1" outline="0" fieldPosition="0"/>
    </format>
  </formats>
  <chartFormats count="1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0" count="1" selected="0">
            <x v="0"/>
          </reference>
        </references>
      </pivotArea>
    </chartFormat>
    <chartFormat chart="1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0" count="1" selected="0">
            <x v="1"/>
          </reference>
        </references>
      </pivotArea>
    </chartFormat>
    <chartFormat chart="1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0" count="1" selected="0">
            <x v="0"/>
          </reference>
        </references>
      </pivotArea>
    </chartFormat>
    <chartFormat chart="1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0" count="1" selected="0">
            <x v="1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0" count="1" selected="0">
            <x v="2"/>
          </reference>
        </references>
      </pivotArea>
    </chartFormat>
    <chartFormat chart="1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0" count="1" selected="0">
            <x v="2"/>
          </reference>
        </references>
      </pivotArea>
    </chartFormat>
    <chartFormat chart="1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0" count="1" selected="0">
            <x v="0"/>
          </reference>
        </references>
      </pivotArea>
    </chartFormat>
    <chartFormat chart="1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0" count="1" selected="0">
            <x v="1"/>
          </reference>
        </references>
      </pivotArea>
    </chartFormat>
    <chartFormat chart="1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0" count="1" selected="0">
            <x v="2"/>
          </reference>
        </references>
      </pivotArea>
    </chartFormat>
    <chartFormat chart="1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0" count="1" selected="0">
            <x v="3"/>
          </reference>
        </references>
      </pivotArea>
    </chartFormat>
    <chartFormat chart="1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0" count="1" selected="0">
            <x v="3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F8694C-2E7A-44E0-859F-E0AC1E74A0BD}" name="피벗 테이블2" cacheId="0" applyNumberFormats="0" applyBorderFormats="0" applyFontFormats="0" applyPatternFormats="0" applyAlignmentFormats="0" applyWidthHeightFormats="1" dataCaption="데이터" missingCaption="0" updatedVersion="8" minRefreshableVersion="3" showMemberPropertyTips="0" useAutoFormatting="1" itemPrintTitles="1" mergeItem="1" createdVersion="6" indent="0" compact="0" compactData="0" chartFormat="4">
  <location ref="H88:K92" firstHeaderRow="1" firstDataRow="2" firstDataCol="1"/>
  <pivotFields count="12">
    <pivotField axis="axisCol" compact="0" outline="0" subtotalTop="0" showAll="0" includeNewItemsInFilter="1">
      <items count="4">
        <item x="1"/>
        <item x="0"/>
        <item m="1" x="2"/>
        <item t="default"/>
      </items>
    </pivotField>
    <pivotField compact="0" outline="0" subtotalTop="0" showAll="0" includeNewItemsInFilter="1">
      <items count="13">
        <item x="0"/>
        <item x="1"/>
        <item x="2"/>
        <item x="3"/>
        <item m="1" x="4"/>
        <item m="1" x="5"/>
        <item m="1" x="6"/>
        <item m="1" x="7"/>
        <item m="1" x="8"/>
        <item m="1" x="9"/>
        <item m="1" x="10"/>
        <item m="1" x="11"/>
        <item t="default"/>
      </items>
    </pivotField>
    <pivotField compact="0" outline="0" subtotalTop="0" showAll="0" includeNewItemsInFilter="1"/>
    <pivotField compact="0" outline="0" subtotalTop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defaultSubtotal="0"/>
    <pivotField compact="0" outline="0" subtotalTop="0" showAll="0" includeNewItemsInFilter="1"/>
    <pivotField axis="axisRow" compact="0" outline="0" subtotalTop="0" showAll="0" includeNewItemsInFilter="1">
      <items count="7">
        <item x="0"/>
        <item x="1"/>
        <item m="1" x="3"/>
        <item m="1" x="5"/>
        <item m="1" x="2"/>
        <item m="1" x="4"/>
        <item t="default"/>
      </items>
    </pivotField>
    <pivotField compact="0" outline="0" subtotalTop="0" showAll="0" defaultSubtotal="0"/>
    <pivotField compact="0" outline="0" subtotalTop="0" showAll="0" defaultSubtotal="0"/>
  </pivotFields>
  <rowFields count="1">
    <field x="9"/>
  </rowFields>
  <rowItems count="3">
    <i>
      <x/>
    </i>
    <i>
      <x v="1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합계 : Qty" fld="7" baseField="0" baseItem="0"/>
  </dataFields>
  <formats count="30">
    <format dxfId="236">
      <pivotArea type="all" dataOnly="0" outline="0" fieldPosition="0"/>
    </format>
    <format dxfId="235">
      <pivotArea outline="0" fieldPosition="0"/>
    </format>
    <format dxfId="234">
      <pivotArea type="origin" dataOnly="0" labelOnly="1" outline="0" fieldPosition="0"/>
    </format>
    <format dxfId="233">
      <pivotArea type="topRight" dataOnly="0" labelOnly="1" outline="0" fieldPosition="0"/>
    </format>
    <format dxfId="232">
      <pivotArea field="1" type="button" dataOnly="0" labelOnly="1" outline="0"/>
    </format>
    <format dxfId="231">
      <pivotArea dataOnly="0" labelOnly="1" grandRow="1" outline="0" fieldPosition="0"/>
    </format>
    <format dxfId="230">
      <pivotArea dataOnly="0" labelOnly="1" grandCol="1" outline="0" fieldPosition="0"/>
    </format>
    <format dxfId="229">
      <pivotArea type="all" dataOnly="0" outline="0" fieldPosition="0"/>
    </format>
    <format dxfId="228">
      <pivotArea outline="0" fieldPosition="0"/>
    </format>
    <format dxfId="227">
      <pivotArea type="origin" dataOnly="0" labelOnly="1" outline="0" fieldPosition="0"/>
    </format>
    <format dxfId="226">
      <pivotArea type="topRight" dataOnly="0" labelOnly="1" outline="0" fieldPosition="0"/>
    </format>
    <format dxfId="225">
      <pivotArea field="1" type="button" dataOnly="0" labelOnly="1" outline="0"/>
    </format>
    <format dxfId="224">
      <pivotArea dataOnly="0" labelOnly="1" grandRow="1" outline="0" fieldPosition="0"/>
    </format>
    <format dxfId="223">
      <pivotArea dataOnly="0" labelOnly="1" grandCol="1" outline="0" fieldPosition="0"/>
    </format>
    <format>
      <pivotArea type="all" dataOnly="0" outline="0" fieldPosition="0"/>
    </format>
    <format>
      <pivotArea dataOnly="0" labelOnly="1" grandRow="1" outline="0" fieldPosition="0"/>
    </format>
    <format dxfId="222">
      <pivotArea grandRow="1" outline="0" fieldPosition="0"/>
    </format>
    <format dxfId="221">
      <pivotArea dataOnly="0" labelOnly="1" grandRow="1" outline="0" fieldPosition="0"/>
    </format>
    <format dxfId="220">
      <pivotArea type="all" dataOnly="0" outline="0" fieldPosition="0"/>
    </format>
    <format dxfId="219">
      <pivotArea outline="0" collapsedLevelsAreSubtotals="1" fieldPosition="0"/>
    </format>
    <format dxfId="218">
      <pivotArea type="origin" dataOnly="0" labelOnly="1" outline="0" fieldPosition="0"/>
    </format>
    <format dxfId="217">
      <pivotArea field="9" type="button" dataOnly="0" labelOnly="1" outline="0" axis="axisRow" fieldPosition="0"/>
    </format>
    <format dxfId="216">
      <pivotArea type="topRight" dataOnly="0" labelOnly="1" outline="0" fieldPosition="0"/>
    </format>
    <format dxfId="215">
      <pivotArea field="0" type="button" dataOnly="0" labelOnly="1" outline="0" axis="axisCol" fieldPosition="0"/>
    </format>
    <format dxfId="214">
      <pivotArea field="1" type="button" dataOnly="0" labelOnly="1" outline="0"/>
    </format>
    <format dxfId="213">
      <pivotArea dataOnly="0" labelOnly="1" outline="0" fieldPosition="0">
        <references count="1">
          <reference field="0" count="0"/>
        </references>
      </pivotArea>
    </format>
    <format dxfId="212">
      <pivotArea dataOnly="0" labelOnly="1" outline="0" fieldPosition="0">
        <references count="1">
          <reference field="0" count="0" defaultSubtotal="1"/>
        </references>
      </pivotArea>
    </format>
    <format dxfId="211">
      <pivotArea dataOnly="0" labelOnly="1" grandRow="1" outline="0" fieldPosition="0"/>
    </format>
    <format dxfId="210">
      <pivotArea dataOnly="0" labelOnly="1" outline="0" fieldPosition="0">
        <references count="1">
          <reference field="9" count="0"/>
        </references>
      </pivotArea>
    </format>
    <format dxfId="209">
      <pivotArea dataOnly="0" labelOnly="1" grandCol="1" outline="0" fieldPosition="0"/>
    </format>
  </formats>
  <chartFormats count="28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9" count="1" selected="0">
            <x v="0"/>
          </reference>
        </references>
      </pivotArea>
    </chartFormat>
    <chartFormat chart="3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9" count="1" selected="0">
            <x v="1"/>
          </reference>
        </references>
      </pivotArea>
    </chartFormat>
    <chartFormat chart="3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9" count="1" selected="0">
            <x v="2"/>
          </reference>
        </references>
      </pivotArea>
    </chartFormat>
    <chartFormat chart="3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9" count="1" selected="0">
            <x v="3"/>
          </reference>
        </references>
      </pivotArea>
    </chartFormat>
    <chartFormat chart="3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9" count="1" selected="0">
            <x v="0"/>
          </reference>
        </references>
      </pivotArea>
    </chartFormat>
    <chartFormat chart="3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9" count="1" selected="0">
            <x v="1"/>
          </reference>
        </references>
      </pivotArea>
    </chartFormat>
    <chartFormat chart="3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9" count="1" selected="0">
            <x v="2"/>
          </reference>
        </references>
      </pivotArea>
    </chartFormat>
    <chartFormat chart="3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9" count="1" selected="0">
            <x v="3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9" count="1" selected="0">
            <x v="4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9" count="1" selected="0">
            <x v="4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9" count="1" selected="0">
            <x v="0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9" count="1" selected="0">
            <x v="3"/>
          </reference>
        </references>
      </pivotArea>
    </chartFormat>
    <chartFormat chart="3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9" count="1" selected="0">
            <x v="4"/>
          </reference>
        </references>
      </pivotArea>
    </chartFormat>
    <chartFormat chart="3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9" count="1" selected="0">
            <x v="1"/>
          </reference>
        </references>
      </pivotArea>
    </chartFormat>
    <chartFormat chart="3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9" count="1" selected="0">
            <x v="5"/>
          </reference>
        </references>
      </pivotArea>
    </chartFormat>
    <chartFormat chart="3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9" count="1" selected="0">
            <x v="5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피벗 테이블3" cacheId="1" applyNumberFormats="0" applyBorderFormats="0" applyFontFormats="0" applyPatternFormats="0" applyAlignmentFormats="0" applyWidthHeightFormats="1" dataCaption="데이터" updatedVersion="8" minRefreshableVersion="3" showMemberPropertyTips="0" useAutoFormatting="1" itemPrintTitles="1" createdVersion="6" indent="0" compact="0" compactData="0" gridDropZones="1" chartFormat="1">
  <location ref="A15:D29" firstHeaderRow="1" firstDataRow="2" firstDataCol="1"/>
  <pivotFields count="4">
    <pivotField axis="axisRow" compact="0" outline="0" subtotalTop="0" showAll="0" includeNewItemsInFilter="1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해외 매출액" fld="1" baseField="0" baseItem="0" numFmtId="42"/>
    <dataField name="합계 : 국내 매출액" fld="2" baseField="0" baseItem="0" numFmtId="42"/>
    <dataField name="합계 : 국내외 카메라 수량" fld="3" baseField="0" baseItem="7"/>
  </dataFields>
  <formats count="22">
    <format dxfId="258">
      <pivotArea outline="0" fieldPosition="0">
        <references count="1">
          <reference field="4294967294" count="1" selected="0">
            <x v="0"/>
          </reference>
        </references>
      </pivotArea>
    </format>
    <format dxfId="257">
      <pivotArea outline="0" fieldPosition="0"/>
    </format>
    <format dxfId="256">
      <pivotArea outline="0" fieldPosition="0">
        <references count="1">
          <reference field="4294967294" count="1" selected="0">
            <x v="2"/>
          </reference>
        </references>
      </pivotArea>
    </format>
    <format dxfId="25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54">
      <pivotArea outline="0" fieldPosition="0">
        <references count="1">
          <reference field="4294967294" count="2" selected="0">
            <x v="0"/>
            <x v="1"/>
          </reference>
        </references>
      </pivotArea>
    </format>
    <format dxfId="253">
      <pivotArea type="origin" dataOnly="0" labelOnly="1" outline="0" fieldPosition="0"/>
    </format>
    <format dxfId="252">
      <pivotArea field="0" type="button" dataOnly="0" labelOnly="1" outline="0" axis="axisRow" fieldPosition="0"/>
    </format>
    <format dxfId="251">
      <pivotArea dataOnly="0" labelOnly="1" outline="0" fieldPosition="0">
        <references count="1">
          <reference field="0" count="0"/>
        </references>
      </pivotArea>
    </format>
    <format dxfId="250">
      <pivotArea dataOnly="0" labelOnly="1" grandRow="1" outline="0" fieldPosition="0"/>
    </format>
    <format dxfId="249">
      <pivotArea field="-2" type="button" dataOnly="0" labelOnly="1" outline="0" axis="axisCol" fieldPosition="0"/>
    </format>
    <format dxfId="248">
      <pivotArea type="topRight" dataOnly="0" labelOnly="1" outline="0" fieldPosition="0"/>
    </format>
    <format dxfId="2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6">
      <pivotArea type="origin" dataOnly="0" labelOnly="1" outline="0" fieldPosition="0"/>
    </format>
    <format dxfId="245">
      <pivotArea field="-2" type="button" dataOnly="0" labelOnly="1" outline="0" axis="axisCol" fieldPosition="0"/>
    </format>
    <format dxfId="244">
      <pivotArea type="topRight" dataOnly="0" labelOnly="1" outline="0" fieldPosition="0"/>
    </format>
    <format dxfId="243">
      <pivotArea field="0" type="button" dataOnly="0" labelOnly="1" outline="0" axis="axisRow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outline="0" fieldPosition="0"/>
    </format>
    <format dxfId="240">
      <pivotArea dataOnly="0" labelOnly="1" outline="0" fieldPosition="0">
        <references count="1">
          <reference field="0" count="0"/>
        </references>
      </pivotArea>
    </format>
    <format dxfId="239">
      <pivotArea dataOnly="0" labelOnly="1" grandRow="1" outline="0" fieldPosition="0"/>
    </format>
    <format dxfId="238">
      <pivotArea field="0" grandRow="1" outline="0" axis="axisRow" fieldPosition="0">
        <references count="1">
          <reference field="4294967294" count="1" selected="0">
            <x v="1"/>
          </reference>
        </references>
      </pivotArea>
    </format>
    <format dxfId="237">
      <pivotArea outline="0" fieldPosition="0">
        <references count="1">
          <reference field="4294967294" count="2" selected="0">
            <x v="0"/>
            <x v="1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Dark23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08ADA-42E5-40DB-A1A7-D8944708C83B}" name="피벗 테이블7" cacheId="0" applyNumberFormats="0" applyBorderFormats="0" applyFontFormats="0" applyPatternFormats="0" applyAlignmentFormats="0" applyWidthHeightFormats="1" dataCaption="데이터" missingCaption="0" updatedVersion="8" minRefreshableVersion="3" showMemberPropertyTips="0" useAutoFormatting="1" itemPrintTitles="1" mergeItem="1" createdVersion="6" indent="0" compact="0" compactData="0" chartFormat="2">
  <location ref="A88:D92" firstHeaderRow="1" firstDataRow="2" firstDataCol="1"/>
  <pivotFields count="12">
    <pivotField axis="axisCol" compact="0" outline="0" subtotalTop="0" showAll="0" includeNewItemsInFilter="1">
      <items count="4">
        <item x="1"/>
        <item x="0"/>
        <item m="1" x="2"/>
        <item t="default"/>
      </items>
    </pivotField>
    <pivotField compact="0" outline="0" subtotalTop="0" showAll="0" includeNewItemsInFilter="1">
      <items count="13">
        <item x="0"/>
        <item x="1"/>
        <item x="2"/>
        <item x="3"/>
        <item m="1" x="4"/>
        <item m="1" x="5"/>
        <item m="1" x="6"/>
        <item m="1" x="7"/>
        <item m="1" x="8"/>
        <item m="1" x="9"/>
        <item m="1" x="10"/>
        <item m="1" x="11"/>
        <item t="default"/>
      </items>
    </pivotField>
    <pivotField compact="0" outline="0" subtotalTop="0" showAll="0" includeNewItemsInFilter="1"/>
    <pivotField compact="0" outline="0" subtotalTop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defaultSubtotal="0"/>
    <pivotField axis="axisRow" compact="0" outline="0" subtotalTop="0" showAll="0" includeNewItemsInFilter="1">
      <items count="6">
        <item x="0"/>
        <item x="1"/>
        <item m="1" x="3"/>
        <item m="1" x="2"/>
        <item m="1" x="4"/>
        <item t="default"/>
      </items>
    </pivotField>
    <pivotField compact="0" outline="0" subtotalTop="0" showAll="0" includeNewItemsInFilter="1"/>
    <pivotField compact="0" outline="0" subtotalTop="0" showAll="0" defaultSubtotal="0"/>
    <pivotField compact="0" outline="0" subtotalTop="0" showAll="0" defaultSubtotal="0"/>
  </pivotFields>
  <rowFields count="1">
    <field x="8"/>
  </rowFields>
  <rowItems count="3">
    <i>
      <x/>
    </i>
    <i>
      <x v="1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합계 : Qty" fld="7" baseField="0" baseItem="0"/>
  </dataFields>
  <formats count="30">
    <format dxfId="286">
      <pivotArea type="all" dataOnly="0" outline="0" fieldPosition="0"/>
    </format>
    <format dxfId="285">
      <pivotArea outline="0" fieldPosition="0"/>
    </format>
    <format dxfId="284">
      <pivotArea type="origin" dataOnly="0" labelOnly="1" outline="0" fieldPosition="0"/>
    </format>
    <format dxfId="283">
      <pivotArea type="topRight" dataOnly="0" labelOnly="1" outline="0" fieldPosition="0"/>
    </format>
    <format dxfId="282">
      <pivotArea field="1" type="button" dataOnly="0" labelOnly="1" outline="0"/>
    </format>
    <format dxfId="281">
      <pivotArea dataOnly="0" labelOnly="1" grandRow="1" outline="0" fieldPosition="0"/>
    </format>
    <format dxfId="280">
      <pivotArea dataOnly="0" labelOnly="1" grandCol="1" outline="0" fieldPosition="0"/>
    </format>
    <format dxfId="279">
      <pivotArea type="all" dataOnly="0" outline="0" fieldPosition="0"/>
    </format>
    <format dxfId="278">
      <pivotArea outline="0" fieldPosition="0"/>
    </format>
    <format dxfId="277">
      <pivotArea type="origin" dataOnly="0" labelOnly="1" outline="0" fieldPosition="0"/>
    </format>
    <format dxfId="276">
      <pivotArea type="topRight" dataOnly="0" labelOnly="1" outline="0" fieldPosition="0"/>
    </format>
    <format dxfId="275">
      <pivotArea field="1" type="button" dataOnly="0" labelOnly="1" outline="0"/>
    </format>
    <format dxfId="274">
      <pivotArea dataOnly="0" labelOnly="1" grandRow="1" outline="0" fieldPosition="0"/>
    </format>
    <format dxfId="273">
      <pivotArea dataOnly="0" labelOnly="1" grandCol="1" outline="0" fieldPosition="0"/>
    </format>
    <format>
      <pivotArea type="all" dataOnly="0" outline="0" fieldPosition="0"/>
    </format>
    <format>
      <pivotArea dataOnly="0" labelOnly="1" grandRow="1" outline="0" fieldPosition="0"/>
    </format>
    <format dxfId="272">
      <pivotArea grandRow="1" outline="0" fieldPosition="0"/>
    </format>
    <format dxfId="271">
      <pivotArea dataOnly="0" labelOnly="1" grandRow="1" outline="0" fieldPosition="0"/>
    </format>
    <format dxfId="270">
      <pivotArea type="all" dataOnly="0" outline="0" fieldPosition="0"/>
    </format>
    <format dxfId="269">
      <pivotArea outline="0" collapsedLevelsAreSubtotals="1" fieldPosition="0"/>
    </format>
    <format dxfId="268">
      <pivotArea type="origin" dataOnly="0" labelOnly="1" outline="0" fieldPosition="0"/>
    </format>
    <format dxfId="267">
      <pivotArea field="8" type="button" dataOnly="0" labelOnly="1" outline="0" axis="axisRow" fieldPosition="0"/>
    </format>
    <format dxfId="266">
      <pivotArea type="topRight" dataOnly="0" labelOnly="1" outline="0" fieldPosition="0"/>
    </format>
    <format dxfId="265">
      <pivotArea field="0" type="button" dataOnly="0" labelOnly="1" outline="0" axis="axisCol" fieldPosition="0"/>
    </format>
    <format dxfId="264">
      <pivotArea field="1" type="button" dataOnly="0" labelOnly="1" outline="0"/>
    </format>
    <format dxfId="263">
      <pivotArea dataOnly="0" labelOnly="1" outline="0" fieldPosition="0">
        <references count="1">
          <reference field="0" count="0"/>
        </references>
      </pivotArea>
    </format>
    <format dxfId="262">
      <pivotArea dataOnly="0" labelOnly="1" outline="0" fieldPosition="0">
        <references count="1">
          <reference field="0" count="0" defaultSubtotal="1"/>
        </references>
      </pivotArea>
    </format>
    <format dxfId="261">
      <pivotArea dataOnly="0" labelOnly="1" grandRow="1" outline="0" fieldPosition="0"/>
    </format>
    <format dxfId="260">
      <pivotArea dataOnly="0" labelOnly="1" outline="0" fieldPosition="0">
        <references count="1">
          <reference field="8" count="0"/>
        </references>
      </pivotArea>
    </format>
    <format dxfId="259">
      <pivotArea dataOnly="0" labelOnly="1" grandCol="1" outline="0" fieldPosition="0"/>
    </format>
  </formats>
  <chartFormats count="21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8" count="1" selected="0">
            <x v="0"/>
          </reference>
        </references>
      </pivotArea>
    </chartFormat>
    <chartFormat chart="1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8" count="1" selected="0">
            <x v="1"/>
          </reference>
        </references>
      </pivotArea>
    </chartFormat>
    <chartFormat chart="1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8" count="1" selected="0">
            <x v="2"/>
          </reference>
        </references>
      </pivotArea>
    </chartFormat>
    <chartFormat chart="1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8" count="1" selected="0">
            <x v="0"/>
          </reference>
        </references>
      </pivotArea>
    </chartFormat>
    <chartFormat chart="1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8" count="1" selected="0">
            <x v="1"/>
          </reference>
        </references>
      </pivotArea>
    </chartFormat>
    <chartFormat chart="1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8" count="1" selected="0">
            <x v="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8" count="1" selected="0">
            <x v="3"/>
          </reference>
        </references>
      </pivotArea>
    </chartFormat>
    <chartFormat chart="1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8" count="1" selected="0">
            <x v="3"/>
          </reference>
        </references>
      </pivotArea>
    </chartFormat>
    <chartFormat chart="1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8" count="1" selected="0">
            <x v="0"/>
          </reference>
        </references>
      </pivotArea>
    </chartFormat>
    <chartFormat chart="1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8" count="1" selected="0">
            <x v="1"/>
          </reference>
        </references>
      </pivotArea>
    </chartFormat>
    <chartFormat chart="1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8" count="1" selected="0">
            <x v="3"/>
          </reference>
        </references>
      </pivotArea>
    </chartFormat>
    <chartFormat chart="1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8" count="1" selected="0">
            <x v="2"/>
          </reference>
        </references>
      </pivotArea>
    </chartFormat>
    <chartFormat chart="1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8" count="1" selected="0">
            <x v="4"/>
          </reference>
        </references>
      </pivotArea>
    </chartFormat>
    <chartFormat chart="1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8" count="1" selected="0">
            <x v="4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E660CA-2D17-4358-81C5-75D870DADD08}" name="피벗 테이블14" cacheId="0" dataOnRows="1" applyNumberFormats="0" applyBorderFormats="0" applyFontFormats="0" applyPatternFormats="0" applyAlignmentFormats="0" applyWidthHeightFormats="1" dataCaption="데이터" updatedVersion="8" showDrill="0" showMemberPropertyTips="0" useAutoFormatting="1" itemPrintTitles="1" mergeItem="1" createdVersion="1" indent="0" compact="0" compactData="0" chartFormat="2">
  <location ref="B76:C89" firstHeaderRow="1" firstDataRow="1" firstDataCol="1"/>
  <pivotFields count="12"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axis="axisRow" compact="0" outline="0" subtotalTop="0" showAll="0" includeNewItemsInFilter="1" defaultSubtotal="0">
      <items count="47">
        <item m="1" x="20"/>
        <item m="1" x="39"/>
        <item x="4"/>
        <item m="1" x="14"/>
        <item x="7"/>
        <item x="6"/>
        <item x="11"/>
        <item m="1" x="31"/>
        <item m="1" x="35"/>
        <item x="5"/>
        <item m="1" x="41"/>
        <item x="0"/>
        <item m="1" x="25"/>
        <item m="1" x="18"/>
        <item m="1" x="15"/>
        <item m="1" x="40"/>
        <item m="1" x="38"/>
        <item m="1" x="27"/>
        <item m="1" x="43"/>
        <item m="1" x="29"/>
        <item m="1" x="33"/>
        <item m="1" x="28"/>
        <item m="1" x="22"/>
        <item m="1" x="45"/>
        <item m="1" x="30"/>
        <item m="1" x="44"/>
        <item x="9"/>
        <item m="1" x="32"/>
        <item m="1" x="16"/>
        <item m="1" x="24"/>
        <item m="1" x="21"/>
        <item x="10"/>
        <item m="1" x="34"/>
        <item m="1" x="13"/>
        <item m="1" x="26"/>
        <item m="1" x="46"/>
        <item x="3"/>
        <item m="1" x="17"/>
        <item m="1" x="36"/>
        <item m="1" x="42"/>
        <item m="1" x="37"/>
        <item m="1" x="19"/>
        <item m="1" x="23"/>
        <item x="2"/>
        <item x="8"/>
        <item x="1"/>
        <item m="1" x="12"/>
      </items>
    </pivotField>
    <pivotField compact="0" outline="0" subtotalTop="0" showAll="0" includeNewItemsInFilter="1" defaultSubtotal="0"/>
    <pivotField dataField="1"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</pivotFields>
  <rowFields count="1">
    <field x="5"/>
  </rowFields>
  <rowItems count="13">
    <i>
      <x v="2"/>
    </i>
    <i>
      <x v="4"/>
    </i>
    <i>
      <x v="5"/>
    </i>
    <i>
      <x v="6"/>
    </i>
    <i>
      <x v="9"/>
    </i>
    <i>
      <x v="11"/>
    </i>
    <i>
      <x v="26"/>
    </i>
    <i>
      <x v="31"/>
    </i>
    <i>
      <x v="36"/>
    </i>
    <i>
      <x v="43"/>
    </i>
    <i>
      <x v="44"/>
    </i>
    <i>
      <x v="45"/>
    </i>
    <i t="grand">
      <x/>
    </i>
  </rowItems>
  <colItems count="1">
    <i/>
  </colItems>
  <dataFields count="1">
    <dataField name="합계 : Qty" fld="7" baseField="0" baseItem="0"/>
  </dataFields>
  <formats count="26">
    <format dxfId="57">
      <pivotArea type="all" dataOnly="0" outline="0" fieldPosition="0"/>
    </format>
    <format dxfId="56">
      <pivotArea outline="0" fieldPosition="0"/>
    </format>
    <format dxfId="55">
      <pivotArea dataOnly="0" labelOnly="1" grandRow="1" outline="0" fieldPosition="0"/>
    </format>
    <format dxfId="54">
      <pivotArea dataOnly="0" labelOnly="1" outline="0" axis="axisValues" fieldPosition="0"/>
    </format>
    <format dxfId="53">
      <pivotArea type="all" dataOnly="0" outline="0" fieldPosition="0"/>
    </format>
    <format dxfId="52">
      <pivotArea outline="0" fieldPosition="0"/>
    </format>
    <format dxfId="51">
      <pivotArea dataOnly="0" labelOnly="1" grandRow="1" outline="0" fieldPosition="0"/>
    </format>
    <format dxfId="50">
      <pivotArea dataOnly="0" labelOnly="1" outline="0" axis="axisValues" fieldPosition="0"/>
    </format>
    <format dxfId="49">
      <pivotArea type="all" dataOnly="0" outline="0" fieldPosition="0"/>
    </format>
    <format dxfId="48">
      <pivotArea outline="0" fieldPosition="0"/>
    </format>
    <format dxfId="47">
      <pivotArea field="5" type="button" dataOnly="0" labelOnly="1" outline="0" axis="axisRow" fieldPosition="0"/>
    </format>
    <format dxfId="46">
      <pivotArea dataOnly="0" labelOnly="1" outline="0" fieldPosition="0">
        <references count="1">
          <reference field="5" count="0"/>
        </references>
      </pivotArea>
    </format>
    <format dxfId="45">
      <pivotArea dataOnly="0" labelOnly="1" grandRow="1" outline="0" fieldPosition="0"/>
    </format>
    <format dxfId="44">
      <pivotArea dataOnly="0" labelOnly="1" outline="0" axis="axisValues" fieldPosition="0"/>
    </format>
    <format dxfId="43">
      <pivotArea type="all" dataOnly="0" outline="0" fieldPosition="0"/>
    </format>
    <format dxfId="42">
      <pivotArea outline="0" fieldPosition="0"/>
    </format>
    <format dxfId="41">
      <pivotArea field="5" type="button" dataOnly="0" labelOnly="1" outline="0" axis="axisRow" fieldPosition="0"/>
    </format>
    <format dxfId="40">
      <pivotArea dataOnly="0" labelOnly="1" outline="0" fieldPosition="0">
        <references count="1">
          <reference field="5" count="0"/>
        </references>
      </pivotArea>
    </format>
    <format dxfId="39">
      <pivotArea dataOnly="0" labelOnly="1" grandRow="1" outline="0" fieldPosition="0"/>
    </format>
    <format dxfId="38">
      <pivotArea dataOnly="0" labelOnly="1" outline="0" axis="axisValues" fieldPosition="0"/>
    </format>
    <format dxfId="37">
      <pivotArea type="all" dataOnly="0" outline="0" fieldPosition="0"/>
    </format>
    <format dxfId="36">
      <pivotArea outline="0" fieldPosition="0"/>
    </format>
    <format dxfId="35">
      <pivotArea field="5" type="button" dataOnly="0" labelOnly="1" outline="0" axis="axisRow" fieldPosition="0"/>
    </format>
    <format dxfId="34">
      <pivotArea dataOnly="0" labelOnly="1" outline="0" fieldPosition="0">
        <references count="1">
          <reference field="5" count="0"/>
        </references>
      </pivotArea>
    </format>
    <format dxfId="33">
      <pivotArea dataOnly="0" labelOnly="1" grandRow="1" outline="0" fieldPosition="0"/>
    </format>
    <format dxfId="32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039808-103F-4A4E-9485-8441BB24F426}" name="피벗 테이블17" cacheId="0" dataOnRows="1" applyNumberFormats="0" applyBorderFormats="0" applyFontFormats="0" applyPatternFormats="0" applyAlignmentFormats="0" applyWidthHeightFormats="1" dataCaption="데이터" missingCaption="no temp." updatedVersion="8" showDrill="0" showMemberPropertyTips="0" useAutoFormatting="1" itemPrintTitles="1" mergeItem="1" createdVersion="1" indent="0" compact="0" compactData="0" chartFormat="2">
  <location ref="P40:Q45" firstHeaderRow="1" firstDataRow="1" firstDataCol="1"/>
  <pivotFields count="12"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0">
        <item x="3"/>
        <item m="1" x="5"/>
        <item x="2"/>
        <item m="1" x="6"/>
        <item x="0"/>
        <item m="1" x="9"/>
        <item x="1"/>
        <item m="1" x="7"/>
        <item m="1" x="4"/>
        <item m="1" x="8"/>
      </items>
    </pivotField>
    <pivotField dataField="1"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</pivotFields>
  <rowFields count="1">
    <field x="6"/>
  </rowFields>
  <rowItems count="5">
    <i>
      <x/>
    </i>
    <i>
      <x v="2"/>
    </i>
    <i>
      <x v="4"/>
    </i>
    <i>
      <x v="6"/>
    </i>
    <i t="grand">
      <x/>
    </i>
  </rowItems>
  <colItems count="1">
    <i/>
  </colItems>
  <dataFields count="1">
    <dataField name="합계 : Qty" fld="7" baseField="0" baseItem="0"/>
  </dataFields>
  <formats count="6">
    <format dxfId="63">
      <pivotArea type="all" dataOnly="0" outline="0" fieldPosition="0"/>
    </format>
    <format dxfId="62">
      <pivotArea outline="0" fieldPosition="0"/>
    </format>
    <format dxfId="61">
      <pivotArea field="6" type="button" dataOnly="0" labelOnly="1" outline="0" axis="axisRow" fieldPosition="0"/>
    </format>
    <format dxfId="60">
      <pivotArea dataOnly="0" labelOnly="1" outline="0" fieldPosition="0">
        <references count="1">
          <reference field="6" count="0"/>
        </references>
      </pivotArea>
    </format>
    <format dxfId="59">
      <pivotArea dataOnly="0" labelOnly="1" grandRow="1" outline="0" fieldPosition="0"/>
    </format>
    <format dxfId="58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9BED5F-BABC-4F5E-88F5-1444D737F07F}" name="피벗 테이블23" cacheId="0" dataOnRows="1" applyNumberFormats="0" applyBorderFormats="0" applyFontFormats="0" applyPatternFormats="0" applyAlignmentFormats="0" applyWidthHeightFormats="1" dataCaption="데이터" missingCaption="0" updatedVersion="8" showDrill="0" showMemberPropertyTips="0" useAutoFormatting="1" itemPrintTitles="1" mergeItem="1" createdVersion="1" indent="0" compact="0" compactData="0" chartFormat="2">
  <location ref="B150:D161" firstHeaderRow="1" firstDataRow="1" firstDataCol="2"/>
  <pivotFields count="12">
    <pivotField axis="axisRow" compact="0" outline="0" subtotalTop="0" showAll="0" includeNewItemsInFilter="1" defaultSubtotal="0">
      <items count="3">
        <item x="1"/>
        <item x="0"/>
        <item m="1" x="2"/>
      </items>
    </pivotField>
    <pivotField axis="axisRow" compact="0" outline="0" showAll="0" includeNewItemsInFilter="1">
      <items count="13">
        <item x="0"/>
        <item x="1"/>
        <item x="2"/>
        <item x="3"/>
        <item m="1" x="4"/>
        <item m="1" x="5"/>
        <item m="1" x="6"/>
        <item m="1" x="7"/>
        <item m="1" x="8"/>
        <item m="1" x="9"/>
        <item m="1" x="10"/>
        <item m="1" x="11"/>
        <item t="default"/>
      </items>
    </pivotField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</pivotFields>
  <rowFields count="2">
    <field x="1"/>
    <field x="0"/>
  </rowFields>
  <rowItems count="11">
    <i>
      <x/>
      <x v="1"/>
    </i>
    <i t="default">
      <x/>
    </i>
    <i>
      <x v="1"/>
      <x/>
    </i>
    <i r="1">
      <x v="1"/>
    </i>
    <i t="default">
      <x v="1"/>
    </i>
    <i>
      <x v="2"/>
      <x/>
    </i>
    <i r="1">
      <x v="1"/>
    </i>
    <i t="default">
      <x v="2"/>
    </i>
    <i>
      <x v="3"/>
      <x v="1"/>
    </i>
    <i t="default">
      <x v="3"/>
    </i>
    <i t="grand">
      <x/>
    </i>
  </rowItems>
  <colItems count="1">
    <i/>
  </colItems>
  <dataFields count="1">
    <dataField name="합계 : Qty" fld="7" baseField="0" baseItem="0"/>
  </dataFields>
  <formats count="11">
    <format dxfId="74">
      <pivotArea type="all" dataOnly="0" outline="0" fieldPosition="0"/>
    </format>
    <format dxfId="73">
      <pivotArea outline="0" fieldPosition="0"/>
    </format>
    <format dxfId="72">
      <pivotArea field="1" type="button" dataOnly="0" labelOnly="1" outline="0" axis="axisRow" fieldPosition="0"/>
    </format>
    <format dxfId="71">
      <pivotArea field="0" type="button" dataOnly="0" labelOnly="1" outline="0" axis="axisRow" fieldPosition="1"/>
    </format>
    <format dxfId="70">
      <pivotArea dataOnly="0" labelOnly="1" outline="0" fieldPosition="0">
        <references count="1">
          <reference field="1" count="0"/>
        </references>
      </pivotArea>
    </format>
    <format dxfId="69">
      <pivotArea dataOnly="0" labelOnly="1" outline="0" fieldPosition="0">
        <references count="1">
          <reference field="1" count="0" defaultSubtotal="1"/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2">
          <reference field="0" count="1">
            <x v="1"/>
          </reference>
          <reference field="1" count="1" selected="0">
            <x v="0"/>
          </reference>
        </references>
      </pivotArea>
    </format>
    <format dxfId="66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65">
      <pivotArea dataOnly="0" labelOnly="1" outline="0" fieldPosition="0">
        <references count="2">
          <reference field="0" count="0"/>
          <reference field="1" count="1" selected="0">
            <x v="2"/>
          </reference>
        </references>
      </pivotArea>
    </format>
    <format dxfId="64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AA8157-CFEF-47EB-87CE-1037F31B5CA4}" name="피벗 테이블22" cacheId="0" dataOnRows="1" applyNumberFormats="0" applyBorderFormats="0" applyFontFormats="0" applyPatternFormats="0" applyAlignmentFormats="0" applyWidthHeightFormats="1" dataCaption="데이터" updatedVersion="8" showDrill="0" showMemberPropertyTips="0" useAutoFormatting="1" itemPrintTitles="1" mergeItem="1" createdVersion="1" indent="0" compact="0" compactData="0" chartFormat="2">
  <location ref="B116:C121" firstHeaderRow="1" firstDataRow="1" firstDataCol="1"/>
  <pivotFields count="12">
    <pivotField compact="0" outline="0" subtotalTop="0" showAll="0" includeNewItemsInFilter="1" defaultSubtotal="0"/>
    <pivotField axis="axisRow" compact="0" outline="0" showAll="0" includeNewItemsInFilter="1">
      <items count="13">
        <item x="0"/>
        <item x="1"/>
        <item x="2"/>
        <item x="3"/>
        <item m="1" x="4"/>
        <item m="1" x="5"/>
        <item m="1" x="6"/>
        <item m="1" x="7"/>
        <item m="1" x="8"/>
        <item m="1" x="9"/>
        <item m="1" x="10"/>
        <item m="1" x="11"/>
        <item t="default"/>
      </items>
    </pivotField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합계 : Qty" fld="7" baseField="0" baseItem="0"/>
  </dataFields>
  <formats count="30">
    <format dxfId="104">
      <pivotArea type="all" dataOnly="0" outline="0" fieldPosition="0"/>
    </format>
    <format dxfId="103">
      <pivotArea outline="0" fieldPosition="0"/>
    </format>
    <format dxfId="102">
      <pivotArea field="1" type="button" dataOnly="0" labelOnly="1" outline="0" axis="axisRow" fieldPosition="0"/>
    </format>
    <format dxfId="101">
      <pivotArea dataOnly="0" labelOnly="1" outline="0" fieldPosition="0">
        <references count="1">
          <reference field="1" count="0"/>
        </references>
      </pivotArea>
    </format>
    <format dxfId="100">
      <pivotArea dataOnly="0" labelOnly="1" grandRow="1" outline="0" fieldPosition="0"/>
    </format>
    <format dxfId="99">
      <pivotArea dataOnly="0" labelOnly="1" outline="0" axis="axisValues" fieldPosition="0"/>
    </format>
    <format dxfId="98">
      <pivotArea type="all" dataOnly="0" outline="0" fieldPosition="0"/>
    </format>
    <format dxfId="97">
      <pivotArea outline="0" fieldPosition="0"/>
    </format>
    <format dxfId="96">
      <pivotArea field="1" type="button" dataOnly="0" labelOnly="1" outline="0" axis="axisRow" fieldPosition="0"/>
    </format>
    <format dxfId="95">
      <pivotArea dataOnly="0" labelOnly="1" outline="0" fieldPosition="0">
        <references count="1">
          <reference field="1" count="0"/>
        </references>
      </pivotArea>
    </format>
    <format dxfId="94">
      <pivotArea dataOnly="0" labelOnly="1" grandRow="1" outline="0" fieldPosition="0"/>
    </format>
    <format dxfId="93">
      <pivotArea dataOnly="0" labelOnly="1" outline="0" axis="axisValues" fieldPosition="0"/>
    </format>
    <format dxfId="92">
      <pivotArea type="all" dataOnly="0" outline="0" fieldPosition="0"/>
    </format>
    <format dxfId="91">
      <pivotArea outline="0" fieldPosition="0"/>
    </format>
    <format dxfId="90">
      <pivotArea field="1" type="button" dataOnly="0" labelOnly="1" outline="0" axis="axisRow" fieldPosition="0"/>
    </format>
    <format dxfId="89">
      <pivotArea dataOnly="0" labelOnly="1" outline="0" fieldPosition="0">
        <references count="1">
          <reference field="1" count="0"/>
        </references>
      </pivotArea>
    </format>
    <format dxfId="88">
      <pivotArea dataOnly="0" labelOnly="1" grandRow="1" outline="0" fieldPosition="0"/>
    </format>
    <format dxfId="87">
      <pivotArea dataOnly="0" labelOnly="1" outline="0" axis="axisValues" fieldPosition="0"/>
    </format>
    <format dxfId="86">
      <pivotArea type="all" dataOnly="0" outline="0" fieldPosition="0"/>
    </format>
    <format dxfId="85">
      <pivotArea outline="0" fieldPosition="0"/>
    </format>
    <format dxfId="84">
      <pivotArea field="1" type="button" dataOnly="0" labelOnly="1" outline="0" axis="axisRow" fieldPosition="0"/>
    </format>
    <format dxfId="83">
      <pivotArea dataOnly="0" labelOnly="1" outline="0" fieldPosition="0">
        <references count="1">
          <reference field="1" count="0"/>
        </references>
      </pivotArea>
    </format>
    <format dxfId="82">
      <pivotArea dataOnly="0" labelOnly="1" grandRow="1" outline="0" fieldPosition="0"/>
    </format>
    <format dxfId="81">
      <pivotArea dataOnly="0" labelOnly="1" outline="0" axis="axisValues" fieldPosition="0"/>
    </format>
    <format dxfId="80">
      <pivotArea type="all" dataOnly="0" outline="0" fieldPosition="0"/>
    </format>
    <format dxfId="79">
      <pivotArea outline="0" fieldPosition="0"/>
    </format>
    <format dxfId="78">
      <pivotArea field="1" type="button" dataOnly="0" labelOnly="1" outline="0" axis="axisRow" fieldPosition="0"/>
    </format>
    <format dxfId="77">
      <pivotArea dataOnly="0" labelOnly="1" outline="0" fieldPosition="0">
        <references count="1">
          <reference field="1" count="0"/>
        </references>
      </pivotArea>
    </format>
    <format dxfId="76">
      <pivotArea dataOnly="0" labelOnly="1" grandRow="1" outline="0" fieldPosition="0"/>
    </format>
    <format dxfId="75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92F7FC-031D-47D1-B0B0-746BACDE82B1}" name="피벗 테이블13" cacheId="0" dataOnRows="1" applyNumberFormats="0" applyBorderFormats="0" applyFontFormats="0" applyPatternFormats="0" applyAlignmentFormats="0" applyWidthHeightFormats="1" dataCaption="데이터" updatedVersion="8" showDrill="0" showMemberPropertyTips="0" useAutoFormatting="1" itemPrintTitles="1" mergeItem="1" createdVersion="1" indent="0" compact="0" compactData="0" chartFormat="2">
  <location ref="B40:C51" firstHeaderRow="1" firstDataRow="1" firstDataCol="1"/>
  <pivotFields count="12"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howAll="0" includeNewItemsInFilter="1"/>
    <pivotField axis="axisRow" compact="0" outline="0" subtotalTop="0" showAll="0" includeNewItemsInFilter="1" defaultSubtotal="0">
      <items count="29">
        <item m="1" x="26"/>
        <item m="1" x="13"/>
        <item x="4"/>
        <item x="2"/>
        <item m="1" x="19"/>
        <item x="8"/>
        <item x="0"/>
        <item m="1" x="14"/>
        <item x="6"/>
        <item m="1" x="23"/>
        <item x="5"/>
        <item m="1" x="24"/>
        <item x="1"/>
        <item x="3"/>
        <item m="1" x="25"/>
        <item m="1" x="12"/>
        <item m="1" x="16"/>
        <item m="1" x="28"/>
        <item m="1" x="11"/>
        <item m="1" x="22"/>
        <item m="1" x="20"/>
        <item m="1" x="21"/>
        <item m="1" x="17"/>
        <item m="1" x="18"/>
        <item m="1" x="27"/>
        <item m="1" x="15"/>
        <item x="7"/>
        <item x="9"/>
        <item m="1" x="1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</pivotFields>
  <rowFields count="1">
    <field x="4"/>
  </rowFields>
  <rowItems count="11">
    <i>
      <x v="2"/>
    </i>
    <i>
      <x v="3"/>
    </i>
    <i>
      <x v="5"/>
    </i>
    <i>
      <x v="6"/>
    </i>
    <i>
      <x v="8"/>
    </i>
    <i>
      <x v="10"/>
    </i>
    <i>
      <x v="12"/>
    </i>
    <i>
      <x v="13"/>
    </i>
    <i>
      <x v="26"/>
    </i>
    <i>
      <x v="27"/>
    </i>
    <i t="grand">
      <x/>
    </i>
  </rowItems>
  <colItems count="1">
    <i/>
  </colItems>
  <dataFields count="1">
    <dataField name="합계 : Qty" fld="7" baseField="0" baseItem="0"/>
  </dataFields>
  <formats count="6">
    <format dxfId="110">
      <pivotArea type="all" dataOnly="0" outline="0" fieldPosition="0"/>
    </format>
    <format dxfId="109">
      <pivotArea outline="0" fieldPosition="0"/>
    </format>
    <format dxfId="108">
      <pivotArea field="4" type="button" dataOnly="0" labelOnly="1" outline="0" axis="axisRow" fieldPosition="0"/>
    </format>
    <format dxfId="107">
      <pivotArea dataOnly="0" labelOnly="1" outline="0" fieldPosition="0">
        <references count="1">
          <reference field="4" count="0"/>
        </references>
      </pivotArea>
    </format>
    <format dxfId="106">
      <pivotArea dataOnly="0" labelOnly="1" grandRow="1" outline="0" fieldPosition="0"/>
    </format>
    <format dxfId="105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4B6B5D-EA0A-456A-9F7E-91314E103493}" name="피벗 테이블19" cacheId="0" dataOnRows="1" applyNumberFormats="0" applyBorderFormats="0" applyFontFormats="0" applyPatternFormats="0" applyAlignmentFormats="0" applyWidthHeightFormats="1" dataCaption="데이터" updatedVersion="8" showDrill="0" showMemberPropertyTips="0" useAutoFormatting="1" itemPrintTitles="1" mergeItem="1" createdVersion="1" indent="0" compact="0" compactData="0" chartFormat="2">
  <location ref="P150:Q153" firstHeaderRow="1" firstDataRow="1" firstDataCol="1"/>
  <pivotFields count="12"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howAll="0" includeNewItemsInFilter="1"/>
    <pivotField axis="axisRow" compact="0" outline="0" subtotalTop="0" showAll="0" includeNewItemsInFilter="1" defaultSubtotal="0">
      <items count="5">
        <item x="0"/>
        <item x="1"/>
        <item m="1" x="3"/>
        <item m="1" x="2"/>
        <item m="1" x="4"/>
      </items>
    </pivotField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합계 : Qty" fld="7" baseField="0" baseItem="0"/>
  </dataFields>
  <formats count="6">
    <format dxfId="116">
      <pivotArea type="all" dataOnly="0" outline="0" fieldPosition="0"/>
    </format>
    <format dxfId="115">
      <pivotArea outline="0" fieldPosition="0"/>
    </format>
    <format dxfId="114">
      <pivotArea field="8" type="button" dataOnly="0" labelOnly="1" outline="0" axis="axisRow" fieldPosition="0"/>
    </format>
    <format dxfId="113">
      <pivotArea dataOnly="0" labelOnly="1" outline="0" fieldPosition="0">
        <references count="1">
          <reference field="8" count="0"/>
        </references>
      </pivotArea>
    </format>
    <format dxfId="112">
      <pivotArea dataOnly="0" labelOnly="1" grandRow="1" outline="0" fieldPosition="0"/>
    </format>
    <format dxfId="111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035D46-331F-4DD9-8264-0B73DEE8E4CB}" name="피벗 테이블3" cacheId="0" dataOnRows="1" applyNumberFormats="0" applyBorderFormats="0" applyFontFormats="0" applyPatternFormats="0" applyAlignmentFormats="0" applyWidthHeightFormats="1" dataCaption="데이터" updatedVersion="8" showMemberPropertyTips="0" useAutoFormatting="1" itemPrintTitles="1" createdVersion="1" indent="0" compact="0" compactData="0" gridDropZones="1" chartFormat="2">
  <location ref="B4:C7" firstHeaderRow="2" firstDataRow="2" firstDataCol="1"/>
  <pivotFields count="12"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axis="axisRow" compact="0" outline="0" subtotalTop="0" showAll="0" includeNewItemsInFilter="1" defaultSubtotal="0">
      <items count="23">
        <item m="1" x="1"/>
        <item m="1" x="18"/>
        <item m="1" x="20"/>
        <item m="1" x="8"/>
        <item m="1" x="2"/>
        <item m="1" x="22"/>
        <item m="1" x="7"/>
        <item m="1" x="4"/>
        <item m="1" x="3"/>
        <item m="1" x="17"/>
        <item m="1" x="14"/>
        <item m="1" x="19"/>
        <item x="0"/>
        <item m="1" x="21"/>
        <item m="1" x="15"/>
        <item m="1" x="9"/>
        <item m="1" x="5"/>
        <item m="1" x="13"/>
        <item m="1" x="16"/>
        <item m="1" x="6"/>
        <item m="1" x="12"/>
        <item m="1" x="10"/>
        <item m="1" x="1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</pivotFields>
  <rowFields count="1">
    <field x="3"/>
  </rowFields>
  <rowItems count="2">
    <i>
      <x v="12"/>
    </i>
    <i t="grand">
      <x/>
    </i>
  </rowItems>
  <colItems count="1">
    <i/>
  </colItems>
  <dataFields count="1">
    <dataField name="합계 : Qty" fld="7" baseField="0" baseItem="0"/>
  </dataFields>
  <formats count="7">
    <format dxfId="123">
      <pivotArea type="all" dataOnly="0" outline="0" fieldPosition="0"/>
    </format>
    <format dxfId="122">
      <pivotArea outline="0" fieldPosition="0"/>
    </format>
    <format dxfId="121">
      <pivotArea type="origin" dataOnly="0" labelOnly="1" outline="0" fieldPosition="0"/>
    </format>
    <format dxfId="120">
      <pivotArea field="3" type="button" dataOnly="0" labelOnly="1" outline="0" axis="axisRow" fieldPosition="0"/>
    </format>
    <format dxfId="119">
      <pivotArea dataOnly="0" labelOnly="1" outline="0" fieldPosition="0">
        <references count="1">
          <reference field="3" count="0"/>
        </references>
      </pivotArea>
    </format>
    <format dxfId="118">
      <pivotArea dataOnly="0" labelOnly="1" grandRow="1" outline="0" fieldPosition="0"/>
    </format>
    <format dxfId="117">
      <pivotArea type="topRight" dataOnly="0" labelOnly="1" outline="0" fieldPosition="0"/>
    </format>
  </formats>
  <chartFormats count="2">
    <chartFormat chart="1" format="2" series="1">
      <pivotArea type="data" outline="0" fieldPosition="0"/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E05AD1-2EB5-45C7-8006-9B9AF2D7D91C}" name="피벗 테이블12" cacheId="0" dataOnRows="1" applyNumberFormats="0" applyBorderFormats="0" applyFontFormats="0" applyPatternFormats="0" applyAlignmentFormats="0" applyWidthHeightFormats="1" dataCaption="데이터" updatedVersion="8" showDrill="0" showMemberPropertyTips="0" useAutoFormatting="1" itemPrintTitles="1" mergeItem="1" createdVersion="1" indent="0" compact="0" compactData="0" chartFormat="2">
  <location ref="P4:Q7" firstHeaderRow="1" firstDataRow="1" firstDataCol="1"/>
  <pivotFields count="12">
    <pivotField axis="axisRow" compact="0" outline="0" subtotalTop="0" showAll="0" includeNewItemsInFilter="1" defaultSubtotal="0">
      <items count="3">
        <item x="1"/>
        <item x="0"/>
        <item m="1" x="2"/>
      </items>
    </pivotField>
    <pivotField compact="0" outline="0" showAll="0" includeNewItemsInFilter="1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합계 : Qty" fld="7" baseField="0" baseItem="0"/>
  </dataFields>
  <formats count="6">
    <format dxfId="129">
      <pivotArea type="all" dataOnly="0" outline="0" fieldPosition="0"/>
    </format>
    <format dxfId="128">
      <pivotArea outline="0" fieldPosition="0"/>
    </format>
    <format dxfId="127">
      <pivotArea field="0" type="button" dataOnly="0" labelOnly="1" outline="0" axis="axisRow" fieldPosition="0"/>
    </format>
    <format dxfId="126">
      <pivotArea dataOnly="0" labelOnly="1" outline="0" fieldPosition="0">
        <references count="1">
          <reference field="0" count="0"/>
        </references>
      </pivotArea>
    </format>
    <format dxfId="125">
      <pivotArea dataOnly="0" labelOnly="1" grandRow="1" outline="0" fieldPosition="0"/>
    </format>
    <format dxfId="124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AD11F-9B5B-48B8-A52A-1D07CF95361B}" name="피벗 테이블20" cacheId="0" dataOnRows="1" applyNumberFormats="0" applyBorderFormats="0" applyFontFormats="0" applyPatternFormats="0" applyAlignmentFormats="0" applyWidthHeightFormats="1" dataCaption="데이터" updatedVersion="8" showDrill="0" showMemberPropertyTips="0" useAutoFormatting="1" itemPrintTitles="1" mergeItem="1" createdVersion="1" indent="0" compact="0" compactData="0" chartFormat="2">
  <location ref="P116:Q119" firstHeaderRow="1" firstDataRow="1" firstDataCol="1"/>
  <pivotFields count="12"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howAll="0" includeNewItemsInFilter="1"/>
    <pivotField compact="0" outline="0" subtotalTop="0" showAll="0" includeNewItemsInFilter="1" defaultSubtotal="0"/>
    <pivotField axis="axisRow" compact="0" outline="0" subtotalTop="0" showAll="0" includeNewItemsInFilter="1" defaultSubtotal="0">
      <items count="6">
        <item m="1" x="3"/>
        <item x="0"/>
        <item x="1"/>
        <item m="1" x="5"/>
        <item m="1" x="2"/>
        <item m="1" x="4"/>
      </items>
    </pivotField>
    <pivotField compact="0" outline="0" showAll="0" includeNewItemsInFilter="1"/>
    <pivotField compact="0" outline="0" subtotalTop="0" showAll="0" includeNewItemsInFilter="1" defaultSubtotal="0"/>
  </pivotFields>
  <rowFields count="1">
    <field x="9"/>
  </rowFields>
  <rowItems count="3">
    <i>
      <x v="1"/>
    </i>
    <i>
      <x v="2"/>
    </i>
    <i t="grand">
      <x/>
    </i>
  </rowItems>
  <colItems count="1">
    <i/>
  </colItems>
  <dataFields count="1">
    <dataField name="합계 : Qty" fld="7" baseField="0" baseItem="0"/>
  </dataFields>
  <formats count="6">
    <format dxfId="135">
      <pivotArea type="all" dataOnly="0" outline="0" fieldPosition="0"/>
    </format>
    <format dxfId="134">
      <pivotArea outline="0" fieldPosition="0"/>
    </format>
    <format dxfId="133">
      <pivotArea field="9" type="button" dataOnly="0" labelOnly="1" outline="0" axis="axisRow" fieldPosition="0"/>
    </format>
    <format dxfId="132">
      <pivotArea dataOnly="0" labelOnly="1" outline="0" fieldPosition="0">
        <references count="1">
          <reference field="9" count="0"/>
        </references>
      </pivotArea>
    </format>
    <format dxfId="131">
      <pivotArea dataOnly="0" labelOnly="1" grandRow="1" outline="0" fieldPosition="0"/>
    </format>
    <format dxfId="130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FBB7F7-87BC-4A93-BC59-60D978B879A4}" name="피벗 테이블21" cacheId="0" dataOnRows="1" applyNumberFormats="0" applyBorderFormats="0" applyFontFormats="0" applyPatternFormats="0" applyAlignmentFormats="0" applyWidthHeightFormats="1" dataCaption="데이터" updatedVersion="8" showDrill="0" showMemberPropertyTips="0" useAutoFormatting="1" itemPrintTitles="1" mergeItem="1" createdVersion="1" indent="0" compact="0" compactData="0" chartFormat="4">
  <location ref="P76:Q79" firstHeaderRow="1" firstDataRow="1" firstDataCol="1"/>
  <pivotFields count="12"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howAll="0" includeNewItemsInFilter="1">
      <items count="5">
        <item x="1"/>
        <item x="0"/>
        <item m="1" x="2"/>
        <item m="1" x="3"/>
        <item t="default"/>
      </items>
    </pivotField>
    <pivotField compact="0" outline="0" subtotalTop="0" showAll="0" includeNewItemsInFilter="1" defaultSubtotal="0"/>
  </pivotFields>
  <rowFields count="1">
    <field x="10"/>
  </rowFields>
  <rowItems count="3">
    <i>
      <x/>
    </i>
    <i>
      <x v="1"/>
    </i>
    <i t="grand">
      <x/>
    </i>
  </rowItems>
  <colItems count="1">
    <i/>
  </colItems>
  <dataFields count="1">
    <dataField name="합계 : Qty" fld="7" baseField="0" baseItem="0"/>
  </dataFields>
  <formats count="6">
    <format dxfId="141">
      <pivotArea type="all" dataOnly="0" outline="0" fieldPosition="0"/>
    </format>
    <format dxfId="140">
      <pivotArea outline="0" fieldPosition="0"/>
    </format>
    <format dxfId="139">
      <pivotArea field="10" type="button" dataOnly="0" labelOnly="1" outline="0" axis="axisRow" fieldPosition="0"/>
    </format>
    <format dxfId="138">
      <pivotArea dataOnly="0" labelOnly="1" outline="0" fieldPosition="0">
        <references count="1">
          <reference field="10" count="0"/>
        </references>
      </pivotArea>
    </format>
    <format dxfId="137">
      <pivotArea dataOnly="0" labelOnly="1" grandRow="1" outline="0" fieldPosition="0"/>
    </format>
    <format dxfId="136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5358B5-6937-4858-8B0F-140BC7F59885}" name="tbl_견적" displayName="tbl_견적" ref="A1:L210" totalsRowShown="0" tableBorderDxfId="431">
  <autoFilter ref="A1:L210" xr:uid="{4F5358B5-6937-4858-8B0F-140BC7F59885}"/>
  <tableColumns count="12">
    <tableColumn id="1" xr3:uid="{9BDCE001-9E36-4BE0-9832-B7E64B07C097}" name="견적일" dataDxfId="430"/>
    <tableColumn id="2" xr3:uid="{CD1F5EA1-F271-45AB-8D39-1F5C767E2792}" name="일렬번호" dataDxfId="429"/>
    <tableColumn id="3" xr3:uid="{30D6565F-5978-4368-847E-676CD45FFFDD}" name="문서번호" dataDxfId="428">
      <calculatedColumnFormula>"EX"&amp;TEXT(tbl_견적[[#This Row],[견적일]],"yymmdd")&amp;"-"&amp;TEXT(tbl_견적[[#This Row],[일렬번호]],"00")</calculatedColumnFormula>
    </tableColumn>
    <tableColumn id="4" xr3:uid="{3430B4C1-5F6A-4176-B74F-4F9DDF2B19FE}" name="발주처" dataDxfId="427"/>
    <tableColumn id="5" xr3:uid="{D806C9C2-7492-45D9-8E43-6F5E647C76CA}" name="품명" dataDxfId="426"/>
    <tableColumn id="6" xr3:uid="{28DD187A-89ED-4B9C-90EE-48860799CD73}" name="모델" dataDxfId="425"/>
    <tableColumn id="7" xr3:uid="{C5833BBB-81D3-498A-90A7-E1C333DFA02C}" name="Description" dataDxfId="424"/>
    <tableColumn id="8" xr3:uid="{1C114D84-9537-436B-9B37-86722D204F69}" name="수량" dataDxfId="423"/>
    <tableColumn id="9" xr3:uid="{2148109C-5376-4C9B-B619-3ABA943F5AEF}" name="단가" dataDxfId="422" dataCellStyle="통화 [0]"/>
    <tableColumn id="10" xr3:uid="{F700104E-2ABF-49C5-A720-C38F30FF6EC3}" name="금액" dataDxfId="421" dataCellStyle="통화 [0]">
      <calculatedColumnFormula>H2*I2</calculatedColumnFormula>
    </tableColumn>
    <tableColumn id="11" xr3:uid="{D5EC0CEA-6415-40E1-AA3B-9A8B7488914E}" name="금액_x000a_(VAT포함)" dataDxfId="420" dataCellStyle="통화 [0]">
      <calculatedColumnFormula>견적!$J2*1.1</calculatedColumnFormula>
    </tableColumn>
    <tableColumn id="12" xr3:uid="{67532540-5553-44DF-BBC1-B62FEEACD349}" name="비고" dataDxfId="41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855D47B-3ADB-4B76-920C-661AB2CB2B34}" name="tbl_발주대기_국내" displayName="tbl_발주대기_국내" ref="A2:AA7" totalsRowShown="0" headerRowDxfId="418" headerRowBorderDxfId="417" tableBorderDxfId="416" totalsRowBorderDxfId="415">
  <autoFilter ref="A2:AA7" xr:uid="{2855D47B-3ADB-4B76-920C-661AB2CB2B34}"/>
  <tableColumns count="27">
    <tableColumn id="1" xr3:uid="{1EADBDE8-AE88-46DF-BFE6-640A5CC67EB8}" name="발주일" dataDxfId="414"/>
    <tableColumn id="2" xr3:uid="{B0188271-646A-4059-80F4-33A97BA2E5F4}" name="일렬번호" dataDxfId="413"/>
    <tableColumn id="3" xr3:uid="{CC8FA38A-ABAF-4373-818C-32ECA2B8AD14}" name="문서번호" dataDxfId="412">
      <calculatedColumnFormula>"KR"&amp;TEXT(tbl_발주대기_국내[[#This Row],[발주일]],"yymmdd")&amp;"-"&amp;TEXT(tbl_발주대기_국내[[#This Row],[일렬번호]],"00")</calculatedColumnFormula>
    </tableColumn>
    <tableColumn id="4" xr3:uid="{F928F9C2-DE02-45D9-9F5D-F2EDCA97C73D}" name="발주처" dataDxfId="411"/>
    <tableColumn id="5" xr3:uid="{FD40D881-ABFD-4666-820F-B0D7F8A51D4C}" name="품명" dataDxfId="410"/>
    <tableColumn id="6" xr3:uid="{5D7BE54E-CAFE-4122-9F11-B247B331177F}" name="모델" dataDxfId="409"/>
    <tableColumn id="7" xr3:uid="{06DA7485-7B63-48C1-AF3F-21CBE89C8F5A}" name="Description" dataDxfId="408"/>
    <tableColumn id="8" xr3:uid="{8BA701AF-FA6A-4E66-AF31-26126B8C6E51}" name="수량" dataDxfId="407"/>
    <tableColumn id="9" xr3:uid="{BAAB60C5-09F3-414E-AD15-02856BB5DABD}" name="단가" dataDxfId="406"/>
    <tableColumn id="10" xr3:uid="{18B9CE45-0EB1-4EBE-8336-DC5DA1003417}" name="금액" dataDxfId="405" dataCellStyle="통화 [0]">
      <calculatedColumnFormula>I3*H3</calculatedColumnFormula>
    </tableColumn>
    <tableColumn id="11" xr3:uid="{03BBFA7B-8640-439B-976A-94BDEEE84ACC}" name="금액_x000a_(VAT포함)" dataDxfId="404" dataCellStyle="통화 [0]">
      <calculatedColumnFormula>J3*1.1</calculatedColumnFormula>
    </tableColumn>
    <tableColumn id="12" xr3:uid="{A0FFE104-D30B-4DC4-AC66-1D27DEB0A597}" name="발송예정일" dataDxfId="403" dataCellStyle="통화 [0]"/>
    <tableColumn id="13" xr3:uid="{D5624560-12E3-4B3E-AE58-75B0AE66AF68}" name="발송일" dataDxfId="402"/>
    <tableColumn id="14" xr3:uid="{168D9C14-C8E6-4771-B2E3-8977041C2A6F}" name="입금액" dataDxfId="401" dataCellStyle="통화 [0]"/>
    <tableColumn id="15" xr3:uid="{5FBDBDCD-EF89-42A1-93FA-E0C10AC2FC3F}" name="수취일" dataDxfId="400"/>
    <tableColumn id="16" xr3:uid="{635F6EA1-1684-4EC9-9BFC-42F843ADFDBC}" name="계산서_x000a_발행일/구매확정일" dataDxfId="399"/>
    <tableColumn id="17" xr3:uid="{A46E27C5-3212-416D-B432-E43512F3C406}" name="세금계산서비고" dataDxfId="398"/>
    <tableColumn id="18" xr3:uid="{01FCBE43-7295-4ED8-BF6D-E9D1404AA200}" name="연구분" dataDxfId="397"/>
    <tableColumn id="19" xr3:uid="{281A04BF-48FD-4949-BA46-34F0C90959B6}" name="월구분" dataDxfId="396"/>
    <tableColumn id="20" xr3:uid="{0CBB2ACF-A5BA-4E4E-B2C4-CC38A68C0B95}" name="카메라구분" dataDxfId="395"/>
    <tableColumn id="21" xr3:uid="{556C7738-D967-4CFD-AE26-11458EE06AFB}" name="렌즈" dataDxfId="394"/>
    <tableColumn id="22" xr3:uid="{4E8437D7-2BF8-4AD2-91ED-8A6AEADE98B7}" name="옵션" dataDxfId="393"/>
    <tableColumn id="23" xr3:uid="{BD6871EB-0FD5-407B-8860-F8C59480FF71}" name="해상도" dataDxfId="392"/>
    <tableColumn id="24" xr3:uid="{0B9B877B-1485-4B02-8A23-6B9F262FE4B8}" name="용도" dataDxfId="391"/>
    <tableColumn id="25" xr3:uid="{026FD8B9-07C0-4455-ACCC-92112F01788B}" name="구분" dataDxfId="390"/>
    <tableColumn id="26" xr3:uid="{C71CD728-A538-4C29-95B7-05F2B4EB1C52}" name="센서" dataDxfId="389"/>
    <tableColumn id="27" xr3:uid="{6E141D9E-F33E-4950-9129-C0BA249ADB56}" name="발주서" dataDxfId="38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BECA90-1D53-49B3-B27B-E13724A36C0E}" name="tbl_국내" displayName="tbl_국내" ref="A1:AA241" totalsRowShown="0" headerRowDxfId="387" dataDxfId="386" tableBorderDxfId="385">
  <autoFilter ref="A1:AA241" xr:uid="{40BECA90-1D53-49B3-B27B-E13724A36C0E}"/>
  <sortState xmlns:xlrd2="http://schemas.microsoft.com/office/spreadsheetml/2017/richdata2" ref="A2:AA239">
    <sortCondition ref="M1:M239"/>
  </sortState>
  <tableColumns count="27">
    <tableColumn id="1" xr3:uid="{12B9058C-CA1F-4F4F-BC9A-D3D965297DE7}" name="발주일" dataDxfId="384" totalsRowDxfId="383"/>
    <tableColumn id="2" xr3:uid="{EA47F564-72C4-4F52-9A16-A92068129220}" name="일렬번호" dataDxfId="382" totalsRowDxfId="381"/>
    <tableColumn id="3" xr3:uid="{02FEA9D5-789B-48E9-ADF7-B02340BB246C}" name="문서번호" dataDxfId="380" totalsRowDxfId="379"/>
    <tableColumn id="4" xr3:uid="{DC455DA7-294B-49F2-969F-D05719295A82}" name="발주처" dataDxfId="378" totalsRowDxfId="377"/>
    <tableColumn id="5" xr3:uid="{EF14B3E1-28A4-4400-B0FC-421022513D10}" name="품명" dataDxfId="376" totalsRowDxfId="375"/>
    <tableColumn id="6" xr3:uid="{F386075D-7CA5-4B3A-94CF-29AA601E567B}" name="모델" dataDxfId="374" totalsRowDxfId="373"/>
    <tableColumn id="7" xr3:uid="{E865DF24-DE14-4E2B-9D08-C4D8C4F95A81}" name="Description" dataDxfId="372" totalsRowDxfId="371"/>
    <tableColumn id="8" xr3:uid="{A256BDAB-D7DF-4664-81E2-BD4378B05268}" name="수량" dataDxfId="370" totalsRowDxfId="369"/>
    <tableColumn id="9" xr3:uid="{ACDE0863-1948-4C8D-BAE7-786EE526DBA7}" name="단가" dataDxfId="368" totalsRowDxfId="367" dataCellStyle="통화 [0]"/>
    <tableColumn id="10" xr3:uid="{105F0989-F6E3-4116-9236-98AE57FCDC88}" name="금액" dataDxfId="366" totalsRowDxfId="365" dataCellStyle="통화 [0]">
      <calculatedColumnFormula>H2*I2</calculatedColumnFormula>
    </tableColumn>
    <tableColumn id="11" xr3:uid="{440835DA-9342-4214-8252-52F76E8C1038}" name="금액_x000a_(VAT포함)" dataDxfId="364" totalsRowDxfId="363" dataCellStyle="통화 [0]">
      <calculatedColumnFormula>tbl_국내[[#This Row],[금액]]*1.1</calculatedColumnFormula>
    </tableColumn>
    <tableColumn id="12" xr3:uid="{17FB8FDE-970D-46F6-8756-5718CAF14980}" name="발송예정일" dataDxfId="362" totalsRowDxfId="361" dataCellStyle="통화 [0]"/>
    <tableColumn id="13" xr3:uid="{FBB7F52D-E030-48EE-9A7B-CA25FA98E35E}" name="발송일" dataDxfId="360"/>
    <tableColumn id="14" xr3:uid="{E52BF4FC-FFCA-4B9A-98FB-3F4CC4FB84D4}" name="입금액" dataDxfId="359" totalsRowDxfId="358" dataCellStyle="통화 [0]"/>
    <tableColumn id="15" xr3:uid="{1D3D07EC-28E4-46BC-8C22-AC30746383C4}" name="수취일" dataDxfId="357" totalsRowDxfId="356"/>
    <tableColumn id="16" xr3:uid="{4694F789-FDEE-4A36-8158-0FA4433991AF}" name="계산서_x000a_발행일/구매확정일" dataDxfId="355" totalsRowDxfId="354"/>
    <tableColumn id="17" xr3:uid="{D859099A-02AC-45FC-9F8E-4BA072E8076D}" name="세금계산서비고" dataDxfId="353" totalsRowDxfId="352"/>
    <tableColumn id="27" xr3:uid="{8136DFAA-7749-45C1-85EC-2CCF0E798E64}" name="연구분" dataDxfId="351" totalsRowDxfId="350">
      <calculatedColumnFormula>YEAR(tbl_국내[[#This Row],[계산서
발행일/구매확정일]])</calculatedColumnFormula>
    </tableColumn>
    <tableColumn id="18" xr3:uid="{4366ED1F-3800-4EE0-901D-B82BB993280E}" name="월구분" dataDxfId="349" totalsRowDxfId="348">
      <calculatedColumnFormula>IF(국내!$P2="",0,MONTH(국내!$P2))</calculatedColumnFormula>
    </tableColumn>
    <tableColumn id="19" xr3:uid="{C4F7D47C-1B3E-4009-9210-F4BE74A36883}" name="카메라구분" dataDxfId="347" totalsRowDxfId="346">
      <calculatedColumnFormula>IFERROR(VLOOKUP($F2,product[],6,0),"error")</calculatedColumnFormula>
    </tableColumn>
    <tableColumn id="20" xr3:uid="{CEA8A897-4CF4-4B08-9068-6D829DFB9F1C}" name="렌즈" dataDxfId="345" totalsRowDxfId="344"/>
    <tableColumn id="21" xr3:uid="{71A8CC80-FADB-4259-8E9D-B834996533E2}" name="옵션" dataDxfId="343" totalsRowDxfId="342"/>
    <tableColumn id="22" xr3:uid="{26FB2DFE-15FA-4B7E-A2CE-8B2BF1377F99}" name="해상도" dataDxfId="341" totalsRowDxfId="340">
      <calculatedColumnFormula>IF($T2="카메라",VLOOKUP($F2,드롭다운!$A:$F,2,0),"")</calculatedColumnFormula>
    </tableColumn>
    <tableColumn id="23" xr3:uid="{2D09480D-18D9-4769-B87E-CE71E051CF47}" name="용도" dataDxfId="339" totalsRowDxfId="338">
      <calculatedColumnFormula>IF($T2="카메라",VLOOKUP($F2,드롭다운!$A:$F,3,0),"")</calculatedColumnFormula>
    </tableColumn>
    <tableColumn id="24" xr3:uid="{9F342F3A-FDFC-44FD-9D61-8BE5D775B2C8}" name="구분" dataDxfId="337" totalsRowDxfId="336">
      <calculatedColumnFormula>IF($T2="카메라",VLOOKUP($F2,드롭다운!$A:$F,4,0),"")</calculatedColumnFormula>
    </tableColumn>
    <tableColumn id="25" xr3:uid="{5062794A-FB45-405F-ABE4-83A0CA2C66D7}" name="센서" dataDxfId="335" totalsRowDxfId="334">
      <calculatedColumnFormula>IF($T2="카메라",VLOOKUP($F2,드롭다운!$A:$F,5,0),"")</calculatedColumnFormula>
    </tableColumn>
    <tableColumn id="26" xr3:uid="{8DF198CB-E5D8-485B-8353-E18EA2ACEFA7}" name="발주서" dataDxfId="333" totalsRowDxfId="33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FA4EF0-1B80-4FC5-8E39-A367092CC78C}" name="tbl_해외" displayName="tbl_해외" ref="A1:AC167" totalsRowShown="0" headerRowDxfId="331" dataDxfId="330" tableBorderDxfId="329">
  <autoFilter ref="A1:AC167" xr:uid="{A4FA4EF0-1B80-4FC5-8E39-A367092CC78C}"/>
  <sortState xmlns:xlrd2="http://schemas.microsoft.com/office/spreadsheetml/2017/richdata2" ref="A2:AB142">
    <sortCondition ref="O1:O142"/>
  </sortState>
  <tableColumns count="29">
    <tableColumn id="1" xr3:uid="{4FBB9E6A-0EBE-43B3-BC89-A0CCEBC785A1}" name="발주일" dataDxfId="328"/>
    <tableColumn id="23" xr3:uid="{39017161-7642-45CB-A7CC-29A462023FDA}" name="일렬번호" dataDxfId="327"/>
    <tableColumn id="24" xr3:uid="{CEB89B5F-6CBA-4020-967F-FAB27BDB07F4}" name="문서번호" dataDxfId="326">
      <calculatedColumnFormula>"EX"&amp;TEXT(tbl_해외[[#This Row],[발주일]],"yymmdd")&amp;"-"&amp;TEXT(tbl_해외[[#This Row],[일렬번호]],"00")</calculatedColumnFormula>
    </tableColumn>
    <tableColumn id="3" xr3:uid="{86DA66E4-4E87-4362-98C6-58C419B224A7}" name="업체명" dataDxfId="325"/>
    <tableColumn id="25" xr3:uid="{4EAAAE29-B79C-4EE5-8BE4-E944CE1450CA}" name="품명" dataDxfId="324"/>
    <tableColumn id="4" xr3:uid="{DF713780-7E3E-4A33-8C8C-C08F5760DC24}" name="모델명" dataDxfId="323"/>
    <tableColumn id="27" xr3:uid="{1B369A03-F040-476F-B2E4-A96365677DE3}" name="Description" dataDxfId="322"/>
    <tableColumn id="7" xr3:uid="{923A0E19-AB01-4F97-8A8D-05DC7A661F41}" name="수량" dataDxfId="321"/>
    <tableColumn id="8" xr3:uid="{C0A746EC-6177-4B84-8A56-9598326A4885}" name="단가" dataDxfId="320"/>
    <tableColumn id="9" xr3:uid="{AFE1D983-8BED-4CD4-A19F-42BB5C6539AE}" name="금액" dataDxfId="319"/>
    <tableColumn id="10" xr3:uid="{A95EF721-EAE1-4F4C-9234-E1CE83CCDD0F}" name="환율(원/달러)" dataDxfId="318"/>
    <tableColumn id="11" xr3:uid="{D17C7B3E-A42E-4855-AD8B-5DA4BD031EA7}" name="금액(원)/필증기준" dataDxfId="317" dataCellStyle="통화 [0]"/>
    <tableColumn id="12" xr3:uid="{7C608759-691A-4286-B727-79404E12D10F}" name="출고예정일" dataDxfId="316"/>
    <tableColumn id="13" xr3:uid="{8CC4145D-74B1-4829-B343-170C4C5AC78A}" name="발송일" dataDxfId="315"/>
    <tableColumn id="14" xr3:uid="{25F2964B-B332-4AD7-B4BC-5ADFBAA7CD03}" name="선적일" dataDxfId="314"/>
    <tableColumn id="15" xr3:uid="{36E90B30-4DD7-4189-AE91-C2D524C3F748}" name="선적방법" dataDxfId="313"/>
    <tableColumn id="16" xr3:uid="{8078E022-E94C-45F4-A643-D3B859C75CA9}" name="실입금액" dataDxfId="312"/>
    <tableColumn id="17" xr3:uid="{1790AD37-9391-404D-8ABC-B318BDCFC5FC}" name="수취일" dataDxfId="311"/>
    <tableColumn id="19" xr3:uid="{DDC17D1C-3A1A-4634-9E37-9F7950BA2134}" name="카메라구분" dataDxfId="310">
      <calculatedColumnFormula>IFERROR(VLOOKUP($F2,product[],6,0),"error")</calculatedColumnFormula>
    </tableColumn>
    <tableColumn id="29" xr3:uid="{ABDBDBA4-9BD2-4BD7-89AB-45FD8E10D139}" name="렌즈분류" dataDxfId="309"/>
    <tableColumn id="28" xr3:uid="{9181F66F-6BD3-4967-8B65-DEEA1E99FC45}" name="온도/옵션" dataDxfId="308"/>
    <tableColumn id="6" xr3:uid="{AE0CA22A-0A04-47B9-B105-B7C40A82D740}" name="연구분" dataDxfId="307">
      <calculatedColumnFormula>YEAR(tbl_해외[[#This Row],[선적일]])</calculatedColumnFormula>
    </tableColumn>
    <tableColumn id="20" xr3:uid="{4B41C301-D3A6-4C22-8B7E-7F702BE6029B}" name="월구분" dataDxfId="306">
      <calculatedColumnFormula>IF(tbl_해외[[#This Row],[선적일]]="",0,MONTH(tbl_해외[[#This Row],[선적일]]))</calculatedColumnFormula>
    </tableColumn>
    <tableColumn id="2" xr3:uid="{828108D1-58D3-454B-AE2F-442B3D6F9FDE}" name="해상도" dataDxfId="305">
      <calculatedColumnFormula>IF($S2="카메라",VLOOKUP($F2,드롭다운!$A:$F,2,0),"")</calculatedColumnFormula>
    </tableColumn>
    <tableColumn id="18" xr3:uid="{E0C9B793-200D-4738-999B-9935439E95AC}" name="용도" dataDxfId="304">
      <calculatedColumnFormula>IF($S2="카메라",VLOOKUP($F2,드롭다운!$A:$F,3,0),"")</calculatedColumnFormula>
    </tableColumn>
    <tableColumn id="21" xr3:uid="{F7A8E166-78AB-44AF-AC1C-F4B386A0A1B3}" name="구분" dataDxfId="303">
      <calculatedColumnFormula>IF($S2="카메라",VLOOKUP($F2,드롭다운!$A:$F,4,0),"")</calculatedColumnFormula>
    </tableColumn>
    <tableColumn id="22" xr3:uid="{051FFCD1-5C5C-417A-B0F4-EE0468250B16}" name="센서" dataDxfId="302">
      <calculatedColumnFormula>IF($S2="카메라",VLOOKUP($F2,드롭다운!$A:$F,5,0),"")</calculatedColumnFormula>
    </tableColumn>
    <tableColumn id="5" xr3:uid="{B793D130-A38C-43B2-8FB9-B2713AF25B91}" name="PO" dataDxfId="301"/>
    <tableColumn id="26" xr3:uid="{712D099F-01D7-45D0-9260-E4A4B6063178}" name="비고" dataDxfId="30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0769FA-E7CD-4CB7-B9EE-6EA2076F80BF}" name="tbl_대여" displayName="tbl_대여" ref="A1:K28" totalsRowShown="0" headerRowBorderDxfId="299" tableBorderDxfId="298">
  <autoFilter ref="A1:K28" xr:uid="{1B0769FA-E7CD-4CB7-B9EE-6EA2076F80BF}"/>
  <tableColumns count="11">
    <tableColumn id="1" xr3:uid="{B2F91C1C-617E-40AD-A993-26F84D311E54}" name="발주일" dataDxfId="297"/>
    <tableColumn id="2" xr3:uid="{4FE03C08-6598-4AA8-9447-3182A6A97D0B}" name="일렬번호" dataDxfId="296">
      <calculatedColumnFormula>IF(MONTH(A1)=MONTH(대여!$A2),IF(D1=대여!$D2,B1,B1+1),"01")</calculatedColumnFormula>
    </tableColumn>
    <tableColumn id="3" xr3:uid="{2A5A313E-DC2C-4A43-909F-EBCC2416EEAF}" name="문서번호" dataDxfId="295">
      <calculatedColumnFormula>"RT"&amp;TEXT(대여!$A2,"yymmdd")&amp;"-"&amp;TEXT(대여!$B2,"00")</calculatedColumnFormula>
    </tableColumn>
    <tableColumn id="4" xr3:uid="{6E9135BD-7603-4310-B40F-7BF612333E6F}" name="발주처" dataDxfId="294"/>
    <tableColumn id="5" xr3:uid="{F76FFCA2-0021-4D69-9E96-B28765ACF144}" name="품명" dataDxfId="293"/>
    <tableColumn id="6" xr3:uid="{AE77400D-EB62-4CE0-9542-FF0E5E089EAB}" name="모델" dataDxfId="292"/>
    <tableColumn id="7" xr3:uid="{00EDDD68-4D4D-44C4-8883-98B9C4A4D1DA}" name="Description" dataDxfId="291"/>
    <tableColumn id="8" xr3:uid="{3A3F9AAC-8DF5-490C-83EF-7DE5E1F49B72}" name="수량" dataDxfId="290"/>
    <tableColumn id="9" xr3:uid="{5A014C01-C7C4-4F72-A764-AACD818C56F8}" name="발송예정일" dataDxfId="289" dataCellStyle="통화 [0]"/>
    <tableColumn id="10" xr3:uid="{70F4F2A4-B356-4625-BCB4-0CB2AD68519C}" name="발송일" dataDxfId="288"/>
    <tableColumn id="11" xr3:uid="{A302D6F9-7038-4EC6-94FA-2007024451AD}" name="회수일" dataDxfId="287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1AB5DBC-2E6B-41DF-9D45-C5D4085964A4}" name="표4_8" displayName="표4_8" ref="A1:G328" headerRowDxfId="180" dataDxfId="179">
  <autoFilter ref="A1:G328" xr:uid="{A35C4845-49EE-42AC-A1F7-5C7FCEF2F30F}"/>
  <sortState xmlns:xlrd2="http://schemas.microsoft.com/office/spreadsheetml/2017/richdata2" ref="A2:G314">
    <sortCondition ref="A1:A314"/>
  </sortState>
  <tableColumns count="7">
    <tableColumn id="1" xr3:uid="{58B74DA2-ECF1-4F46-8884-1B1CEFECF00B}" name="모델" totalsRowLabel=" " dataDxfId="178" totalsRowDxfId="177"/>
    <tableColumn id="2" xr3:uid="{B7FF298A-CBE6-4CD3-8728-4C310A2D7298}" name="Resolution" dataDxfId="176" totalsRowDxfId="175"/>
    <tableColumn id="3" xr3:uid="{9D3294EC-F3E7-4322-ADCD-C49709C73A2D}" name="Usage" dataDxfId="174" totalsRowDxfId="173"/>
    <tableColumn id="4" xr3:uid="{5D2E8AAA-4ABA-4C1B-A1E0-0DA05DF72006}" name="Type" dataDxfId="172" totalsRowDxfId="171"/>
    <tableColumn id="5" xr3:uid="{B499D1C8-8A9D-4A74-9F7B-904EEF2FA508}" name="품목분류" dataDxfId="170" totalsRowDxfId="169"/>
    <tableColumn id="6" xr3:uid="{DC504022-AC4B-4771-B375-9849B982AF1F}" name="렌즈사이즈" dataDxfId="168" totalsRowDxfId="167"/>
    <tableColumn id="7" xr3:uid="{CE9FCDFC-26F7-41DD-B757-DB6A335890DA}" name="렌즈구분" dataDxfId="166" totalsRowDxfId="165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6C18F75-2B66-44A9-8147-661168E9667E}" name="업체db" displayName="업체db" ref="A1:M2850" totalsRowShown="0" headerRowDxfId="164" dataDxfId="163">
  <autoFilter ref="A1:M2850" xr:uid="{5ED006F9-B60E-4040-84C1-99340E467205}"/>
  <sortState xmlns:xlrd2="http://schemas.microsoft.com/office/spreadsheetml/2017/richdata2" ref="A2:M2843">
    <sortCondition ref="A1:A2843"/>
  </sortState>
  <tableColumns count="13">
    <tableColumn id="1" xr3:uid="{CEB7FA42-B140-4560-BA38-451665EAA5AE}" name="업체명" dataDxfId="162"/>
    <tableColumn id="2" xr3:uid="{E9C85030-9B40-43DB-8645-BEB3AA8F065E}" name="국가" dataDxfId="161"/>
    <tableColumn id="14" xr3:uid="{2D799D18-2369-4DBA-9BD3-5867E2367A4E}" name="구분" dataDxfId="160" dataCellStyle="표준 2"/>
    <tableColumn id="4" xr3:uid="{0970A5FB-08C6-42DC-892D-3FBF9F815111}" name="주소" dataDxfId="159" dataCellStyle="표준 2"/>
    <tableColumn id="5" xr3:uid="{A26F6DE2-0D2C-4314-A252-071D2E159A1F}" name="담당자" dataDxfId="158" dataCellStyle="표준 2"/>
    <tableColumn id="6" xr3:uid="{E927EE6E-44E5-4D45-9C90-7A86E3C3F0BA}" name="전화번호" dataDxfId="157" dataCellStyle="표준 2"/>
    <tableColumn id="7" xr3:uid="{31CB7A5C-40B9-4115-BF92-4E166F19E640}" name="이메일" dataDxfId="156"/>
    <tableColumn id="13" xr3:uid="{30392845-4563-49AB-9E50-F73587CCE59D}" name="수출허가" dataDxfId="155"/>
    <tableColumn id="8" xr3:uid="{0BD6F266-0C2B-4FD2-BCD4-C298343D25A2}" name="수출허가번호" dataDxfId="154"/>
    <tableColumn id="9" xr3:uid="{871CF57A-CD6A-40E9-A3AB-31786418F5A3}" name="수출허가 만료일" dataDxfId="153"/>
    <tableColumn id="10" xr3:uid="{D4ABE10E-43E5-4283-B351-2AFB7BB30279}" name="운송계정" dataDxfId="152"/>
    <tableColumn id="11" xr3:uid="{7C6F2F31-5AB7-4F50-B386-79BAE8667883}" name="운송방법" dataDxfId="151"/>
    <tableColumn id="12" xr3:uid="{B2C39146-219A-4E87-A183-732BCF17BB61}" name="업체별 특이사항" dataDxfId="150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E4734B-1891-4A30-B012-A0A093822D9B}" name="product" displayName="product" ref="A1:F38" totalsRowShown="0" headerRowDxfId="149" dataDxfId="148">
  <autoFilter ref="A1:F38" xr:uid="{9D27346F-AD43-41F6-BB87-F32C84BB58AC}"/>
  <tableColumns count="6">
    <tableColumn id="1" xr3:uid="{61C261A6-C04A-42D0-8E48-F996BE9E57CF}" name="열1" dataDxfId="147"/>
    <tableColumn id="2" xr3:uid="{62B2D740-0C48-4425-953B-E2B3CE287FA8}" name="해상도" dataDxfId="146"/>
    <tableColumn id="3" xr3:uid="{DAEAC137-712E-4059-B55C-A4E24737D855}" name="용도" dataDxfId="145"/>
    <tableColumn id="4" xr3:uid="{7E2983DB-AF23-47D3-B530-031F86C32056}" name="구분" dataDxfId="144"/>
    <tableColumn id="5" xr3:uid="{147045F7-85DC-48F2-BF71-054F01DEC6DC}" name="센서구분" dataDxfId="143"/>
    <tableColumn id="6" xr3:uid="{4546BDC2-0584-4AE3-BA95-8F005F55DE6B}" name="카메라구분" dataDxfId="14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11.bin"/><Relationship Id="rId4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hyperlink" Target="mailto:es013111@korea.kr" TargetMode="External"/><Relationship Id="rId117" Type="http://schemas.openxmlformats.org/officeDocument/2006/relationships/printerSettings" Target="../printerSettings/printerSettings13.bin"/><Relationship Id="rId21" Type="http://schemas.openxmlformats.org/officeDocument/2006/relationships/hyperlink" Target="mailto:glgl8285@naver.com" TargetMode="External"/><Relationship Id="rId42" Type="http://schemas.openxmlformats.org/officeDocument/2006/relationships/hyperlink" Target="mailto:ceccll@sen.go.kr" TargetMode="External"/><Relationship Id="rId47" Type="http://schemas.openxmlformats.org/officeDocument/2006/relationships/hyperlink" Target="mailto:jisepo@korea.kr" TargetMode="External"/><Relationship Id="rId63" Type="http://schemas.openxmlformats.org/officeDocument/2006/relationships/hyperlink" Target="mailto:carcarus11@hotmail.com" TargetMode="External"/><Relationship Id="rId68" Type="http://schemas.openxmlformats.org/officeDocument/2006/relationships/hyperlink" Target="mailto:hgcho@kovico.com" TargetMode="External"/><Relationship Id="rId84" Type="http://schemas.openxmlformats.org/officeDocument/2006/relationships/hyperlink" Target="mailto:jyp0828@ktnc.co.kr" TargetMode="External"/><Relationship Id="rId89" Type="http://schemas.openxmlformats.org/officeDocument/2006/relationships/hyperlink" Target="mailto:luca@pergamitaly.eu" TargetMode="External"/><Relationship Id="rId112" Type="http://schemas.openxmlformats.org/officeDocument/2006/relationships/hyperlink" Target="mailto:hclee@epckorea.com" TargetMode="External"/><Relationship Id="rId16" Type="http://schemas.openxmlformats.org/officeDocument/2006/relationships/hyperlink" Target="mailto:5rangeroad98@naver.com" TargetMode="External"/><Relationship Id="rId107" Type="http://schemas.openxmlformats.org/officeDocument/2006/relationships/hyperlink" Target="mailto:sales@axiom-international.biz" TargetMode="External"/><Relationship Id="rId11" Type="http://schemas.openxmlformats.org/officeDocument/2006/relationships/hyperlink" Target="mailto:jamsin_hs@sen.go.kr" TargetMode="External"/><Relationship Id="rId24" Type="http://schemas.openxmlformats.org/officeDocument/2006/relationships/hyperlink" Target="mailto:shindong95@sen.go.kr" TargetMode="External"/><Relationship Id="rId32" Type="http://schemas.openxmlformats.org/officeDocument/2006/relationships/hyperlink" Target="mailto:master@rootvision.co.kr" TargetMode="External"/><Relationship Id="rId37" Type="http://schemas.openxmlformats.org/officeDocument/2006/relationships/hyperlink" Target="mailto:ghk1117@sen.go.kr" TargetMode="External"/><Relationship Id="rId40" Type="http://schemas.openxmlformats.org/officeDocument/2006/relationships/hyperlink" Target="mailto:expediting@lotrading.com" TargetMode="External"/><Relationship Id="rId45" Type="http://schemas.openxmlformats.org/officeDocument/2006/relationships/hyperlink" Target="mailto:mjm1202@pusan.ac.kr" TargetMode="External"/><Relationship Id="rId53" Type="http://schemas.openxmlformats.org/officeDocument/2006/relationships/hyperlink" Target="mailto:inhokim@kocom.co.kr" TargetMode="External"/><Relationship Id="rId58" Type="http://schemas.openxmlformats.org/officeDocument/2006/relationships/hyperlink" Target="mailto:xjdyfk@naver.com" TargetMode="External"/><Relationship Id="rId66" Type="http://schemas.openxmlformats.org/officeDocument/2006/relationships/hyperlink" Target="mailto:2018@bihec.com" TargetMode="External"/><Relationship Id="rId74" Type="http://schemas.openxmlformats.org/officeDocument/2006/relationships/hyperlink" Target="mailto:modestydh@sjino.com" TargetMode="External"/><Relationship Id="rId79" Type="http://schemas.openxmlformats.org/officeDocument/2006/relationships/hyperlink" Target="mailto:eskim@irvision.co.kr" TargetMode="External"/><Relationship Id="rId87" Type="http://schemas.openxmlformats.org/officeDocument/2006/relationships/hyperlink" Target="mailto:psg9902@glovalsystem.co.kr" TargetMode="External"/><Relationship Id="rId102" Type="http://schemas.openxmlformats.org/officeDocument/2006/relationships/hyperlink" Target="mailto:ceo@koits.net" TargetMode="External"/><Relationship Id="rId110" Type="http://schemas.openxmlformats.org/officeDocument/2006/relationships/hyperlink" Target="mailto:moshe@opteamx.coom" TargetMode="External"/><Relationship Id="rId115" Type="http://schemas.openxmlformats.org/officeDocument/2006/relationships/hyperlink" Target="mailto:jihong@itivai.com" TargetMode="External"/><Relationship Id="rId5" Type="http://schemas.openxmlformats.org/officeDocument/2006/relationships/hyperlink" Target="mailto:ggt8411@naver.com" TargetMode="External"/><Relationship Id="rId61" Type="http://schemas.openxmlformats.org/officeDocument/2006/relationships/hyperlink" Target="mailto:kt.jeon@wonwoo.com" TargetMode="External"/><Relationship Id="rId82" Type="http://schemas.openxmlformats.org/officeDocument/2006/relationships/hyperlink" Target="mailto:kwonhc9869@naver.com" TargetMode="External"/><Relationship Id="rId90" Type="http://schemas.openxmlformats.org/officeDocument/2006/relationships/hyperlink" Target="mailto:parksuho7777@dbcs.co.kr" TargetMode="External"/><Relationship Id="rId95" Type="http://schemas.openxmlformats.org/officeDocument/2006/relationships/hyperlink" Target="mailto:alszk12@djisys.com" TargetMode="External"/><Relationship Id="rId19" Type="http://schemas.openxmlformats.org/officeDocument/2006/relationships/hyperlink" Target="mailto:pr3@intekcom.com.vn" TargetMode="External"/><Relationship Id="rId14" Type="http://schemas.openxmlformats.org/officeDocument/2006/relationships/hyperlink" Target="mailto:info@epsilonfiberoptics.com" TargetMode="External"/><Relationship Id="rId22" Type="http://schemas.openxmlformats.org/officeDocument/2006/relationships/hyperlink" Target="mailto:yeongseon.bu@konantech.com" TargetMode="External"/><Relationship Id="rId27" Type="http://schemas.openxmlformats.org/officeDocument/2006/relationships/hyperlink" Target="mailto:targetangr@sen.go.kr" TargetMode="External"/><Relationship Id="rId30" Type="http://schemas.openxmlformats.org/officeDocument/2006/relationships/hyperlink" Target="mailto:taek@ceracomp.com" TargetMode="External"/><Relationship Id="rId35" Type="http://schemas.openxmlformats.org/officeDocument/2006/relationships/hyperlink" Target="mailto:whynetco@naver.com" TargetMode="External"/><Relationship Id="rId43" Type="http://schemas.openxmlformats.org/officeDocument/2006/relationships/hyperlink" Target="mailto:fazhan8338@naver.com" TargetMode="External"/><Relationship Id="rId48" Type="http://schemas.openxmlformats.org/officeDocument/2006/relationships/hyperlink" Target="mailto:jh9880@sen.go.kr" TargetMode="External"/><Relationship Id="rId56" Type="http://schemas.openxmlformats.org/officeDocument/2006/relationships/hyperlink" Target="mailto:richard.wan@raygenresources.cn" TargetMode="External"/><Relationship Id="rId64" Type="http://schemas.openxmlformats.org/officeDocument/2006/relationships/hyperlink" Target="mailto:carcarus11@hotmail.com" TargetMode="External"/><Relationship Id="rId69" Type="http://schemas.openxmlformats.org/officeDocument/2006/relationships/hyperlink" Target="mailto:tips@kakao.com" TargetMode="External"/><Relationship Id="rId77" Type="http://schemas.openxmlformats.org/officeDocument/2006/relationships/hyperlink" Target="mailto:jacklyn@ventionex.com" TargetMode="External"/><Relationship Id="rId100" Type="http://schemas.openxmlformats.org/officeDocument/2006/relationships/hyperlink" Target="mailto:jnsu@nec.go.kr" TargetMode="External"/><Relationship Id="rId105" Type="http://schemas.openxmlformats.org/officeDocument/2006/relationships/hyperlink" Target="mailto:02637@snuh.org" TargetMode="External"/><Relationship Id="rId113" Type="http://schemas.openxmlformats.org/officeDocument/2006/relationships/hyperlink" Target="mailto:mjs419@cudo.co.kr" TargetMode="External"/><Relationship Id="rId118" Type="http://schemas.openxmlformats.org/officeDocument/2006/relationships/table" Target="../tables/table7.xml"/><Relationship Id="rId8" Type="http://schemas.openxmlformats.org/officeDocument/2006/relationships/hyperlink" Target="mailto:ajg@scteng.co.kr" TargetMode="External"/><Relationship Id="rId51" Type="http://schemas.openxmlformats.org/officeDocument/2006/relationships/hyperlink" Target="mailto:haeorum001@naver.com" TargetMode="External"/><Relationship Id="rId72" Type="http://schemas.openxmlformats.org/officeDocument/2006/relationships/hyperlink" Target="mailto:triv_kim@triv.co.kr" TargetMode="External"/><Relationship Id="rId80" Type="http://schemas.openxmlformats.org/officeDocument/2006/relationships/hyperlink" Target="mailto:chk@limesnc.com" TargetMode="External"/><Relationship Id="rId85" Type="http://schemas.openxmlformats.org/officeDocument/2006/relationships/hyperlink" Target="mailto:tjk3334@naver.com" TargetMode="External"/><Relationship Id="rId93" Type="http://schemas.openxmlformats.org/officeDocument/2006/relationships/hyperlink" Target="mailto:propess@hanmail.net" TargetMode="External"/><Relationship Id="rId98" Type="http://schemas.openxmlformats.org/officeDocument/2006/relationships/hyperlink" Target="mailto:ik.jun@imarketkorea.com" TargetMode="External"/><Relationship Id="rId3" Type="http://schemas.openxmlformats.org/officeDocument/2006/relationships/hyperlink" Target="mailto:info@pergam.kz" TargetMode="External"/><Relationship Id="rId12" Type="http://schemas.openxmlformats.org/officeDocument/2006/relationships/hyperlink" Target="mailto:jayang@sen.go.kr" TargetMode="External"/><Relationship Id="rId17" Type="http://schemas.openxmlformats.org/officeDocument/2006/relationships/hyperlink" Target="mailto:ysly6963@gmail.com" TargetMode="External"/><Relationship Id="rId25" Type="http://schemas.openxmlformats.org/officeDocument/2006/relationships/hyperlink" Target="mailto:wm5934493@sen.go.kr" TargetMode="External"/><Relationship Id="rId33" Type="http://schemas.openxmlformats.org/officeDocument/2006/relationships/hyperlink" Target="mailto:nicesmk@sen.go.kr" TargetMode="External"/><Relationship Id="rId38" Type="http://schemas.openxmlformats.org/officeDocument/2006/relationships/hyperlink" Target="mailto:maria@selec.cl" TargetMode="External"/><Relationship Id="rId46" Type="http://schemas.openxmlformats.org/officeDocument/2006/relationships/hyperlink" Target="mailto:heejong.bae@lignex1.com" TargetMode="External"/><Relationship Id="rId59" Type="http://schemas.openxmlformats.org/officeDocument/2006/relationships/hyperlink" Target="mailto:steve.jopson@acalbfi.de" TargetMode="External"/><Relationship Id="rId67" Type="http://schemas.openxmlformats.org/officeDocument/2006/relationships/hyperlink" Target="mailto:whiteapple@cityeyelab.com" TargetMode="External"/><Relationship Id="rId103" Type="http://schemas.openxmlformats.org/officeDocument/2006/relationships/hyperlink" Target="mailto:kkc@lkstech.com" TargetMode="External"/><Relationship Id="rId108" Type="http://schemas.openxmlformats.org/officeDocument/2006/relationships/hyperlink" Target="mailto:johnrobinson@infratherm.com.au" TargetMode="External"/><Relationship Id="rId116" Type="http://schemas.openxmlformats.org/officeDocument/2006/relationships/hyperlink" Target="mailto:sy6471.shin@samsung.com" TargetMode="External"/><Relationship Id="rId20" Type="http://schemas.openxmlformats.org/officeDocument/2006/relationships/hyperlink" Target="mailto:jpseo@auto-it.co.kr" TargetMode="External"/><Relationship Id="rId41" Type="http://schemas.openxmlformats.org/officeDocument/2006/relationships/hyperlink" Target="mailto:ahcho3949@sen.go.kr" TargetMode="External"/><Relationship Id="rId54" Type="http://schemas.openxmlformats.org/officeDocument/2006/relationships/hyperlink" Target="mailto:steven@argesmarine.co.kr" TargetMode="External"/><Relationship Id="rId62" Type="http://schemas.openxmlformats.org/officeDocument/2006/relationships/hyperlink" Target="mailto:goodidea@abikorea.com" TargetMode="External"/><Relationship Id="rId70" Type="http://schemas.openxmlformats.org/officeDocument/2006/relationships/hyperlink" Target="mailto:kimmimi4100@labsmro.com" TargetMode="External"/><Relationship Id="rId75" Type="http://schemas.openxmlformats.org/officeDocument/2006/relationships/hyperlink" Target="mailto:mj_sys@naver.com" TargetMode="External"/><Relationship Id="rId83" Type="http://schemas.openxmlformats.org/officeDocument/2006/relationships/hyperlink" Target="mailto:whiteapple@cityeyelab.com" TargetMode="External"/><Relationship Id="rId88" Type="http://schemas.openxmlformats.org/officeDocument/2006/relationships/hyperlink" Target="mailto:johan.blom@oneco.se" TargetMode="External"/><Relationship Id="rId91" Type="http://schemas.openxmlformats.org/officeDocument/2006/relationships/hyperlink" Target="mailto:doungury@hanmail.net" TargetMode="External"/><Relationship Id="rId96" Type="http://schemas.openxmlformats.org/officeDocument/2006/relationships/hyperlink" Target="mailto:echa@tnpsolution.kr" TargetMode="External"/><Relationship Id="rId111" Type="http://schemas.openxmlformats.org/officeDocument/2006/relationships/hyperlink" Target="mailto:Neil.Erenstrom@raygen.com" TargetMode="External"/><Relationship Id="rId1" Type="http://schemas.openxmlformats.org/officeDocument/2006/relationships/hyperlink" Target="mailto:yg1019@u2sr.com" TargetMode="External"/><Relationship Id="rId6" Type="http://schemas.openxmlformats.org/officeDocument/2006/relationships/hyperlink" Target="mailto:mcinarli@teknotherm.com.tr" TargetMode="External"/><Relationship Id="rId15" Type="http://schemas.openxmlformats.org/officeDocument/2006/relationships/hyperlink" Target="mailto:gmkim@dsnw.net" TargetMode="External"/><Relationship Id="rId23" Type="http://schemas.openxmlformats.org/officeDocument/2006/relationships/hyperlink" Target="mailto:skyejm08@sen.go.kr" TargetMode="External"/><Relationship Id="rId28" Type="http://schemas.openxmlformats.org/officeDocument/2006/relationships/hyperlink" Target="mailto:youngpung@sen.go.kr" TargetMode="External"/><Relationship Id="rId36" Type="http://schemas.openxmlformats.org/officeDocument/2006/relationships/hyperlink" Target="mailto:ymkim@intellivix.com" TargetMode="External"/><Relationship Id="rId49" Type="http://schemas.openxmlformats.org/officeDocument/2006/relationships/hyperlink" Target="mailto:m.caicedo@tecnolotec.com" TargetMode="External"/><Relationship Id="rId57" Type="http://schemas.openxmlformats.org/officeDocument/2006/relationships/hyperlink" Target="mailto:kidsboy@hanmail.net" TargetMode="External"/><Relationship Id="rId106" Type="http://schemas.openxmlformats.org/officeDocument/2006/relationships/hyperlink" Target="mailto:yj.lee1@innorobotics.co.kr" TargetMode="External"/><Relationship Id="rId114" Type="http://schemas.openxmlformats.org/officeDocument/2006/relationships/hyperlink" Target="mailto:hws202@ijoon.net" TargetMode="External"/><Relationship Id="rId10" Type="http://schemas.openxmlformats.org/officeDocument/2006/relationships/hyperlink" Target="mailto:rickhong@pss.go.kr" TargetMode="External"/><Relationship Id="rId31" Type="http://schemas.openxmlformats.org/officeDocument/2006/relationships/hyperlink" Target="mailto:sammam2915@hanmail.net" TargetMode="External"/><Relationship Id="rId44" Type="http://schemas.openxmlformats.org/officeDocument/2006/relationships/hyperlink" Target="mailto:hypark@echaos.co.kr" TargetMode="External"/><Relationship Id="rId52" Type="http://schemas.openxmlformats.org/officeDocument/2006/relationships/hyperlink" Target="mailto:propess@hanmail.net" TargetMode="External"/><Relationship Id="rId60" Type="http://schemas.openxmlformats.org/officeDocument/2006/relationships/hyperlink" Target="mailto:jm1230.park@samsung.com" TargetMode="External"/><Relationship Id="rId65" Type="http://schemas.openxmlformats.org/officeDocument/2006/relationships/hyperlink" Target="mailto:okcng@naver.com" TargetMode="External"/><Relationship Id="rId73" Type="http://schemas.openxmlformats.org/officeDocument/2006/relationships/hyperlink" Target="mailto:triv_kim@triv.co.kr" TargetMode="External"/><Relationship Id="rId78" Type="http://schemas.openxmlformats.org/officeDocument/2006/relationships/hyperlink" Target="mailto:chk@limesnc.com" TargetMode="External"/><Relationship Id="rId81" Type="http://schemas.openxmlformats.org/officeDocument/2006/relationships/hyperlink" Target="mailto:delphine.labeille@amg-solution.com" TargetMode="External"/><Relationship Id="rId86" Type="http://schemas.openxmlformats.org/officeDocument/2006/relationships/hyperlink" Target="mailto:leesh129@naver.com" TargetMode="External"/><Relationship Id="rId94" Type="http://schemas.openxmlformats.org/officeDocument/2006/relationships/hyperlink" Target="mailto:rasx2002@gmail.com" TargetMode="External"/><Relationship Id="rId99" Type="http://schemas.openxmlformats.org/officeDocument/2006/relationships/hyperlink" Target="mailto:2404009@kdhsc.co.kr" TargetMode="External"/><Relationship Id="rId101" Type="http://schemas.openxmlformats.org/officeDocument/2006/relationships/hyperlink" Target="mailto:kimwon@kimm.re.kr" TargetMode="External"/><Relationship Id="rId4" Type="http://schemas.openxmlformats.org/officeDocument/2006/relationships/hyperlink" Target="mailto:jacques@microtech.co.za" TargetMode="External"/><Relationship Id="rId9" Type="http://schemas.openxmlformats.org/officeDocument/2006/relationships/hyperlink" Target="mailto:kimhg0924@hanmail.net" TargetMode="External"/><Relationship Id="rId13" Type="http://schemas.openxmlformats.org/officeDocument/2006/relationships/hyperlink" Target="mailto:ssatellite@naver.com" TargetMode="External"/><Relationship Id="rId18" Type="http://schemas.openxmlformats.org/officeDocument/2006/relationships/hyperlink" Target="mailto:david@fast-automation.com" TargetMode="External"/><Relationship Id="rId39" Type="http://schemas.openxmlformats.org/officeDocument/2006/relationships/hyperlink" Target="mailto:ventas@grupoecsa.cl" TargetMode="External"/><Relationship Id="rId109" Type="http://schemas.openxmlformats.org/officeDocument/2006/relationships/hyperlink" Target="mailto:khaldon_2001@yahoo.com" TargetMode="External"/><Relationship Id="rId34" Type="http://schemas.openxmlformats.org/officeDocument/2006/relationships/hyperlink" Target="mailto:wonjun@peoplesleague.co.kr" TargetMode="External"/><Relationship Id="rId50" Type="http://schemas.openxmlformats.org/officeDocument/2006/relationships/hyperlink" Target="mailto:gioins@gioins.com" TargetMode="External"/><Relationship Id="rId55" Type="http://schemas.openxmlformats.org/officeDocument/2006/relationships/hyperlink" Target="mailto:steve.jopson@acalbfi.de" TargetMode="External"/><Relationship Id="rId76" Type="http://schemas.openxmlformats.org/officeDocument/2006/relationships/hyperlink" Target="mailto:parke@smprok.co.kr" TargetMode="External"/><Relationship Id="rId97" Type="http://schemas.openxmlformats.org/officeDocument/2006/relationships/hyperlink" Target="mailto:jun4666.shin@samsung.com" TargetMode="External"/><Relationship Id="rId104" Type="http://schemas.openxmlformats.org/officeDocument/2006/relationships/hyperlink" Target="mailto:parkjh@inoblock.com" TargetMode="External"/><Relationship Id="rId7" Type="http://schemas.openxmlformats.org/officeDocument/2006/relationships/hyperlink" Target="mailto:cwjwong910@naver.com" TargetMode="External"/><Relationship Id="rId71" Type="http://schemas.openxmlformats.org/officeDocument/2006/relationships/hyperlink" Target="mailto:seokhwan.cho@lspoland.com" TargetMode="External"/><Relationship Id="rId92" Type="http://schemas.openxmlformats.org/officeDocument/2006/relationships/hyperlink" Target="mailto:tnsdus@cctv.co.kr" TargetMode="External"/><Relationship Id="rId2" Type="http://schemas.openxmlformats.org/officeDocument/2006/relationships/hyperlink" Target="mailto:james@smartcitykorea.com" TargetMode="External"/><Relationship Id="rId29" Type="http://schemas.openxmlformats.org/officeDocument/2006/relationships/hyperlink" Target="mailto:paullee@genesisdigital.co.kr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2.xml"/><Relationship Id="rId3" Type="http://schemas.openxmlformats.org/officeDocument/2006/relationships/pivotTable" Target="../pivotTables/pivotTable7.xml"/><Relationship Id="rId7" Type="http://schemas.openxmlformats.org/officeDocument/2006/relationships/pivotTable" Target="../pivotTables/pivotTable1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pivotTable" Target="../pivotTables/pivotTable10.xml"/><Relationship Id="rId11" Type="http://schemas.openxmlformats.org/officeDocument/2006/relationships/printerSettings" Target="../printerSettings/printerSettings16.bin"/><Relationship Id="rId5" Type="http://schemas.openxmlformats.org/officeDocument/2006/relationships/pivotTable" Target="../pivotTables/pivotTable9.xml"/><Relationship Id="rId10" Type="http://schemas.openxmlformats.org/officeDocument/2006/relationships/pivotTable" Target="../pivotTables/pivotTable14.xml"/><Relationship Id="rId4" Type="http://schemas.openxmlformats.org/officeDocument/2006/relationships/pivotTable" Target="../pivotTables/pivotTable8.xml"/><Relationship Id="rId9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17CC-AEF4-419D-9420-C7BEA65D2897}">
  <sheetPr codeName="Sheet11">
    <tabColor theme="5"/>
    <pageSetUpPr fitToPage="1"/>
  </sheetPr>
  <dimension ref="A1:L210"/>
  <sheetViews>
    <sheetView showGridLines="0" topLeftCell="A184" zoomScale="85" zoomScaleNormal="85" workbookViewId="0">
      <selection activeCell="I211" sqref="I211"/>
    </sheetView>
  </sheetViews>
  <sheetFormatPr defaultRowHeight="16.5"/>
  <cols>
    <col min="1" max="1" width="11.75" style="134" bestFit="1" customWidth="1"/>
    <col min="2" max="2" width="13.5" style="152" bestFit="1" customWidth="1"/>
    <col min="3" max="3" width="17.875" style="149" bestFit="1" customWidth="1"/>
    <col min="4" max="4" width="25.5" style="1" bestFit="1" customWidth="1"/>
    <col min="5" max="5" width="13.75" style="1" bestFit="1" customWidth="1"/>
    <col min="6" max="6" width="23.5" style="1" bestFit="1" customWidth="1"/>
    <col min="7" max="7" width="57" style="1" bestFit="1" customWidth="1"/>
    <col min="8" max="8" width="10" style="1" bestFit="1" customWidth="1"/>
    <col min="9" max="9" width="14.125" style="142" bestFit="1" customWidth="1"/>
    <col min="10" max="10" width="20.875" style="504" bestFit="1" customWidth="1"/>
    <col min="11" max="11" width="20.875" style="209" bestFit="1" customWidth="1"/>
    <col min="12" max="12" width="43.5" customWidth="1"/>
  </cols>
  <sheetData>
    <row r="1" spans="1:12" ht="32.25" customHeight="1">
      <c r="A1" s="447" t="s">
        <v>8034</v>
      </c>
      <c r="B1" s="448" t="s">
        <v>7540</v>
      </c>
      <c r="C1" s="449" t="s">
        <v>7541</v>
      </c>
      <c r="D1" s="450" t="s">
        <v>6</v>
      </c>
      <c r="E1" s="450" t="s">
        <v>7955</v>
      </c>
      <c r="F1" s="450" t="s">
        <v>0</v>
      </c>
      <c r="G1" s="450" t="s">
        <v>7542</v>
      </c>
      <c r="H1" s="451" t="s">
        <v>1</v>
      </c>
      <c r="I1" s="452" t="s">
        <v>47</v>
      </c>
      <c r="J1" s="498" t="s">
        <v>2</v>
      </c>
      <c r="K1" s="453" t="s">
        <v>7</v>
      </c>
      <c r="L1" s="454" t="s">
        <v>7538</v>
      </c>
    </row>
    <row r="2" spans="1:12">
      <c r="A2" s="421">
        <v>45587</v>
      </c>
      <c r="B2" s="150">
        <v>1</v>
      </c>
      <c r="C2" s="151" t="str">
        <f>"EX"&amp;TEXT(tbl_견적[[#This Row],[견적일]],"yymmdd")&amp;"-"&amp;TEXT(tbl_견적[[#This Row],[일렬번호]],"00")</f>
        <v>EX241022-01</v>
      </c>
      <c r="D2" s="138" t="s">
        <v>128</v>
      </c>
      <c r="E2" s="138" t="s">
        <v>8035</v>
      </c>
      <c r="F2" s="138" t="s">
        <v>8030</v>
      </c>
      <c r="G2" s="138" t="s">
        <v>8031</v>
      </c>
      <c r="H2" s="138">
        <v>3</v>
      </c>
      <c r="I2" s="139">
        <v>7138000</v>
      </c>
      <c r="J2" s="499">
        <f t="shared" ref="J2:J28" si="0">H2*I2</f>
        <v>21414000</v>
      </c>
      <c r="K2" s="208">
        <f>견적!$J2*1.1</f>
        <v>23555400.000000004</v>
      </c>
      <c r="L2" s="445"/>
    </row>
    <row r="3" spans="1:12">
      <c r="A3" s="421">
        <v>45587</v>
      </c>
      <c r="B3" s="150">
        <f>IF(MONTH(A2)=MONTH(견적!$A3),IF(AND(A2=견적!$A3,D2=tbl_견적[[#This Row],[발주처]]),B2,B2+1),1)</f>
        <v>2</v>
      </c>
      <c r="C3" s="151" t="str">
        <f>"EX"&amp;TEXT(tbl_견적[[#This Row],[견적일]],"yymmdd")&amp;"-"&amp;TEXT(tbl_견적[[#This Row],[일렬번호]],"00")</f>
        <v>EX241022-02</v>
      </c>
      <c r="D3" s="138" t="s">
        <v>8032</v>
      </c>
      <c r="E3" s="138" t="s">
        <v>8035</v>
      </c>
      <c r="F3" s="138" t="s">
        <v>8033</v>
      </c>
      <c r="G3" s="138" t="s">
        <v>168</v>
      </c>
      <c r="H3" s="138">
        <v>4</v>
      </c>
      <c r="I3" s="139">
        <f>0.98*5450000</f>
        <v>5341000</v>
      </c>
      <c r="J3" s="499">
        <f t="shared" si="0"/>
        <v>21364000</v>
      </c>
      <c r="K3" s="208">
        <f>견적!$J3*1.1</f>
        <v>23500400.000000004</v>
      </c>
      <c r="L3" s="445"/>
    </row>
    <row r="4" spans="1:12" s="437" customFormat="1">
      <c r="A4" s="444">
        <v>45586</v>
      </c>
      <c r="B4" s="150">
        <f>IF(MONTH(A3)=MONTH(견적!$A4),IF(AND(A3=견적!$A4,D3=tbl_견적[[#This Row],[발주처]]),B3,B3+1),1)</f>
        <v>3</v>
      </c>
      <c r="C4" s="151" t="str">
        <f>"EX"&amp;TEXT(tbl_견적[[#This Row],[견적일]],"yymmdd")&amp;"-"&amp;TEXT(tbl_견적[[#This Row],[일렬번호]],"00")</f>
        <v>EX241021-03</v>
      </c>
      <c r="D4" s="442" t="s">
        <v>201</v>
      </c>
      <c r="E4" s="442" t="s">
        <v>7572</v>
      </c>
      <c r="F4" s="442" t="s">
        <v>169</v>
      </c>
      <c r="G4" s="442" t="s">
        <v>168</v>
      </c>
      <c r="H4" s="442">
        <v>1</v>
      </c>
      <c r="I4" s="435">
        <v>4233150</v>
      </c>
      <c r="J4" s="500">
        <f t="shared" si="0"/>
        <v>4233150</v>
      </c>
      <c r="K4" s="436">
        <f>견적!$J4*1.1</f>
        <v>4656465</v>
      </c>
      <c r="L4" s="446"/>
    </row>
    <row r="5" spans="1:12">
      <c r="A5" s="421">
        <v>45587</v>
      </c>
      <c r="B5" s="150">
        <f>IF(MONTH(A4)=MONTH(견적!$A5),IF(AND(A4=견적!$A5,D4=tbl_견적[[#This Row],[발주처]]),B4,B4+1),1)</f>
        <v>4</v>
      </c>
      <c r="C5" s="151" t="str">
        <f>"EX"&amp;TEXT(tbl_견적[[#This Row],[견적일]],"yymmdd")&amp;"-"&amp;TEXT(tbl_견적[[#This Row],[일렬번호]],"00")</f>
        <v>EX241022-04</v>
      </c>
      <c r="D5" s="138" t="s">
        <v>194</v>
      </c>
      <c r="E5" s="138" t="s">
        <v>8035</v>
      </c>
      <c r="F5" s="138" t="s">
        <v>8043</v>
      </c>
      <c r="G5" s="138" t="s">
        <v>8044</v>
      </c>
      <c r="H5" s="138">
        <v>3</v>
      </c>
      <c r="I5" s="139">
        <v>4184000</v>
      </c>
      <c r="J5" s="499">
        <f t="shared" si="0"/>
        <v>12552000</v>
      </c>
      <c r="K5" s="208">
        <f>견적!$J5*1.1</f>
        <v>13807200.000000002</v>
      </c>
      <c r="L5" s="445" t="s">
        <v>8045</v>
      </c>
    </row>
    <row r="6" spans="1:12">
      <c r="A6" s="421">
        <v>45590</v>
      </c>
      <c r="B6" s="150">
        <f>IF(MONTH(A5)=MONTH(견적!$A6),IF(AND(A5=견적!$A6,D5=tbl_견적[[#This Row],[발주처]]),B5,B5+1),1)</f>
        <v>5</v>
      </c>
      <c r="C6" s="151" t="str">
        <f>"EX"&amp;TEXT(tbl_견적[[#This Row],[견적일]],"yymmdd")&amp;"-"&amp;TEXT(tbl_견적[[#This Row],[일렬번호]],"00")</f>
        <v>EX241025-05</v>
      </c>
      <c r="D6" s="138" t="s">
        <v>8057</v>
      </c>
      <c r="E6" s="138" t="s">
        <v>8035</v>
      </c>
      <c r="F6" s="138" t="s">
        <v>8058</v>
      </c>
      <c r="G6" s="138" t="s">
        <v>8059</v>
      </c>
      <c r="H6" s="138">
        <v>1</v>
      </c>
      <c r="I6" s="139">
        <f>ROUND((1350+80)*1360,-3)</f>
        <v>1945000</v>
      </c>
      <c r="J6" s="499">
        <f t="shared" si="0"/>
        <v>1945000</v>
      </c>
      <c r="K6" s="208">
        <f>견적!$J6*1.1</f>
        <v>2139500</v>
      </c>
      <c r="L6" s="445"/>
    </row>
    <row r="7" spans="1:12">
      <c r="A7" s="421">
        <v>45590</v>
      </c>
      <c r="B7" s="150">
        <f>IF(MONTH(A6)=MONTH(견적!$A7),IF(AND(A6=견적!$A7,D6=tbl_견적[[#This Row],[발주처]]),B6,B6+1),1)</f>
        <v>6</v>
      </c>
      <c r="C7" s="151" t="str">
        <f>"EX"&amp;TEXT(tbl_견적[[#This Row],[견적일]],"yymmdd")&amp;"-"&amp;TEXT(tbl_견적[[#This Row],[일렬번호]],"00")</f>
        <v>EX241025-06</v>
      </c>
      <c r="D7" s="138" t="s">
        <v>8066</v>
      </c>
      <c r="E7" s="138" t="s">
        <v>8067</v>
      </c>
      <c r="F7" s="138" t="s">
        <v>8068</v>
      </c>
      <c r="G7" s="138" t="s">
        <v>8069</v>
      </c>
      <c r="H7" s="138">
        <v>1</v>
      </c>
      <c r="I7" s="139">
        <v>600000</v>
      </c>
      <c r="J7" s="499">
        <f t="shared" si="0"/>
        <v>600000</v>
      </c>
      <c r="K7" s="208">
        <f>견적!$J7*1.1</f>
        <v>660000</v>
      </c>
      <c r="L7" s="445"/>
    </row>
    <row r="8" spans="1:12">
      <c r="A8" s="421">
        <v>45594</v>
      </c>
      <c r="B8" s="150">
        <f>IF(MONTH(A7)=MONTH(견적!$A8),IF(AND(A7=견적!$A8,D7=tbl_견적[[#This Row],[발주처]]),B7,B7+1),1)</f>
        <v>7</v>
      </c>
      <c r="C8" s="151" t="str">
        <f>"EX"&amp;TEXT(tbl_견적[[#This Row],[견적일]],"yymmdd")&amp;"-"&amp;TEXT(tbl_견적[[#This Row],[일렬번호]],"00")</f>
        <v>EX241029-07</v>
      </c>
      <c r="D8" s="138" t="s">
        <v>140</v>
      </c>
      <c r="E8" s="138" t="s">
        <v>7576</v>
      </c>
      <c r="F8" s="138" t="s">
        <v>8081</v>
      </c>
      <c r="G8" s="138" t="s">
        <v>8082</v>
      </c>
      <c r="H8" s="138">
        <v>1</v>
      </c>
      <c r="I8" s="139">
        <v>1700000</v>
      </c>
      <c r="J8" s="499">
        <f t="shared" si="0"/>
        <v>1700000</v>
      </c>
      <c r="K8" s="208">
        <f>견적!$J8*1.1</f>
        <v>1870000.0000000002</v>
      </c>
      <c r="L8" s="445" t="s">
        <v>8083</v>
      </c>
    </row>
    <row r="9" spans="1:12">
      <c r="A9" s="421">
        <v>45595</v>
      </c>
      <c r="B9" s="150">
        <f>IF(MONTH(A8)=MONTH(견적!$A9),IF(AND(A8=견적!$A9,D8=tbl_견적[[#This Row],[발주처]]),B8,B8+1),1)</f>
        <v>8</v>
      </c>
      <c r="C9" s="151" t="str">
        <f>"EX"&amp;TEXT(tbl_견적[[#This Row],[견적일]],"yymmdd")&amp;"-"&amp;TEXT(tbl_견적[[#This Row],[일렬번호]],"00")</f>
        <v>EX241030-08</v>
      </c>
      <c r="D9" s="443" t="s">
        <v>8088</v>
      </c>
      <c r="E9" s="138" t="s">
        <v>7529</v>
      </c>
      <c r="F9" s="138" t="s">
        <v>49</v>
      </c>
      <c r="G9" s="138" t="s">
        <v>7515</v>
      </c>
      <c r="H9" s="438">
        <v>1</v>
      </c>
      <c r="I9" s="439">
        <v>3450</v>
      </c>
      <c r="J9" s="499">
        <f t="shared" si="0"/>
        <v>3450</v>
      </c>
      <c r="K9" s="440">
        <f>견적!$J9*1.1</f>
        <v>3795.0000000000005</v>
      </c>
      <c r="L9" s="445"/>
    </row>
    <row r="10" spans="1:12">
      <c r="A10" s="421">
        <v>45595</v>
      </c>
      <c r="B10" s="150">
        <f>IF(MONTH(A9)=MONTH(견적!$A10),IF(AND(A9=견적!$A10,D9=tbl_견적[[#This Row],[발주처]]),B9,B9+1),1)</f>
        <v>8</v>
      </c>
      <c r="C10" s="151" t="str">
        <f>"EX"&amp;TEXT(tbl_견적[[#This Row],[견적일]],"yymmdd")&amp;"-"&amp;TEXT(tbl_견적[[#This Row],[일렬번호]],"00")</f>
        <v>EX241030-08</v>
      </c>
      <c r="D10" s="443" t="s">
        <v>8088</v>
      </c>
      <c r="E10" s="138" t="s">
        <v>7531</v>
      </c>
      <c r="F10" s="138" t="s">
        <v>8070</v>
      </c>
      <c r="G10" s="138" t="s">
        <v>7941</v>
      </c>
      <c r="H10" s="438">
        <v>1</v>
      </c>
      <c r="I10" s="439">
        <v>100</v>
      </c>
      <c r="J10" s="499">
        <f t="shared" si="0"/>
        <v>100</v>
      </c>
      <c r="K10" s="440">
        <f>견적!$J10*1.1</f>
        <v>110.00000000000001</v>
      </c>
      <c r="L10" s="445"/>
    </row>
    <row r="11" spans="1:12">
      <c r="A11" s="421">
        <v>45596</v>
      </c>
      <c r="B11" s="150">
        <f>IF(MONTH(A10)=MONTH(견적!$A11),IF(AND(A10=견적!$A11,D10=tbl_견적[[#This Row],[발주처]]),B10,B10+1),1)</f>
        <v>9</v>
      </c>
      <c r="C11" s="151" t="str">
        <f>"EX"&amp;TEXT(tbl_견적[[#This Row],[견적일]],"yymmdd")&amp;"-"&amp;TEXT(tbl_견적[[#This Row],[일렬번호]],"00")</f>
        <v>EX241031-09</v>
      </c>
      <c r="D11" s="138" t="s">
        <v>8099</v>
      </c>
      <c r="E11" s="138" t="s">
        <v>8035</v>
      </c>
      <c r="F11" s="138" t="s">
        <v>8105</v>
      </c>
      <c r="G11" s="138" t="s">
        <v>8106</v>
      </c>
      <c r="H11" s="138">
        <v>1</v>
      </c>
      <c r="I11" s="139">
        <v>5567000</v>
      </c>
      <c r="J11" s="499">
        <f t="shared" si="0"/>
        <v>5567000</v>
      </c>
      <c r="K11" s="208">
        <f>견적!$J11*1.1</f>
        <v>6123700.0000000009</v>
      </c>
      <c r="L11" s="445" t="s">
        <v>8108</v>
      </c>
    </row>
    <row r="12" spans="1:12">
      <c r="A12" s="422">
        <v>45596</v>
      </c>
      <c r="B12" s="150">
        <f>IF(MONTH(A11)=MONTH(견적!$A12),IF(AND(A11=견적!$A12,D11=tbl_견적[[#This Row],[발주처]]),B11,B11+1),1)</f>
        <v>9</v>
      </c>
      <c r="C12" s="151" t="str">
        <f>"EX"&amp;TEXT(tbl_견적[[#This Row],[견적일]],"yymmdd")&amp;"-"&amp;TEXT(tbl_견적[[#This Row],[일렬번호]],"00")</f>
        <v>EX241031-09</v>
      </c>
      <c r="D12" s="413" t="s">
        <v>8099</v>
      </c>
      <c r="E12" s="413" t="s">
        <v>8035</v>
      </c>
      <c r="F12" s="413" t="s">
        <v>8105</v>
      </c>
      <c r="G12" s="413" t="s">
        <v>8107</v>
      </c>
      <c r="H12" s="413">
        <v>1</v>
      </c>
      <c r="I12" s="414">
        <v>5623000</v>
      </c>
      <c r="J12" s="501">
        <f t="shared" si="0"/>
        <v>5623000</v>
      </c>
      <c r="K12" s="415">
        <f>견적!$J12*1.1</f>
        <v>6185300.0000000009</v>
      </c>
      <c r="L12" s="455"/>
    </row>
    <row r="13" spans="1:12" ht="33">
      <c r="A13" s="422">
        <v>45596</v>
      </c>
      <c r="B13" s="150">
        <f>IF(MONTH(A12)=MONTH(견적!$A13),IF(AND(A12=견적!$A13,D12=tbl_견적[[#This Row],[발주처]]),B12,B12+1),1)</f>
        <v>10</v>
      </c>
      <c r="C13" s="151" t="str">
        <f>"EX"&amp;TEXT(tbl_견적[[#This Row],[견적일]],"yymmdd")&amp;"-"&amp;TEXT(tbl_견적[[#This Row],[일렬번호]],"00")</f>
        <v>EX241031-10</v>
      </c>
      <c r="D13" s="413" t="s">
        <v>134</v>
      </c>
      <c r="E13" s="413" t="s">
        <v>8035</v>
      </c>
      <c r="F13" s="413" t="s">
        <v>8112</v>
      </c>
      <c r="G13" s="413" t="s">
        <v>8106</v>
      </c>
      <c r="H13" s="413">
        <v>5</v>
      </c>
      <c r="I13" s="414">
        <f>5166000-30000</f>
        <v>5136000</v>
      </c>
      <c r="J13" s="501">
        <f t="shared" si="0"/>
        <v>25680000</v>
      </c>
      <c r="K13" s="415">
        <f>견적!$J13*1.1</f>
        <v>28248000.000000004</v>
      </c>
      <c r="L13" s="456" t="s">
        <v>8113</v>
      </c>
    </row>
    <row r="14" spans="1:12">
      <c r="A14" s="421">
        <v>45596</v>
      </c>
      <c r="B14" s="150">
        <f>IF(MONTH(A13)=MONTH(견적!$A14),IF(AND(A13=견적!$A14,D13=tbl_견적[[#This Row],[발주처]]),B13,B13+1),1)</f>
        <v>10</v>
      </c>
      <c r="C14" s="151" t="str">
        <f>"EX"&amp;TEXT(tbl_견적[[#This Row],[견적일]],"yymmdd")&amp;"-"&amp;TEXT(tbl_견적[[#This Row],[일렬번호]],"00")</f>
        <v>EX241031-10</v>
      </c>
      <c r="D14" s="138" t="s">
        <v>134</v>
      </c>
      <c r="E14" s="138" t="s">
        <v>8035</v>
      </c>
      <c r="F14" s="138" t="s">
        <v>8112</v>
      </c>
      <c r="G14" s="138" t="s">
        <v>8106</v>
      </c>
      <c r="H14" s="138">
        <v>10</v>
      </c>
      <c r="I14" s="139">
        <f>5011000-30000</f>
        <v>4981000</v>
      </c>
      <c r="J14" s="499">
        <f t="shared" si="0"/>
        <v>49810000</v>
      </c>
      <c r="K14" s="208">
        <f>견적!$J14*1.1</f>
        <v>54791000.000000007</v>
      </c>
      <c r="L14" s="445"/>
    </row>
    <row r="15" spans="1:12">
      <c r="A15" s="421">
        <v>45596</v>
      </c>
      <c r="B15" s="150">
        <f>IF(MONTH(A14)=MONTH(견적!$A15),IF(AND(A14=견적!$A15,D14=tbl_견적[[#This Row],[발주처]]),B14,B14+1),1)</f>
        <v>10</v>
      </c>
      <c r="C15" s="151" t="str">
        <f>"EX"&amp;TEXT(tbl_견적[[#This Row],[견적일]],"yymmdd")&amp;"-"&amp;TEXT(tbl_견적[[#This Row],[일렬번호]],"00")</f>
        <v>EX241031-10</v>
      </c>
      <c r="D15" s="138" t="s">
        <v>134</v>
      </c>
      <c r="E15" s="138" t="s">
        <v>8035</v>
      </c>
      <c r="F15" s="138" t="s">
        <v>8112</v>
      </c>
      <c r="G15" s="138" t="s">
        <v>8106</v>
      </c>
      <c r="H15" s="138">
        <v>20</v>
      </c>
      <c r="I15" s="139">
        <f>4649000-30000</f>
        <v>4619000</v>
      </c>
      <c r="J15" s="499">
        <f t="shared" si="0"/>
        <v>92380000</v>
      </c>
      <c r="K15" s="208">
        <f>견적!$J15*1.1</f>
        <v>101618000.00000001</v>
      </c>
      <c r="L15" s="445"/>
    </row>
    <row r="16" spans="1:12">
      <c r="A16" s="421">
        <v>45441</v>
      </c>
      <c r="B16" s="150">
        <f>IF(MONTH(A15)=MONTH(견적!$A16),IF(AND(A15=견적!$A16,D15=tbl_견적[[#This Row],[발주처]]),B15,B15+1),1)</f>
        <v>1</v>
      </c>
      <c r="C16" s="151" t="str">
        <f>"EX"&amp;TEXT(tbl_견적[[#This Row],[견적일]],"yymmdd")&amp;"-"&amp;TEXT(tbl_견적[[#This Row],[일렬번호]],"00")</f>
        <v>EX240529-01</v>
      </c>
      <c r="D16" s="138" t="s">
        <v>7640</v>
      </c>
      <c r="E16" s="138" t="s">
        <v>7572</v>
      </c>
      <c r="F16" s="138" t="s">
        <v>7645</v>
      </c>
      <c r="G16" s="138" t="s">
        <v>7646</v>
      </c>
      <c r="H16" s="138">
        <v>1</v>
      </c>
      <c r="I16" s="139">
        <v>58900000</v>
      </c>
      <c r="J16" s="499">
        <f t="shared" si="0"/>
        <v>58900000</v>
      </c>
      <c r="K16" s="208">
        <f>견적!$J16*1.1</f>
        <v>64790000.000000007</v>
      </c>
      <c r="L16" s="445"/>
    </row>
    <row r="17" spans="1:12">
      <c r="A17" s="421">
        <v>45441</v>
      </c>
      <c r="B17" s="150">
        <f>IF(MONTH(A16)=MONTH(견적!$A17),IF(AND(A16=견적!$A17,D16=tbl_견적[[#This Row],[발주처]]),B16,B16+1),1)</f>
        <v>1</v>
      </c>
      <c r="C17" s="151" t="str">
        <f>"EX"&amp;TEXT(tbl_견적[[#This Row],[견적일]],"yymmdd")&amp;"-"&amp;TEXT(tbl_견적[[#This Row],[일렬번호]],"00")</f>
        <v>EX240529-01</v>
      </c>
      <c r="D17" s="138" t="s">
        <v>7640</v>
      </c>
      <c r="E17" s="138" t="s">
        <v>7570</v>
      </c>
      <c r="F17" s="138" t="s">
        <v>7665</v>
      </c>
      <c r="G17" s="138" t="s">
        <v>7647</v>
      </c>
      <c r="H17" s="138">
        <v>1</v>
      </c>
      <c r="I17" s="139">
        <v>6000000</v>
      </c>
      <c r="J17" s="499">
        <f t="shared" si="0"/>
        <v>6000000</v>
      </c>
      <c r="K17" s="208">
        <f>견적!$J17*1.1</f>
        <v>6600000.0000000009</v>
      </c>
      <c r="L17" s="445"/>
    </row>
    <row r="18" spans="1:12">
      <c r="A18" s="421">
        <v>45441</v>
      </c>
      <c r="B18" s="150">
        <f>IF(MONTH(A17)=MONTH(견적!$A18),IF(AND(A17=견적!$A18,D17=tbl_견적[[#This Row],[발주처]]),B17,B17+1),1)</f>
        <v>1</v>
      </c>
      <c r="C18" s="151" t="str">
        <f>"EX"&amp;TEXT(tbl_견적[[#This Row],[견적일]],"yymmdd")&amp;"-"&amp;TEXT(tbl_견적[[#This Row],[일렬번호]],"00")</f>
        <v>EX240529-01</v>
      </c>
      <c r="D18" s="413" t="s">
        <v>7640</v>
      </c>
      <c r="E18" s="413" t="s">
        <v>7570</v>
      </c>
      <c r="F18" s="413" t="s">
        <v>7665</v>
      </c>
      <c r="G18" s="413" t="s">
        <v>7647</v>
      </c>
      <c r="H18" s="413">
        <v>1</v>
      </c>
      <c r="I18" s="414">
        <v>2000000</v>
      </c>
      <c r="J18" s="501">
        <f t="shared" si="0"/>
        <v>2000000</v>
      </c>
      <c r="K18" s="415">
        <f>견적!$J18*1.1</f>
        <v>2200000</v>
      </c>
      <c r="L18" s="455"/>
    </row>
    <row r="19" spans="1:12">
      <c r="A19" s="421">
        <v>45602</v>
      </c>
      <c r="B19" s="150">
        <f>IF(MONTH(A18)=MONTH(견적!$A19),IF(AND(A18=견적!$A19,D18=tbl_견적[[#This Row],[발주처]]),B18,B18+1),1)</f>
        <v>1</v>
      </c>
      <c r="C19" s="151" t="str">
        <f>"EX"&amp;TEXT(tbl_견적[[#This Row],[견적일]],"yymmdd")&amp;"-"&amp;TEXT(tbl_견적[[#This Row],[일렬번호]],"00")</f>
        <v>EX241106-01</v>
      </c>
      <c r="D19" s="138" t="s">
        <v>8125</v>
      </c>
      <c r="E19" s="138" t="s">
        <v>7572</v>
      </c>
      <c r="F19" s="138" t="s">
        <v>8126</v>
      </c>
      <c r="G19" s="138" t="s">
        <v>8127</v>
      </c>
      <c r="H19" s="138">
        <v>15</v>
      </c>
      <c r="I19" s="139">
        <v>2803000</v>
      </c>
      <c r="J19" s="499">
        <f t="shared" si="0"/>
        <v>42045000</v>
      </c>
      <c r="K19" s="208">
        <f>견적!$J19*1.1</f>
        <v>46249500.000000007</v>
      </c>
      <c r="L19" s="445"/>
    </row>
    <row r="20" spans="1:12">
      <c r="A20" s="421">
        <v>45602</v>
      </c>
      <c r="B20" s="150">
        <f>IF(MONTH(A19)=MONTH(견적!$A20),IF(AND(A19=견적!$A20,D19=tbl_견적[[#This Row],[발주처]]),B19,B19+1),1)</f>
        <v>1</v>
      </c>
      <c r="C20" s="151" t="str">
        <f>"EX"&amp;TEXT(tbl_견적[[#This Row],[견적일]],"yymmdd")&amp;"-"&amp;TEXT(tbl_견적[[#This Row],[일렬번호]],"00")</f>
        <v>EX241106-01</v>
      </c>
      <c r="D20" s="413" t="s">
        <v>8125</v>
      </c>
      <c r="E20" s="413" t="s">
        <v>8128</v>
      </c>
      <c r="F20" s="413" t="s">
        <v>168</v>
      </c>
      <c r="G20" s="413" t="s">
        <v>8127</v>
      </c>
      <c r="H20" s="413">
        <v>1</v>
      </c>
      <c r="I20" s="414">
        <v>2184000</v>
      </c>
      <c r="J20" s="501">
        <f t="shared" si="0"/>
        <v>2184000</v>
      </c>
      <c r="K20" s="415">
        <f>견적!$J20*1.1</f>
        <v>2402400</v>
      </c>
      <c r="L20" s="455"/>
    </row>
    <row r="21" spans="1:12">
      <c r="A21" s="422">
        <v>45603</v>
      </c>
      <c r="B21" s="150">
        <f>IF(MONTH(A20)=MONTH(견적!$A21),IF(AND(A20=견적!$A21,D20=tbl_견적[[#This Row],[발주처]]),B20,B20+1),1)</f>
        <v>2</v>
      </c>
      <c r="C21" s="151" t="str">
        <f>"EX"&amp;TEXT(tbl_견적[[#This Row],[견적일]],"yymmdd")&amp;"-"&amp;TEXT(tbl_견적[[#This Row],[일렬번호]],"00")</f>
        <v>EX241107-02</v>
      </c>
      <c r="D21" s="413" t="s">
        <v>143</v>
      </c>
      <c r="E21" s="413" t="s">
        <v>8137</v>
      </c>
      <c r="F21" s="413" t="s">
        <v>7464</v>
      </c>
      <c r="G21" s="413" t="s">
        <v>8138</v>
      </c>
      <c r="H21" s="413">
        <v>1</v>
      </c>
      <c r="I21" s="414">
        <v>450000</v>
      </c>
      <c r="J21" s="501">
        <f t="shared" si="0"/>
        <v>450000</v>
      </c>
      <c r="K21" s="415">
        <f>견적!$J21*1.1</f>
        <v>495000.00000000006</v>
      </c>
      <c r="L21" s="455" t="s">
        <v>8139</v>
      </c>
    </row>
    <row r="22" spans="1:12">
      <c r="A22" s="422">
        <v>45603</v>
      </c>
      <c r="B22" s="150">
        <f>IF(MONTH(A21)=MONTH(견적!$A22),IF(AND(A21=견적!$A22,D21=tbl_견적[[#This Row],[발주처]]),B21,B21+1),1)</f>
        <v>3</v>
      </c>
      <c r="C22" s="151" t="str">
        <f>"EX"&amp;TEXT(tbl_견적[[#This Row],[견적일]],"yymmdd")&amp;"-"&amp;TEXT(tbl_견적[[#This Row],[일렬번호]],"00")</f>
        <v>EX241107-03</v>
      </c>
      <c r="D22" s="413" t="s">
        <v>198</v>
      </c>
      <c r="E22" s="413" t="s">
        <v>8140</v>
      </c>
      <c r="F22" s="413" t="s">
        <v>8141</v>
      </c>
      <c r="G22" s="413" t="s">
        <v>8139</v>
      </c>
      <c r="H22" s="413">
        <v>2</v>
      </c>
      <c r="I22" s="414">
        <v>545000</v>
      </c>
      <c r="J22" s="501">
        <f t="shared" si="0"/>
        <v>1090000</v>
      </c>
      <c r="K22" s="415">
        <f>견적!$J22*1.1</f>
        <v>1199000</v>
      </c>
      <c r="L22" s="455"/>
    </row>
    <row r="23" spans="1:12">
      <c r="A23" s="421">
        <v>45603</v>
      </c>
      <c r="B23" s="150">
        <f>IF(MONTH(A22)=MONTH(견적!$A23),IF(AND(A22=견적!$A23,D22=tbl_견적[[#This Row],[발주처]]),B22,B22+1),1)</f>
        <v>3</v>
      </c>
      <c r="C23" s="151" t="str">
        <f>"EX"&amp;TEXT(tbl_견적[[#This Row],[견적일]],"yymmdd")&amp;"-"&amp;TEXT(tbl_견적[[#This Row],[일렬번호]],"00")</f>
        <v>EX241107-03</v>
      </c>
      <c r="D23" s="138" t="s">
        <v>198</v>
      </c>
      <c r="E23" s="138" t="s">
        <v>8137</v>
      </c>
      <c r="F23" s="138" t="s">
        <v>8142</v>
      </c>
      <c r="G23" s="138" t="s">
        <v>8143</v>
      </c>
      <c r="H23" s="138">
        <v>1</v>
      </c>
      <c r="I23" s="139">
        <v>150000</v>
      </c>
      <c r="J23" s="499">
        <f t="shared" si="0"/>
        <v>150000</v>
      </c>
      <c r="K23" s="208">
        <f>견적!$J23*1.1</f>
        <v>165000</v>
      </c>
      <c r="L23" s="445"/>
    </row>
    <row r="24" spans="1:12" ht="33">
      <c r="A24" s="422">
        <v>45604</v>
      </c>
      <c r="B24" s="150">
        <f>IF(MONTH(A23)=MONTH(견적!$A24),IF(AND(A23=견적!$A24,D23=tbl_견적[[#This Row],[발주처]]),B23,B23+1),1)</f>
        <v>4</v>
      </c>
      <c r="C24" s="151" t="str">
        <f>"EX"&amp;TEXT(tbl_견적[[#This Row],[견적일]],"yymmdd")&amp;"-"&amp;TEXT(tbl_견적[[#This Row],[일렬번호]],"00")</f>
        <v>EX241108-04</v>
      </c>
      <c r="D24" s="138" t="s">
        <v>194</v>
      </c>
      <c r="E24" s="413" t="s">
        <v>8035</v>
      </c>
      <c r="F24" s="413" t="s">
        <v>8144</v>
      </c>
      <c r="G24" s="413" t="s">
        <v>8146</v>
      </c>
      <c r="H24" s="413">
        <v>1</v>
      </c>
      <c r="I24" s="414">
        <v>4997700</v>
      </c>
      <c r="J24" s="501">
        <f t="shared" si="0"/>
        <v>4997700</v>
      </c>
      <c r="K24" s="415">
        <f>견적!$J24*1.1</f>
        <v>5497470</v>
      </c>
      <c r="L24" s="456" t="s">
        <v>8148</v>
      </c>
    </row>
    <row r="25" spans="1:12">
      <c r="A25" s="421">
        <v>45604</v>
      </c>
      <c r="B25" s="150">
        <f>IF(MONTH(A24)=MONTH(견적!$A25),IF(AND(A24=견적!$A25,D24=tbl_견적[[#This Row],[발주처]]),B24,B24+1),1)</f>
        <v>4</v>
      </c>
      <c r="C25" s="151" t="str">
        <f>"EX"&amp;TEXT(tbl_견적[[#This Row],[견적일]],"yymmdd")&amp;"-"&amp;TEXT(tbl_견적[[#This Row],[일렬번호]],"00")</f>
        <v>EX241108-04</v>
      </c>
      <c r="D25" s="138" t="s">
        <v>194</v>
      </c>
      <c r="E25" s="138" t="s">
        <v>8035</v>
      </c>
      <c r="F25" s="138" t="s">
        <v>8145</v>
      </c>
      <c r="G25" s="138" t="s">
        <v>8147</v>
      </c>
      <c r="H25" s="138">
        <v>1</v>
      </c>
      <c r="I25" s="139">
        <v>4950900</v>
      </c>
      <c r="J25" s="499">
        <f t="shared" si="0"/>
        <v>4950900</v>
      </c>
      <c r="K25" s="208">
        <f>견적!$J25*1.1</f>
        <v>5445990</v>
      </c>
      <c r="L25" s="445" t="s">
        <v>8149</v>
      </c>
    </row>
    <row r="26" spans="1:12">
      <c r="A26" s="461">
        <v>45607</v>
      </c>
      <c r="B26" s="150">
        <f>IF(MONTH(A25)=MONTH(견적!$A26),IF(AND(A25=견적!$A26,D25=tbl_견적[[#This Row],[발주처]]),B25,B25+1),1)</f>
        <v>5</v>
      </c>
      <c r="C26" s="151" t="str">
        <f>"EX"&amp;TEXT(tbl_견적[[#This Row],[견적일]],"yymmdd")&amp;"-"&amp;TEXT(tbl_견적[[#This Row],[일렬번호]],"00")</f>
        <v>EX241111-05</v>
      </c>
      <c r="D26" s="462" t="s">
        <v>8154</v>
      </c>
      <c r="E26" s="462" t="s">
        <v>8035</v>
      </c>
      <c r="F26" s="462" t="s">
        <v>8155</v>
      </c>
      <c r="G26" s="462" t="s">
        <v>8156</v>
      </c>
      <c r="H26" s="462">
        <v>1</v>
      </c>
      <c r="I26" s="463">
        <v>4233150</v>
      </c>
      <c r="J26" s="502">
        <f t="shared" si="0"/>
        <v>4233150</v>
      </c>
      <c r="K26" s="465">
        <f>견적!$J26*1.1</f>
        <v>4656465</v>
      </c>
      <c r="L26" s="466"/>
    </row>
    <row r="27" spans="1:12">
      <c r="A27" s="467">
        <v>45609</v>
      </c>
      <c r="B27" s="150">
        <f>IF(MONTH(A26)=MONTH(견적!$A27),IF(AND(A26=견적!$A27,D26=tbl_견적[[#This Row],[발주처]]),B26,B26+1),1)</f>
        <v>6</v>
      </c>
      <c r="C27" s="151" t="str">
        <f>"EX"&amp;TEXT(tbl_견적[[#This Row],[견적일]],"yymmdd")&amp;"-"&amp;TEXT(tbl_견적[[#This Row],[일렬번호]],"00")</f>
        <v>EX241113-06</v>
      </c>
      <c r="D27" s="462" t="s">
        <v>5600</v>
      </c>
      <c r="E27" s="462" t="s">
        <v>7572</v>
      </c>
      <c r="F27" s="462" t="s">
        <v>8159</v>
      </c>
      <c r="G27" s="462" t="s">
        <v>8160</v>
      </c>
      <c r="H27" s="462">
        <v>5</v>
      </c>
      <c r="I27" s="470">
        <v>2623</v>
      </c>
      <c r="J27" s="503">
        <f t="shared" si="0"/>
        <v>13115</v>
      </c>
      <c r="K27" s="471">
        <f>견적!$J27*1.1</f>
        <v>14426.500000000002</v>
      </c>
      <c r="L27" s="445"/>
    </row>
    <row r="28" spans="1:12">
      <c r="A28" s="467">
        <v>45609</v>
      </c>
      <c r="B28" s="150">
        <f>IF(MONTH(A27)=MONTH(견적!$A28),IF(AND(A27=견적!$A28,D27=tbl_견적[[#This Row],[발주처]]),B27,B27+1),1)</f>
        <v>6</v>
      </c>
      <c r="C28" s="151" t="str">
        <f>"EX"&amp;TEXT(tbl_견적[[#This Row],[견적일]],"yymmdd")&amp;"-"&amp;TEXT(tbl_견적[[#This Row],[일렬번호]],"00")</f>
        <v>EX241113-06</v>
      </c>
      <c r="D28" s="462" t="s">
        <v>5600</v>
      </c>
      <c r="E28" s="462" t="s">
        <v>7570</v>
      </c>
      <c r="F28" s="462" t="s">
        <v>8161</v>
      </c>
      <c r="G28" s="462" t="s">
        <v>8160</v>
      </c>
      <c r="H28" s="462">
        <v>5</v>
      </c>
      <c r="I28" s="470">
        <v>164</v>
      </c>
      <c r="J28" s="503">
        <f t="shared" si="0"/>
        <v>820</v>
      </c>
      <c r="K28" s="471">
        <f>견적!$J28*1.1</f>
        <v>902.00000000000011</v>
      </c>
      <c r="L28" s="445"/>
    </row>
    <row r="29" spans="1:12">
      <c r="A29" s="421">
        <v>45610</v>
      </c>
      <c r="B29" s="150">
        <f>IF(MONTH(A28)=MONTH(견적!$A29),IF(AND(A28=견적!$A29,D28=tbl_견적[[#This Row],[발주처]]),B28,B28+1),1)</f>
        <v>7</v>
      </c>
      <c r="C29" s="151" t="str">
        <f>"EX"&amp;TEXT(tbl_견적[[#This Row],[견적일]],"yymmdd")&amp;"-"&amp;TEXT(tbl_견적[[#This Row],[일렬번호]],"00")</f>
        <v>EX241114-07</v>
      </c>
      <c r="D29" s="138" t="s">
        <v>128</v>
      </c>
      <c r="E29" s="138" t="s">
        <v>8164</v>
      </c>
      <c r="F29" s="138" t="s">
        <v>8165</v>
      </c>
      <c r="G29" s="138" t="s">
        <v>8166</v>
      </c>
      <c r="H29" s="138">
        <v>1</v>
      </c>
      <c r="I29" s="139">
        <v>1300000</v>
      </c>
      <c r="J29" s="499">
        <f t="shared" ref="J29:J35" si="1">H29*I29</f>
        <v>1300000</v>
      </c>
      <c r="K29" s="208">
        <f>견적!$J29*1.1</f>
        <v>1430000</v>
      </c>
      <c r="L29" s="445" t="s">
        <v>8167</v>
      </c>
    </row>
    <row r="30" spans="1:12">
      <c r="A30" s="461">
        <v>45610</v>
      </c>
      <c r="B30" s="150">
        <f>IF(MONTH(A29)=MONTH(견적!$A30),IF(AND(A29=견적!$A30,D29=tbl_견적[[#This Row],[발주처]]),B29,B29+1),1)</f>
        <v>8</v>
      </c>
      <c r="C30" s="472" t="str">
        <f>"EX"&amp;TEXT(tbl_견적[[#This Row],[견적일]],"yymmdd")&amp;"-"&amp;TEXT(tbl_견적[[#This Row],[일렬번호]],"00")</f>
        <v>EX241114-08</v>
      </c>
      <c r="D30" s="462" t="s">
        <v>8157</v>
      </c>
      <c r="E30" s="462" t="s">
        <v>8168</v>
      </c>
      <c r="F30" s="462" t="s">
        <v>8169</v>
      </c>
      <c r="G30" s="462" t="s">
        <v>8170</v>
      </c>
      <c r="H30" s="462">
        <v>1</v>
      </c>
      <c r="I30" s="463">
        <v>2180000</v>
      </c>
      <c r="J30" s="502">
        <f t="shared" si="1"/>
        <v>2180000</v>
      </c>
      <c r="K30" s="465">
        <f>견적!$J30*1.1</f>
        <v>2398000</v>
      </c>
      <c r="L30" s="466"/>
    </row>
    <row r="31" spans="1:12" ht="66">
      <c r="A31" s="461">
        <v>45611</v>
      </c>
      <c r="B31" s="150">
        <f>IF(MONTH(A30)=MONTH(견적!$A31),IF(AND(A30=견적!$A31,D30=tbl_견적[[#This Row],[발주처]]),B30,B30+1),1)</f>
        <v>9</v>
      </c>
      <c r="C31" s="472" t="str">
        <f>"EX"&amp;TEXT(tbl_견적[[#This Row],[견적일]],"yymmdd")&amp;"-"&amp;TEXT(tbl_견적[[#This Row],[일렬번호]],"00")</f>
        <v>EX241115-09</v>
      </c>
      <c r="D31" s="462" t="s">
        <v>8173</v>
      </c>
      <c r="E31" s="462" t="s">
        <v>8035</v>
      </c>
      <c r="F31" s="462" t="s">
        <v>8179</v>
      </c>
      <c r="G31" s="462" t="s">
        <v>8106</v>
      </c>
      <c r="H31" s="462">
        <v>1</v>
      </c>
      <c r="I31" s="463">
        <v>4236000</v>
      </c>
      <c r="J31" s="502">
        <f t="shared" si="1"/>
        <v>4236000</v>
      </c>
      <c r="K31" s="464">
        <f>견적!$J31*1.1</f>
        <v>4659600</v>
      </c>
      <c r="L31" s="473" t="s">
        <v>8181</v>
      </c>
    </row>
    <row r="32" spans="1:12">
      <c r="A32" s="421">
        <v>45611</v>
      </c>
      <c r="B32" s="150">
        <f>IF(MONTH(A31)=MONTH(견적!$A32),IF(AND(A31=견적!$A32,D31=tbl_견적[[#This Row],[발주처]]),B31,B31+1),1)</f>
        <v>9</v>
      </c>
      <c r="C32" s="151" t="str">
        <f>"EX"&amp;TEXT(tbl_견적[[#This Row],[견적일]],"yymmdd")&amp;"-"&amp;TEXT(tbl_견적[[#This Row],[일렬번호]],"00")</f>
        <v>EX241115-09</v>
      </c>
      <c r="D32" s="138" t="s">
        <v>8173</v>
      </c>
      <c r="E32" s="138" t="s">
        <v>8035</v>
      </c>
      <c r="F32" s="138" t="s">
        <v>8179</v>
      </c>
      <c r="G32" s="138" t="s">
        <v>8146</v>
      </c>
      <c r="H32" s="138">
        <v>1</v>
      </c>
      <c r="I32" s="139">
        <v>4178000</v>
      </c>
      <c r="J32" s="502">
        <f t="shared" si="1"/>
        <v>4178000</v>
      </c>
      <c r="K32" s="207">
        <f>견적!$J32*1.1</f>
        <v>4595800</v>
      </c>
      <c r="L32" s="445"/>
    </row>
    <row r="33" spans="1:12">
      <c r="A33" s="421">
        <v>45611</v>
      </c>
      <c r="B33" s="150">
        <f>IF(MONTH(A32)=MONTH(견적!$A33),IF(AND(A32=견적!$A33,D32=tbl_견적[[#This Row],[발주처]]),B32,B32+1),1)</f>
        <v>9</v>
      </c>
      <c r="C33" s="151" t="str">
        <f>"EX"&amp;TEXT(tbl_견적[[#This Row],[견적일]],"yymmdd")&amp;"-"&amp;TEXT(tbl_견적[[#This Row],[일렬번호]],"00")</f>
        <v>EX241115-09</v>
      </c>
      <c r="D33" s="138" t="s">
        <v>8173</v>
      </c>
      <c r="E33" s="138" t="s">
        <v>8035</v>
      </c>
      <c r="F33" s="138" t="s">
        <v>8179</v>
      </c>
      <c r="G33" s="138" t="s">
        <v>8180</v>
      </c>
      <c r="H33" s="138">
        <v>1</v>
      </c>
      <c r="I33" s="139">
        <v>4247000</v>
      </c>
      <c r="J33" s="499">
        <f t="shared" si="1"/>
        <v>4247000</v>
      </c>
      <c r="K33" s="207">
        <f>견적!$J33*1.1</f>
        <v>4671700</v>
      </c>
      <c r="L33" s="445"/>
    </row>
    <row r="34" spans="1:12" ht="66">
      <c r="A34" s="421">
        <v>45611</v>
      </c>
      <c r="B34" s="150">
        <f>IF(MONTH(A33)=MONTH(견적!$A34),IF(AND(A33=견적!$A34,D33=tbl_견적[[#This Row],[발주처]]),B33,B33+1),1)</f>
        <v>10</v>
      </c>
      <c r="C34" s="151" t="str">
        <f>"EX"&amp;TEXT(tbl_견적[[#This Row],[견적일]],"yymmdd")&amp;"-"&amp;TEXT(tbl_견적[[#This Row],[일렬번호]],"00")</f>
        <v>EX241115-10</v>
      </c>
      <c r="D34" s="138" t="s">
        <v>194</v>
      </c>
      <c r="E34" s="138" t="s">
        <v>8035</v>
      </c>
      <c r="F34" s="138" t="s">
        <v>8145</v>
      </c>
      <c r="G34" s="138" t="s">
        <v>8107</v>
      </c>
      <c r="H34" s="138">
        <v>1</v>
      </c>
      <c r="I34" s="139">
        <v>4143200</v>
      </c>
      <c r="J34" s="499">
        <f t="shared" si="1"/>
        <v>4143200</v>
      </c>
      <c r="K34" s="207">
        <f>견적!$J34*1.1</f>
        <v>4557520</v>
      </c>
      <c r="L34" s="474" t="s">
        <v>8185</v>
      </c>
    </row>
    <row r="35" spans="1:12">
      <c r="A35" s="421">
        <v>45611</v>
      </c>
      <c r="B35" s="150">
        <f>IF(MONTH(A34)=MONTH(견적!$A35),IF(AND(A34=견적!$A35,D34=tbl_견적[[#This Row],[발주처]]),B34,B34+1),1)</f>
        <v>10</v>
      </c>
      <c r="C35" s="151" t="str">
        <f>"EX"&amp;TEXT(tbl_견적[[#This Row],[견적일]],"yymmdd")&amp;"-"&amp;TEXT(tbl_견적[[#This Row],[일렬번호]],"00")</f>
        <v>EX241115-10</v>
      </c>
      <c r="D35" s="138" t="s">
        <v>194</v>
      </c>
      <c r="E35" s="138" t="s">
        <v>8035</v>
      </c>
      <c r="F35" s="138" t="s">
        <v>8182</v>
      </c>
      <c r="G35" s="138" t="s">
        <v>8106</v>
      </c>
      <c r="H35" s="138">
        <v>1</v>
      </c>
      <c r="I35" s="139">
        <v>4188000</v>
      </c>
      <c r="J35" s="499">
        <f t="shared" si="1"/>
        <v>4188000</v>
      </c>
      <c r="K35" s="207">
        <f>견적!$J35*1.1</f>
        <v>4606800</v>
      </c>
      <c r="L35" s="445" t="s">
        <v>8183</v>
      </c>
    </row>
    <row r="36" spans="1:12">
      <c r="A36" s="421">
        <v>45611</v>
      </c>
      <c r="B36" s="150">
        <f>IF(MONTH(A35)=MONTH(견적!$A36),IF(AND(A35=견적!$A36,D35=tbl_견적[[#This Row],[발주처]]),B35,B35+1),1)</f>
        <v>10</v>
      </c>
      <c r="C36" s="151" t="str">
        <f>"EX"&amp;TEXT(tbl_견적[[#This Row],[견적일]],"yymmdd")&amp;"-"&amp;TEXT(tbl_견적[[#This Row],[일렬번호]],"00")</f>
        <v>EX241115-10</v>
      </c>
      <c r="D36" s="138" t="s">
        <v>194</v>
      </c>
      <c r="E36" s="138" t="s">
        <v>8035</v>
      </c>
      <c r="F36" s="138" t="s">
        <v>8145</v>
      </c>
      <c r="G36" s="138" t="s">
        <v>8184</v>
      </c>
      <c r="H36" s="138">
        <v>1</v>
      </c>
      <c r="I36" s="139">
        <v>3840800</v>
      </c>
      <c r="J36" s="499">
        <f>H36*I36</f>
        <v>3840800</v>
      </c>
      <c r="K36" s="207">
        <f>견적!$J36*1.1</f>
        <v>4224880</v>
      </c>
      <c r="L36" s="445" t="s">
        <v>8183</v>
      </c>
    </row>
    <row r="37" spans="1:12">
      <c r="A37" s="461">
        <v>45617</v>
      </c>
      <c r="B37" s="150">
        <f>IF(MONTH(A36)=MONTH(견적!$A37),IF(AND(A36=견적!$A37,D36=tbl_견적[[#This Row],[발주처]]),B36,B36+1),1)</f>
        <v>11</v>
      </c>
      <c r="C37" s="472" t="str">
        <f>"EX"&amp;TEXT(tbl_견적[[#This Row],[견적일]],"yymmdd")&amp;"-"&amp;TEXT(tbl_견적[[#This Row],[일렬번호]],"00")</f>
        <v>EX241121-11</v>
      </c>
      <c r="D37" s="462" t="s">
        <v>8194</v>
      </c>
      <c r="E37" s="462" t="s">
        <v>8035</v>
      </c>
      <c r="F37" s="462" t="s">
        <v>8196</v>
      </c>
      <c r="G37" s="462" t="s">
        <v>168</v>
      </c>
      <c r="H37" s="462">
        <v>6</v>
      </c>
      <c r="I37" s="463">
        <v>4936000</v>
      </c>
      <c r="J37" s="502">
        <f t="shared" ref="J37:J43" si="2">H37*I37</f>
        <v>29616000</v>
      </c>
      <c r="K37" s="465">
        <f>견적!$J37*1.1</f>
        <v>32577600.000000004</v>
      </c>
      <c r="L37" s="466" t="s">
        <v>8230</v>
      </c>
    </row>
    <row r="38" spans="1:12">
      <c r="A38" s="461">
        <v>45618</v>
      </c>
      <c r="B38" s="150">
        <f>IF(MONTH(A37)=MONTH(견적!$A38),IF(AND(A37=견적!$A38,D37=tbl_견적[[#This Row],[발주처]]),B37,B37+1),1)</f>
        <v>12</v>
      </c>
      <c r="C38" s="472" t="str">
        <f>"EX"&amp;TEXT(tbl_견적[[#This Row],[견적일]],"yymmdd")&amp;"-"&amp;TEXT(tbl_견적[[#This Row],[일렬번호]],"00")</f>
        <v>EX241122-12</v>
      </c>
      <c r="D38" s="462" t="s">
        <v>5600</v>
      </c>
      <c r="E38" s="462" t="s">
        <v>8035</v>
      </c>
      <c r="F38" s="462" t="s">
        <v>8205</v>
      </c>
      <c r="G38" s="462" t="s">
        <v>8207</v>
      </c>
      <c r="H38" s="462">
        <v>5</v>
      </c>
      <c r="I38" s="477">
        <v>1370</v>
      </c>
      <c r="J38" s="502">
        <f t="shared" si="2"/>
        <v>6850</v>
      </c>
      <c r="K38" s="471">
        <f>견적!$J38*1.1</f>
        <v>7535.0000000000009</v>
      </c>
      <c r="L38" s="466"/>
    </row>
    <row r="39" spans="1:12">
      <c r="A39" s="461">
        <v>45618</v>
      </c>
      <c r="B39" s="150">
        <f>IF(MONTH(A38)=MONTH(견적!$A39),IF(AND(A38=견적!$A39,D38=tbl_견적[[#This Row],[발주처]]),B38,B38+1),1)</f>
        <v>12</v>
      </c>
      <c r="C39" s="472" t="str">
        <f>"EX"&amp;TEXT(tbl_견적[[#This Row],[견적일]],"yymmdd")&amp;"-"&amp;TEXT(tbl_견적[[#This Row],[일렬번호]],"00")</f>
        <v>EX241122-12</v>
      </c>
      <c r="D39" s="462" t="s">
        <v>5600</v>
      </c>
      <c r="E39" s="462" t="s">
        <v>8035</v>
      </c>
      <c r="F39" s="462" t="s">
        <v>8206</v>
      </c>
      <c r="G39" s="462" t="s">
        <v>8208</v>
      </c>
      <c r="H39" s="462">
        <v>5</v>
      </c>
      <c r="I39" s="477">
        <v>1790</v>
      </c>
      <c r="J39" s="502">
        <f t="shared" si="2"/>
        <v>8950</v>
      </c>
      <c r="K39" s="471">
        <f>견적!$J39*1.1</f>
        <v>9845</v>
      </c>
      <c r="L39" s="466"/>
    </row>
    <row r="40" spans="1:12">
      <c r="A40" s="461">
        <v>45618</v>
      </c>
      <c r="B40" s="150">
        <f>IF(MONTH(A39)=MONTH(견적!$A40),IF(AND(A39=견적!$A40,D39=tbl_견적[[#This Row],[발주처]]),B39,B39+1),1)</f>
        <v>12</v>
      </c>
      <c r="C40" s="472" t="str">
        <f>"EX"&amp;TEXT(tbl_견적[[#This Row],[견적일]],"yymmdd")&amp;"-"&amp;TEXT(tbl_견적[[#This Row],[일렬번호]],"00")</f>
        <v>EX241122-12</v>
      </c>
      <c r="D40" s="462" t="s">
        <v>5600</v>
      </c>
      <c r="E40" s="462" t="s">
        <v>8035</v>
      </c>
      <c r="F40" s="462" t="s">
        <v>8204</v>
      </c>
      <c r="G40" s="462" t="s">
        <v>8209</v>
      </c>
      <c r="H40" s="462">
        <v>5</v>
      </c>
      <c r="I40" s="477">
        <v>2010</v>
      </c>
      <c r="J40" s="502">
        <f t="shared" si="2"/>
        <v>10050</v>
      </c>
      <c r="K40" s="471">
        <f>견적!$J40*1.1</f>
        <v>11055</v>
      </c>
      <c r="L40" s="466"/>
    </row>
    <row r="41" spans="1:12">
      <c r="A41" s="461">
        <v>45618</v>
      </c>
      <c r="B41" s="150">
        <f>IF(MONTH(A40)=MONTH(견적!$A41),IF(AND(A40=견적!$A41,D40=tbl_견적[[#This Row],[발주처]]),B40,B40+1),1)</f>
        <v>12</v>
      </c>
      <c r="C41" s="472" t="str">
        <f>"EX"&amp;TEXT(tbl_견적[[#This Row],[견적일]],"yymmdd")&amp;"-"&amp;TEXT(tbl_견적[[#This Row],[일렬번호]],"00")</f>
        <v>EX241122-12</v>
      </c>
      <c r="D41" s="462" t="s">
        <v>5600</v>
      </c>
      <c r="E41" s="462" t="s">
        <v>8035</v>
      </c>
      <c r="F41" s="462" t="s">
        <v>8201</v>
      </c>
      <c r="G41" s="462" t="s">
        <v>8210</v>
      </c>
      <c r="H41" s="462">
        <v>5</v>
      </c>
      <c r="I41" s="477">
        <v>2620</v>
      </c>
      <c r="J41" s="502">
        <f t="shared" si="2"/>
        <v>13100</v>
      </c>
      <c r="K41" s="471">
        <f>견적!$J41*1.1</f>
        <v>14410.000000000002</v>
      </c>
      <c r="L41" s="466"/>
    </row>
    <row r="42" spans="1:12">
      <c r="A42" s="421">
        <v>45618</v>
      </c>
      <c r="B42" s="150">
        <f>IF(MONTH(A38)=MONTH(견적!$A42),IF(AND(A38=견적!$A42,D38=tbl_견적[[#This Row],[발주처]]),B38,B38+1),1)</f>
        <v>12</v>
      </c>
      <c r="C42" s="151" t="str">
        <f>"EX"&amp;TEXT(tbl_견적[[#This Row],[견적일]],"yymmdd")&amp;"-"&amp;TEXT(tbl_견적[[#This Row],[일렬번호]],"00")</f>
        <v>EX241122-12</v>
      </c>
      <c r="D42" s="138" t="s">
        <v>5600</v>
      </c>
      <c r="E42" s="138" t="s">
        <v>7477</v>
      </c>
      <c r="F42" s="138" t="s">
        <v>8200</v>
      </c>
      <c r="G42" s="138" t="s">
        <v>8202</v>
      </c>
      <c r="H42" s="138">
        <v>5</v>
      </c>
      <c r="I42" s="439">
        <v>164</v>
      </c>
      <c r="J42" s="499">
        <f t="shared" si="2"/>
        <v>820</v>
      </c>
      <c r="K42" s="440">
        <f>견적!$J42*1.1</f>
        <v>902.00000000000011</v>
      </c>
      <c r="L42" s="445"/>
    </row>
    <row r="43" spans="1:12">
      <c r="A43" s="421">
        <v>45618</v>
      </c>
      <c r="B43" s="150">
        <f>IF(MONTH(A42)=MONTH(견적!$A43),IF(AND(A42=견적!$A43,D42=tbl_견적[[#This Row],[발주처]]),B42,B42+1),1)</f>
        <v>12</v>
      </c>
      <c r="C43" s="151" t="str">
        <f>"EX"&amp;TEXT(tbl_견적[[#This Row],[견적일]],"yymmdd")&amp;"-"&amp;TEXT(tbl_견적[[#This Row],[일렬번호]],"00")</f>
        <v>EX241122-12</v>
      </c>
      <c r="D43" s="138" t="s">
        <v>5600</v>
      </c>
      <c r="E43" s="138" t="s">
        <v>7477</v>
      </c>
      <c r="F43" s="138" t="s">
        <v>8203</v>
      </c>
      <c r="G43" s="138" t="s">
        <v>8202</v>
      </c>
      <c r="H43" s="138">
        <v>5</v>
      </c>
      <c r="I43" s="439">
        <v>157</v>
      </c>
      <c r="J43" s="499">
        <f t="shared" si="2"/>
        <v>785</v>
      </c>
      <c r="K43" s="440">
        <f>견적!$J43*1.1</f>
        <v>863.50000000000011</v>
      </c>
      <c r="L43" s="445"/>
    </row>
    <row r="44" spans="1:12">
      <c r="A44" s="461">
        <v>45618</v>
      </c>
      <c r="B44" s="150">
        <f>IF(MONTH(A43)=MONTH(견적!$A44),IF(AND(A43=견적!$A44,D43=tbl_견적[[#This Row],[발주처]]),B43,B43+1),1)</f>
        <v>13</v>
      </c>
      <c r="C44" s="472" t="str">
        <f>"EX"&amp;TEXT(tbl_견적[[#This Row],[견적일]],"yymmdd")&amp;"-"&amp;TEXT(tbl_견적[[#This Row],[일렬번호]],"00")</f>
        <v>EX241122-13</v>
      </c>
      <c r="D44" s="462" t="s">
        <v>8211</v>
      </c>
      <c r="E44" s="462" t="s">
        <v>8035</v>
      </c>
      <c r="F44" s="462" t="s">
        <v>8212</v>
      </c>
      <c r="G44" s="462" t="s">
        <v>8213</v>
      </c>
      <c r="H44" s="462">
        <v>1</v>
      </c>
      <c r="I44" s="463">
        <v>2264350</v>
      </c>
      <c r="J44" s="502">
        <f t="shared" ref="J44:J49" si="3">H44*I44</f>
        <v>2264350</v>
      </c>
      <c r="K44" s="464">
        <f>견적!$J44*1.1</f>
        <v>2490785</v>
      </c>
      <c r="L44" s="466" t="s">
        <v>8218</v>
      </c>
    </row>
    <row r="45" spans="1:12">
      <c r="A45" s="421">
        <v>45618</v>
      </c>
      <c r="B45" s="150">
        <f>IF(MONTH(A44)=MONTH(견적!$A45),IF(AND(A44=견적!$A45,D44=tbl_견적[[#This Row],[발주처]]),B44,B44+1),1)</f>
        <v>13</v>
      </c>
      <c r="C45" s="151" t="str">
        <f>"EX"&amp;TEXT(tbl_견적[[#This Row],[견적일]],"yymmdd")&amp;"-"&amp;TEXT(tbl_견적[[#This Row],[일렬번호]],"00")</f>
        <v>EX241122-13</v>
      </c>
      <c r="D45" s="138" t="s">
        <v>8211</v>
      </c>
      <c r="E45" s="138" t="s">
        <v>8219</v>
      </c>
      <c r="F45" s="138" t="s">
        <v>8214</v>
      </c>
      <c r="G45" s="138" t="s">
        <v>8215</v>
      </c>
      <c r="H45" s="138">
        <v>1</v>
      </c>
      <c r="I45" s="139">
        <v>126500</v>
      </c>
      <c r="J45" s="499">
        <f t="shared" si="3"/>
        <v>126500</v>
      </c>
      <c r="K45" s="207">
        <f>견적!$J45*1.1</f>
        <v>139150</v>
      </c>
      <c r="L45" s="445"/>
    </row>
    <row r="46" spans="1:12">
      <c r="A46" s="421">
        <v>45618</v>
      </c>
      <c r="B46" s="150">
        <f>IF(MONTH(A45)=MONTH(견적!$A46),IF(AND(A45=견적!$A46,D45=tbl_견적[[#This Row],[발주처]]),B45,B45+1),1)</f>
        <v>13</v>
      </c>
      <c r="C46" s="151" t="str">
        <f>"EX"&amp;TEXT(tbl_견적[[#This Row],[견적일]],"yymmdd")&amp;"-"&amp;TEXT(tbl_견적[[#This Row],[일렬번호]],"00")</f>
        <v>EX241122-13</v>
      </c>
      <c r="D46" s="138" t="s">
        <v>8211</v>
      </c>
      <c r="E46" s="138" t="s">
        <v>8219</v>
      </c>
      <c r="F46" s="138" t="s">
        <v>8216</v>
      </c>
      <c r="G46" s="138" t="s">
        <v>8217</v>
      </c>
      <c r="H46" s="138">
        <v>1</v>
      </c>
      <c r="I46" s="139">
        <f>138000+182000</f>
        <v>320000</v>
      </c>
      <c r="J46" s="499">
        <f t="shared" si="3"/>
        <v>320000</v>
      </c>
      <c r="K46" s="207">
        <f>견적!$J46*1.1</f>
        <v>352000</v>
      </c>
      <c r="L46" s="445"/>
    </row>
    <row r="47" spans="1:12" ht="33">
      <c r="A47" s="461">
        <v>45622</v>
      </c>
      <c r="B47" s="150">
        <f>IF(MONTH(A46)=MONTH(견적!$A47),IF(AND(A46=견적!$A47,D46=tbl_견적[[#This Row],[발주처]]),B46,B46+1),1)</f>
        <v>14</v>
      </c>
      <c r="C47" s="472" t="str">
        <f>"EX"&amp;TEXT(tbl_견적[[#This Row],[견적일]],"yymmdd")&amp;"-"&amp;TEXT(tbl_견적[[#This Row],[일렬번호]],"00")</f>
        <v>EX241126-14</v>
      </c>
      <c r="D47" s="138" t="s">
        <v>8154</v>
      </c>
      <c r="E47" s="462" t="s">
        <v>8035</v>
      </c>
      <c r="F47" s="462" t="s">
        <v>8228</v>
      </c>
      <c r="G47" s="462" t="s">
        <v>168</v>
      </c>
      <c r="H47" s="462">
        <v>1</v>
      </c>
      <c r="I47" s="463">
        <v>5100000</v>
      </c>
      <c r="J47" s="502">
        <f t="shared" si="3"/>
        <v>5100000</v>
      </c>
      <c r="K47" s="465">
        <f>견적!$J47*1.1</f>
        <v>5610000</v>
      </c>
      <c r="L47" s="473" t="s">
        <v>8229</v>
      </c>
    </row>
    <row r="48" spans="1:12" ht="33">
      <c r="A48" s="461">
        <v>45628</v>
      </c>
      <c r="B48" s="150">
        <f>IF(MONTH(A47)=MONTH(견적!$A48),IF(AND(A47=견적!$A48,D47=tbl_견적[[#This Row],[발주처]]),B47,B47+1),1)</f>
        <v>1</v>
      </c>
      <c r="C48" s="472" t="str">
        <f>"EX"&amp;TEXT(tbl_견적[[#This Row],[견적일]],"yymmdd")&amp;"-"&amp;TEXT(tbl_견적[[#This Row],[일렬번호]],"00")</f>
        <v>EX241202-01</v>
      </c>
      <c r="D48" s="462" t="s">
        <v>8246</v>
      </c>
      <c r="E48" s="462" t="s">
        <v>8035</v>
      </c>
      <c r="F48" s="462" t="s">
        <v>8252</v>
      </c>
      <c r="G48" s="462" t="s">
        <v>8253</v>
      </c>
      <c r="H48" s="462">
        <v>1</v>
      </c>
      <c r="I48" s="463">
        <v>5002000</v>
      </c>
      <c r="J48" s="502">
        <f t="shared" si="3"/>
        <v>5002000</v>
      </c>
      <c r="K48" s="465">
        <f>견적!$J48*1.1</f>
        <v>5502200</v>
      </c>
      <c r="L48" s="473" t="s">
        <v>8256</v>
      </c>
    </row>
    <row r="49" spans="1:12">
      <c r="A49" s="421">
        <v>45628</v>
      </c>
      <c r="B49" s="150">
        <f>IF(MONTH(A48)=MONTH(견적!$A49),IF(AND(A48=견적!$A49,D48=tbl_견적[[#This Row],[발주처]]),B48,B48+1),1)</f>
        <v>1</v>
      </c>
      <c r="C49" s="151" t="str">
        <f>"EX"&amp;TEXT(tbl_견적[[#This Row],[견적일]],"yymmdd")&amp;"-"&amp;TEXT(tbl_견적[[#This Row],[일렬번호]],"00")</f>
        <v>EX241202-01</v>
      </c>
      <c r="D49" s="138" t="s">
        <v>8246</v>
      </c>
      <c r="E49" s="138" t="s">
        <v>8035</v>
      </c>
      <c r="F49" s="138" t="s">
        <v>8254</v>
      </c>
      <c r="G49" s="138" t="s">
        <v>8255</v>
      </c>
      <c r="H49" s="138">
        <v>1</v>
      </c>
      <c r="I49" s="139">
        <v>2876000</v>
      </c>
      <c r="J49" s="499">
        <f t="shared" si="3"/>
        <v>2876000</v>
      </c>
      <c r="K49" s="208">
        <f>견적!$J49*1.1</f>
        <v>3163600.0000000005</v>
      </c>
      <c r="L49" s="445"/>
    </row>
    <row r="50" spans="1:12">
      <c r="A50" s="421">
        <v>45628</v>
      </c>
      <c r="B50" s="150">
        <f>IF(MONTH(A49)=MONTH(견적!$A50),IF(AND(A49=견적!$A50,D49=tbl_견적[[#This Row],[발주처]]),B49,B49+1),1)</f>
        <v>1</v>
      </c>
      <c r="C50" s="151" t="str">
        <f>"EX"&amp;TEXT(tbl_견적[[#This Row],[견적일]],"yymmdd")&amp;"-"&amp;TEXT(tbl_견적[[#This Row],[일렬번호]],"00")</f>
        <v>EX241202-01</v>
      </c>
      <c r="D50" s="138" t="s">
        <v>8246</v>
      </c>
      <c r="E50" s="138" t="s">
        <v>8035</v>
      </c>
      <c r="F50" s="138" t="s">
        <v>8201</v>
      </c>
      <c r="G50" s="138" t="s">
        <v>8255</v>
      </c>
      <c r="H50" s="138">
        <v>1</v>
      </c>
      <c r="I50" s="139">
        <v>4167000</v>
      </c>
      <c r="J50" s="499">
        <f>H50*I50</f>
        <v>4167000</v>
      </c>
      <c r="K50" s="208">
        <f>견적!$J50*1.1</f>
        <v>4583700</v>
      </c>
      <c r="L50" s="445"/>
    </row>
    <row r="51" spans="1:12">
      <c r="A51" s="421">
        <v>45628</v>
      </c>
      <c r="B51" s="150">
        <f>IF(MONTH(A50)=MONTH(견적!$A51),IF(AND(A50=견적!$A51,D50=tbl_견적[[#This Row],[발주처]]),B50,B50+1),1)</f>
        <v>1</v>
      </c>
      <c r="C51" s="151" t="str">
        <f>"EX"&amp;TEXT(tbl_견적[[#This Row],[견적일]],"yymmdd")&amp;"-"&amp;TEXT(tbl_견적[[#This Row],[일렬번호]],"00")</f>
        <v>EX241202-01</v>
      </c>
      <c r="D51" s="138" t="s">
        <v>8246</v>
      </c>
      <c r="E51" s="138" t="s">
        <v>8035</v>
      </c>
      <c r="F51" s="138" t="s">
        <v>8257</v>
      </c>
      <c r="G51" s="138" t="s">
        <v>8258</v>
      </c>
      <c r="H51" s="138">
        <v>1</v>
      </c>
      <c r="I51" s="139">
        <v>14513000</v>
      </c>
      <c r="J51" s="499">
        <f>H51*I51</f>
        <v>14513000</v>
      </c>
      <c r="K51" s="208">
        <f>견적!$J51*1.1</f>
        <v>15964300.000000002</v>
      </c>
      <c r="L51" s="445"/>
    </row>
    <row r="52" spans="1:12">
      <c r="A52" s="421">
        <v>45649</v>
      </c>
      <c r="B52" s="150">
        <f>IF(MONTH(A51)=MONTH(견적!$A52),IF(AND(A51=견적!$A52,D51=tbl_견적[[#This Row],[발주처]]),B51,B51+1),1)</f>
        <v>2</v>
      </c>
      <c r="C52" s="151" t="str">
        <f>"EX"&amp;TEXT(tbl_견적[[#This Row],[견적일]],"yymmdd")&amp;"-"&amp;TEXT(tbl_견적[[#This Row],[일렬번호]],"00")</f>
        <v>EX241223-02</v>
      </c>
      <c r="D52" s="138" t="s">
        <v>142</v>
      </c>
      <c r="E52" s="138" t="s">
        <v>8067</v>
      </c>
      <c r="F52" s="138" t="s">
        <v>8279</v>
      </c>
      <c r="G52" s="138" t="s">
        <v>8280</v>
      </c>
      <c r="H52" s="138">
        <v>1</v>
      </c>
      <c r="I52" s="139">
        <v>400000</v>
      </c>
      <c r="J52" s="499">
        <f t="shared" ref="J52:J57" si="4">H52*I52</f>
        <v>400000</v>
      </c>
      <c r="K52" s="208">
        <f>견적!$J52*1.1</f>
        <v>440000.00000000006</v>
      </c>
      <c r="L52" s="445" t="s">
        <v>8281</v>
      </c>
    </row>
    <row r="53" spans="1:12">
      <c r="A53" s="461">
        <v>45649</v>
      </c>
      <c r="B53" s="150">
        <f>IF(MONTH(A52)=MONTH(견적!$A53),IF(AND(A52=견적!$A53,D52=tbl_견적[[#This Row],[발주처]]),B52,B52+1),1)</f>
        <v>3</v>
      </c>
      <c r="C53" s="472" t="str">
        <f>"EX"&amp;TEXT(tbl_견적[[#This Row],[견적일]],"yymmdd")&amp;"-"&amp;TEXT(tbl_견적[[#This Row],[일렬번호]],"00")</f>
        <v>EX241223-03</v>
      </c>
      <c r="D53" s="462" t="s">
        <v>253</v>
      </c>
      <c r="E53" s="462" t="s">
        <v>8035</v>
      </c>
      <c r="F53" s="462" t="s">
        <v>8286</v>
      </c>
      <c r="G53" s="462" t="s">
        <v>8287</v>
      </c>
      <c r="H53" s="462">
        <v>1</v>
      </c>
      <c r="I53" s="463">
        <v>5757000</v>
      </c>
      <c r="J53" s="502">
        <f t="shared" si="4"/>
        <v>5757000</v>
      </c>
      <c r="K53" s="465">
        <f>견적!$J53*1.1</f>
        <v>6332700.0000000009</v>
      </c>
      <c r="L53" s="466" t="s">
        <v>8288</v>
      </c>
    </row>
    <row r="54" spans="1:12">
      <c r="A54" s="461">
        <v>45649</v>
      </c>
      <c r="B54" s="150">
        <f>IF(MONTH(A53)=MONTH(견적!$A54),IF(AND(A53=견적!$A54,D53=tbl_견적[[#This Row],[발주처]]),B53,B53+1),1)</f>
        <v>4</v>
      </c>
      <c r="C54" s="472" t="str">
        <f>"EX"&amp;TEXT(tbl_견적[[#This Row],[견적일]],"yymmdd")&amp;"-"&amp;TEXT(tbl_견적[[#This Row],[일렬번호]],"00")</f>
        <v>EX241223-04</v>
      </c>
      <c r="D54" s="462" t="s">
        <v>5600</v>
      </c>
      <c r="E54" s="462" t="s">
        <v>8035</v>
      </c>
      <c r="F54" s="462" t="s">
        <v>8289</v>
      </c>
      <c r="G54" s="462" t="s">
        <v>8287</v>
      </c>
      <c r="H54" s="462">
        <v>1</v>
      </c>
      <c r="I54" s="463">
        <v>3130000</v>
      </c>
      <c r="J54" s="502">
        <f t="shared" si="4"/>
        <v>3130000</v>
      </c>
      <c r="K54" s="465">
        <f>견적!$J54*1.1</f>
        <v>3443000.0000000005</v>
      </c>
      <c r="L54" s="466" t="s">
        <v>8291</v>
      </c>
    </row>
    <row r="55" spans="1:12">
      <c r="A55" s="421">
        <v>45649</v>
      </c>
      <c r="B55" s="150">
        <f>IF(MONTH(A54)=MONTH(견적!$A55),IF(AND(A54=견적!$A55,D54=tbl_견적[[#This Row],[발주처]]),B54,B54+1),1)</f>
        <v>4</v>
      </c>
      <c r="C55" s="151" t="str">
        <f>"EX"&amp;TEXT(tbl_견적[[#This Row],[견적일]],"yymmdd")&amp;"-"&amp;TEXT(tbl_견적[[#This Row],[일렬번호]],"00")</f>
        <v>EX241223-04</v>
      </c>
      <c r="D55" s="138" t="s">
        <v>5600</v>
      </c>
      <c r="E55" s="138" t="s">
        <v>8035</v>
      </c>
      <c r="F55" s="138" t="s">
        <v>8290</v>
      </c>
      <c r="G55" s="138" t="s">
        <v>8287</v>
      </c>
      <c r="H55" s="138">
        <v>1</v>
      </c>
      <c r="I55" s="139">
        <v>3594000</v>
      </c>
      <c r="J55" s="499">
        <f t="shared" si="4"/>
        <v>3594000</v>
      </c>
      <c r="K55" s="208">
        <f>견적!$J55*1.1</f>
        <v>3953400.0000000005</v>
      </c>
      <c r="L55" s="445"/>
    </row>
    <row r="56" spans="1:12">
      <c r="A56" s="461">
        <v>45650</v>
      </c>
      <c r="B56" s="150">
        <f>IF(MONTH(A55)=MONTH(견적!$A56),IF(AND(A55=견적!$A56,D55=tbl_견적[[#This Row],[발주처]]),B55,B55+1),1)</f>
        <v>5</v>
      </c>
      <c r="C56" s="472" t="str">
        <f>"EX"&amp;TEXT(tbl_견적[[#This Row],[견적일]],"yymmdd")&amp;"-"&amp;TEXT(tbl_견적[[#This Row],[일렬번호]],"00")</f>
        <v>EX241224-05</v>
      </c>
      <c r="D56" s="462" t="s">
        <v>253</v>
      </c>
      <c r="E56" s="462" t="s">
        <v>8035</v>
      </c>
      <c r="F56" s="462" t="s">
        <v>8292</v>
      </c>
      <c r="G56" s="462" t="s">
        <v>8287</v>
      </c>
      <c r="H56" s="462">
        <v>1</v>
      </c>
      <c r="I56" s="463">
        <v>4847700</v>
      </c>
      <c r="J56" s="502">
        <f t="shared" si="4"/>
        <v>4847700</v>
      </c>
      <c r="K56" s="465">
        <f>견적!$J56*1.1</f>
        <v>5332470</v>
      </c>
      <c r="L56" s="466" t="s">
        <v>8293</v>
      </c>
    </row>
    <row r="57" spans="1:12" ht="82.5">
      <c r="A57" s="461">
        <v>45671</v>
      </c>
      <c r="B57" s="478">
        <v>1</v>
      </c>
      <c r="C57" s="472" t="str">
        <f>"EX"&amp;TEXT(tbl_견적[[#This Row],[견적일]],"yymmdd")&amp;"-"&amp;TEXT(tbl_견적[[#This Row],[일렬번호]],"00")</f>
        <v>EX250114-01</v>
      </c>
      <c r="D57" s="462" t="s">
        <v>236</v>
      </c>
      <c r="E57" s="462" t="s">
        <v>8420</v>
      </c>
      <c r="F57" s="462" t="s">
        <v>8415</v>
      </c>
      <c r="G57" s="462" t="s">
        <v>8416</v>
      </c>
      <c r="H57" s="462">
        <v>1</v>
      </c>
      <c r="I57" s="463">
        <v>2101</v>
      </c>
      <c r="J57" s="502">
        <f t="shared" si="4"/>
        <v>2101</v>
      </c>
      <c r="K57" s="465">
        <f>견적!$J57*1.1</f>
        <v>2311.1000000000004</v>
      </c>
      <c r="L57" s="473" t="s">
        <v>8421</v>
      </c>
    </row>
    <row r="58" spans="1:12">
      <c r="A58" s="421">
        <v>45671</v>
      </c>
      <c r="B58" s="150">
        <v>1</v>
      </c>
      <c r="C58" s="151" t="str">
        <f>"EX"&amp;TEXT(tbl_견적[[#This Row],[견적일]],"yymmdd")&amp;"-"&amp;TEXT(tbl_견적[[#This Row],[일렬번호]],"00")</f>
        <v>EX250114-01</v>
      </c>
      <c r="D58" s="138" t="s">
        <v>236</v>
      </c>
      <c r="E58" s="462" t="s">
        <v>8420</v>
      </c>
      <c r="F58" s="138" t="s">
        <v>8415</v>
      </c>
      <c r="G58" s="138" t="s">
        <v>8419</v>
      </c>
      <c r="H58" s="138">
        <v>1</v>
      </c>
      <c r="I58" s="139">
        <v>2163</v>
      </c>
      <c r="J58" s="499">
        <f t="shared" ref="J58:J80" si="5">H58*I58</f>
        <v>2163</v>
      </c>
      <c r="K58" s="208">
        <f>견적!$J58*1.1</f>
        <v>2379.3000000000002</v>
      </c>
      <c r="L58" s="445"/>
    </row>
    <row r="59" spans="1:12">
      <c r="A59" s="421">
        <v>45671</v>
      </c>
      <c r="B59" s="150">
        <v>1</v>
      </c>
      <c r="C59" s="151" t="str">
        <f>"EX"&amp;TEXT(tbl_견적[[#This Row],[견적일]],"yymmdd")&amp;"-"&amp;TEXT(tbl_견적[[#This Row],[일렬번호]],"00")</f>
        <v>EX250114-01</v>
      </c>
      <c r="D59" s="138" t="s">
        <v>236</v>
      </c>
      <c r="E59" s="462" t="s">
        <v>8420</v>
      </c>
      <c r="F59" s="138" t="s">
        <v>8415</v>
      </c>
      <c r="G59" s="138" t="s">
        <v>8417</v>
      </c>
      <c r="H59" s="138">
        <v>1</v>
      </c>
      <c r="I59" s="139">
        <v>2101</v>
      </c>
      <c r="J59" s="499">
        <f t="shared" si="5"/>
        <v>2101</v>
      </c>
      <c r="K59" s="208">
        <f>견적!$J59*1.1</f>
        <v>2311.1000000000004</v>
      </c>
      <c r="L59" s="445"/>
    </row>
    <row r="60" spans="1:12">
      <c r="A60" s="421">
        <v>45671</v>
      </c>
      <c r="B60" s="150">
        <v>1</v>
      </c>
      <c r="C60" s="151" t="str">
        <f>"EX"&amp;TEXT(tbl_견적[[#This Row],[견적일]],"yymmdd")&amp;"-"&amp;TEXT(tbl_견적[[#This Row],[일렬번호]],"00")</f>
        <v>EX250114-01</v>
      </c>
      <c r="D60" s="138" t="s">
        <v>236</v>
      </c>
      <c r="E60" s="462" t="s">
        <v>8420</v>
      </c>
      <c r="F60" s="138" t="s">
        <v>8415</v>
      </c>
      <c r="G60" s="138" t="s">
        <v>8418</v>
      </c>
      <c r="H60" s="138">
        <v>1</v>
      </c>
      <c r="I60" s="139">
        <v>1607</v>
      </c>
      <c r="J60" s="499">
        <f t="shared" si="5"/>
        <v>1607</v>
      </c>
      <c r="K60" s="208">
        <f>견적!$J60*1.1</f>
        <v>1767.7</v>
      </c>
      <c r="L60" s="445"/>
    </row>
    <row r="61" spans="1:12">
      <c r="A61" s="421">
        <v>45671</v>
      </c>
      <c r="B61" s="150">
        <v>1</v>
      </c>
      <c r="C61" s="151" t="str">
        <f>"EX"&amp;TEXT(tbl_견적[[#This Row],[견적일]],"yymmdd")&amp;"-"&amp;TEXT(tbl_견적[[#This Row],[일렬번호]],"00")</f>
        <v>EX250114-01</v>
      </c>
      <c r="D61" s="138" t="s">
        <v>236</v>
      </c>
      <c r="E61" s="462" t="s">
        <v>8420</v>
      </c>
      <c r="F61" s="138" t="s">
        <v>8415</v>
      </c>
      <c r="G61" s="138" t="s">
        <v>8416</v>
      </c>
      <c r="H61" s="138">
        <v>50</v>
      </c>
      <c r="I61" s="139">
        <v>2040</v>
      </c>
      <c r="J61" s="499">
        <f t="shared" si="5"/>
        <v>102000</v>
      </c>
      <c r="K61" s="208">
        <f>견적!$J61*1.1</f>
        <v>112200.00000000001</v>
      </c>
      <c r="L61" s="445"/>
    </row>
    <row r="62" spans="1:12">
      <c r="A62" s="421">
        <v>45671</v>
      </c>
      <c r="B62" s="150">
        <v>1</v>
      </c>
      <c r="C62" s="151" t="str">
        <f>"EX"&amp;TEXT(tbl_견적[[#This Row],[견적일]],"yymmdd")&amp;"-"&amp;TEXT(tbl_견적[[#This Row],[일렬번호]],"00")</f>
        <v>EX250114-01</v>
      </c>
      <c r="D62" s="138" t="s">
        <v>236</v>
      </c>
      <c r="E62" s="462" t="s">
        <v>8420</v>
      </c>
      <c r="F62" s="138" t="s">
        <v>8415</v>
      </c>
      <c r="G62" s="138" t="s">
        <v>8419</v>
      </c>
      <c r="H62" s="138">
        <v>50</v>
      </c>
      <c r="I62" s="139">
        <v>2100</v>
      </c>
      <c r="J62" s="499">
        <f t="shared" si="5"/>
        <v>105000</v>
      </c>
      <c r="K62" s="208">
        <f>견적!$J62*1.1</f>
        <v>115500.00000000001</v>
      </c>
      <c r="L62" s="445"/>
    </row>
    <row r="63" spans="1:12">
      <c r="A63" s="421">
        <v>45671</v>
      </c>
      <c r="B63" s="150">
        <v>1</v>
      </c>
      <c r="C63" s="151" t="str">
        <f>"EX"&amp;TEXT(tbl_견적[[#This Row],[견적일]],"yymmdd")&amp;"-"&amp;TEXT(tbl_견적[[#This Row],[일렬번호]],"00")</f>
        <v>EX250114-01</v>
      </c>
      <c r="D63" s="138" t="s">
        <v>236</v>
      </c>
      <c r="E63" s="462" t="s">
        <v>8420</v>
      </c>
      <c r="F63" s="138" t="s">
        <v>8415</v>
      </c>
      <c r="G63" s="138" t="s">
        <v>8417</v>
      </c>
      <c r="H63" s="138">
        <v>50</v>
      </c>
      <c r="I63" s="139">
        <v>2040</v>
      </c>
      <c r="J63" s="499">
        <f t="shared" si="5"/>
        <v>102000</v>
      </c>
      <c r="K63" s="208">
        <f>견적!$J63*1.1</f>
        <v>112200.00000000001</v>
      </c>
      <c r="L63" s="445"/>
    </row>
    <row r="64" spans="1:12">
      <c r="A64" s="421">
        <v>45671</v>
      </c>
      <c r="B64" s="150">
        <v>1</v>
      </c>
      <c r="C64" s="151" t="str">
        <f>"EX"&amp;TEXT(tbl_견적[[#This Row],[견적일]],"yymmdd")&amp;"-"&amp;TEXT(tbl_견적[[#This Row],[일렬번호]],"00")</f>
        <v>EX250114-01</v>
      </c>
      <c r="D64" s="138" t="s">
        <v>236</v>
      </c>
      <c r="E64" s="462" t="s">
        <v>8420</v>
      </c>
      <c r="F64" s="138" t="s">
        <v>8415</v>
      </c>
      <c r="G64" s="138" t="s">
        <v>8418</v>
      </c>
      <c r="H64" s="138">
        <v>50</v>
      </c>
      <c r="I64" s="139">
        <v>1560</v>
      </c>
      <c r="J64" s="499">
        <f t="shared" si="5"/>
        <v>78000</v>
      </c>
      <c r="K64" s="208">
        <f>견적!$J64*1.1</f>
        <v>85800</v>
      </c>
      <c r="L64" s="445"/>
    </row>
    <row r="65" spans="1:12">
      <c r="A65" s="421">
        <v>45671</v>
      </c>
      <c r="B65" s="150">
        <v>1</v>
      </c>
      <c r="C65" s="151" t="str">
        <f>"EX"&amp;TEXT(tbl_견적[[#This Row],[견적일]],"yymmdd")&amp;"-"&amp;TEXT(tbl_견적[[#This Row],[일렬번호]],"00")</f>
        <v>EX250114-01</v>
      </c>
      <c r="D65" s="138" t="s">
        <v>236</v>
      </c>
      <c r="E65" s="462" t="s">
        <v>8420</v>
      </c>
      <c r="F65" s="138" t="s">
        <v>8415</v>
      </c>
      <c r="G65" s="138" t="s">
        <v>8416</v>
      </c>
      <c r="H65" s="138">
        <v>100</v>
      </c>
      <c r="I65" s="139">
        <v>1979</v>
      </c>
      <c r="J65" s="499">
        <f t="shared" si="5"/>
        <v>197900</v>
      </c>
      <c r="K65" s="208">
        <f>견적!$J65*1.1</f>
        <v>217690.00000000003</v>
      </c>
      <c r="L65" s="445"/>
    </row>
    <row r="66" spans="1:12">
      <c r="A66" s="421">
        <v>45671</v>
      </c>
      <c r="B66" s="150">
        <v>1</v>
      </c>
      <c r="C66" s="151" t="str">
        <f>"EX"&amp;TEXT(tbl_견적[[#This Row],[견적일]],"yymmdd")&amp;"-"&amp;TEXT(tbl_견적[[#This Row],[일렬번호]],"00")</f>
        <v>EX250114-01</v>
      </c>
      <c r="D66" s="138" t="s">
        <v>236</v>
      </c>
      <c r="E66" s="462" t="s">
        <v>8420</v>
      </c>
      <c r="F66" s="138" t="s">
        <v>8415</v>
      </c>
      <c r="G66" s="138" t="s">
        <v>8419</v>
      </c>
      <c r="H66" s="138">
        <v>100</v>
      </c>
      <c r="I66" s="139">
        <v>2037</v>
      </c>
      <c r="J66" s="499">
        <f t="shared" si="5"/>
        <v>203700</v>
      </c>
      <c r="K66" s="208">
        <f>견적!$J66*1.1</f>
        <v>224070.00000000003</v>
      </c>
      <c r="L66" s="445"/>
    </row>
    <row r="67" spans="1:12">
      <c r="A67" s="421">
        <v>45671</v>
      </c>
      <c r="B67" s="150">
        <v>1</v>
      </c>
      <c r="C67" s="151" t="str">
        <f>"EX"&amp;TEXT(tbl_견적[[#This Row],[견적일]],"yymmdd")&amp;"-"&amp;TEXT(tbl_견적[[#This Row],[일렬번호]],"00")</f>
        <v>EX250114-01</v>
      </c>
      <c r="D67" s="138" t="s">
        <v>236</v>
      </c>
      <c r="E67" s="462" t="s">
        <v>8420</v>
      </c>
      <c r="F67" s="138" t="s">
        <v>8415</v>
      </c>
      <c r="G67" s="138" t="s">
        <v>8417</v>
      </c>
      <c r="H67" s="138">
        <v>100</v>
      </c>
      <c r="I67" s="139">
        <v>1979</v>
      </c>
      <c r="J67" s="499">
        <f t="shared" si="5"/>
        <v>197900</v>
      </c>
      <c r="K67" s="208">
        <f>견적!$J67*1.1</f>
        <v>217690.00000000003</v>
      </c>
      <c r="L67" s="445"/>
    </row>
    <row r="68" spans="1:12">
      <c r="A68" s="421">
        <v>45671</v>
      </c>
      <c r="B68" s="150">
        <v>1</v>
      </c>
      <c r="C68" s="151" t="str">
        <f>"EX"&amp;TEXT(tbl_견적[[#This Row],[견적일]],"yymmdd")&amp;"-"&amp;TEXT(tbl_견적[[#This Row],[일렬번호]],"00")</f>
        <v>EX250114-01</v>
      </c>
      <c r="D68" s="138" t="s">
        <v>236</v>
      </c>
      <c r="E68" s="462" t="s">
        <v>8420</v>
      </c>
      <c r="F68" s="138" t="s">
        <v>8415</v>
      </c>
      <c r="G68" s="138" t="s">
        <v>8418</v>
      </c>
      <c r="H68" s="138">
        <v>100</v>
      </c>
      <c r="I68" s="139">
        <v>1513</v>
      </c>
      <c r="J68" s="499">
        <f t="shared" si="5"/>
        <v>151300</v>
      </c>
      <c r="K68" s="208">
        <f>견적!$J68*1.1</f>
        <v>166430</v>
      </c>
      <c r="L68" s="445"/>
    </row>
    <row r="69" spans="1:12" ht="82.5">
      <c r="A69" s="421">
        <v>45671</v>
      </c>
      <c r="B69" s="150">
        <v>2</v>
      </c>
      <c r="C69" s="151" t="str">
        <f>"EX"&amp;TEXT(tbl_견적[[#This Row],[견적일]],"yymmdd")&amp;"-"&amp;TEXT(tbl_견적[[#This Row],[일렬번호]],"00")</f>
        <v>EX250114-02</v>
      </c>
      <c r="D69" s="138" t="s">
        <v>236</v>
      </c>
      <c r="E69" s="138" t="s">
        <v>8420</v>
      </c>
      <c r="F69" s="138" t="s">
        <v>8415</v>
      </c>
      <c r="G69" s="138" t="s">
        <v>8422</v>
      </c>
      <c r="H69" s="138">
        <v>1</v>
      </c>
      <c r="I69" s="139">
        <v>1607</v>
      </c>
      <c r="J69" s="499">
        <f t="shared" si="5"/>
        <v>1607</v>
      </c>
      <c r="K69" s="208">
        <f>견적!$J69*1.1</f>
        <v>1767.7</v>
      </c>
      <c r="L69" s="474" t="s">
        <v>8424</v>
      </c>
    </row>
    <row r="70" spans="1:12">
      <c r="A70" s="421">
        <v>45671</v>
      </c>
      <c r="B70" s="150">
        <v>2</v>
      </c>
      <c r="C70" s="151" t="str">
        <f>"EX"&amp;TEXT(tbl_견적[[#This Row],[견적일]],"yymmdd")&amp;"-"&amp;TEXT(tbl_견적[[#This Row],[일렬번호]],"00")</f>
        <v>EX250114-02</v>
      </c>
      <c r="D70" s="138" t="s">
        <v>236</v>
      </c>
      <c r="E70" s="138" t="s">
        <v>8420</v>
      </c>
      <c r="F70" s="138" t="s">
        <v>8415</v>
      </c>
      <c r="G70" s="138" t="s">
        <v>8423</v>
      </c>
      <c r="H70" s="138">
        <v>1</v>
      </c>
      <c r="I70" s="139">
        <v>1607</v>
      </c>
      <c r="J70" s="499">
        <f t="shared" si="5"/>
        <v>1607</v>
      </c>
      <c r="K70" s="208">
        <f>견적!$J70*1.1</f>
        <v>1767.7</v>
      </c>
      <c r="L70" s="445"/>
    </row>
    <row r="71" spans="1:12">
      <c r="A71" s="421">
        <v>45671</v>
      </c>
      <c r="B71" s="150">
        <v>2</v>
      </c>
      <c r="C71" s="151" t="str">
        <f>"EX"&amp;TEXT(tbl_견적[[#This Row],[견적일]],"yymmdd")&amp;"-"&amp;TEXT(tbl_견적[[#This Row],[일렬번호]],"00")</f>
        <v>EX250114-02</v>
      </c>
      <c r="D71" s="138" t="s">
        <v>236</v>
      </c>
      <c r="E71" s="138" t="s">
        <v>8420</v>
      </c>
      <c r="F71" s="138" t="s">
        <v>8415</v>
      </c>
      <c r="G71" s="138" t="s">
        <v>8040</v>
      </c>
      <c r="H71" s="138">
        <v>1</v>
      </c>
      <c r="I71" s="139">
        <v>1854</v>
      </c>
      <c r="J71" s="499">
        <f t="shared" si="5"/>
        <v>1854</v>
      </c>
      <c r="K71" s="208">
        <f>견적!$J71*1.1</f>
        <v>2039.4</v>
      </c>
      <c r="L71" s="445"/>
    </row>
    <row r="72" spans="1:12">
      <c r="A72" s="461">
        <v>45671</v>
      </c>
      <c r="B72" s="150">
        <v>2</v>
      </c>
      <c r="C72" s="472" t="str">
        <f>"EX"&amp;TEXT(tbl_견적[[#This Row],[견적일]],"yymmdd")&amp;"-"&amp;TEXT(tbl_견적[[#This Row],[일렬번호]],"00")</f>
        <v>EX250114-02</v>
      </c>
      <c r="D72" s="462" t="s">
        <v>236</v>
      </c>
      <c r="E72" s="462" t="s">
        <v>8420</v>
      </c>
      <c r="F72" s="462" t="s">
        <v>8415</v>
      </c>
      <c r="G72" s="462" t="s">
        <v>8418</v>
      </c>
      <c r="H72" s="462">
        <v>1</v>
      </c>
      <c r="I72" s="463">
        <v>1607</v>
      </c>
      <c r="J72" s="502">
        <f t="shared" si="5"/>
        <v>1607</v>
      </c>
      <c r="K72" s="465">
        <f>견적!$J72*1.1</f>
        <v>1767.7</v>
      </c>
      <c r="L72" s="466"/>
    </row>
    <row r="73" spans="1:12">
      <c r="A73" s="421">
        <v>45671</v>
      </c>
      <c r="B73" s="150">
        <v>2</v>
      </c>
      <c r="C73" s="151" t="str">
        <f>"EX"&amp;TEXT(tbl_견적[[#This Row],[견적일]],"yymmdd")&amp;"-"&amp;TEXT(tbl_견적[[#This Row],[일렬번호]],"00")</f>
        <v>EX250114-02</v>
      </c>
      <c r="D73" s="138" t="s">
        <v>236</v>
      </c>
      <c r="E73" s="138" t="s">
        <v>8420</v>
      </c>
      <c r="F73" s="138" t="s">
        <v>8415</v>
      </c>
      <c r="G73" s="138" t="s">
        <v>8422</v>
      </c>
      <c r="H73" s="138">
        <v>50</v>
      </c>
      <c r="I73" s="139">
        <v>1560</v>
      </c>
      <c r="J73" s="499">
        <f t="shared" si="5"/>
        <v>78000</v>
      </c>
      <c r="K73" s="208">
        <f>견적!$J73*1.1</f>
        <v>85800</v>
      </c>
      <c r="L73" s="445"/>
    </row>
    <row r="74" spans="1:12">
      <c r="A74" s="421">
        <v>45671</v>
      </c>
      <c r="B74" s="150">
        <v>2</v>
      </c>
      <c r="C74" s="151" t="str">
        <f>"EX"&amp;TEXT(tbl_견적[[#This Row],[견적일]],"yymmdd")&amp;"-"&amp;TEXT(tbl_견적[[#This Row],[일렬번호]],"00")</f>
        <v>EX250114-02</v>
      </c>
      <c r="D74" s="138" t="s">
        <v>236</v>
      </c>
      <c r="E74" s="138" t="s">
        <v>8420</v>
      </c>
      <c r="F74" s="138" t="s">
        <v>8415</v>
      </c>
      <c r="G74" s="138" t="s">
        <v>8423</v>
      </c>
      <c r="H74" s="138">
        <v>50</v>
      </c>
      <c r="I74" s="139">
        <v>1560</v>
      </c>
      <c r="J74" s="499">
        <f t="shared" si="5"/>
        <v>78000</v>
      </c>
      <c r="K74" s="208">
        <f>견적!$J74*1.1</f>
        <v>85800</v>
      </c>
      <c r="L74" s="445"/>
    </row>
    <row r="75" spans="1:12">
      <c r="A75" s="421">
        <v>45671</v>
      </c>
      <c r="B75" s="150">
        <v>2</v>
      </c>
      <c r="C75" s="151" t="str">
        <f>"EX"&amp;TEXT(tbl_견적[[#This Row],[견적일]],"yymmdd")&amp;"-"&amp;TEXT(tbl_견적[[#This Row],[일렬번호]],"00")</f>
        <v>EX250114-02</v>
      </c>
      <c r="D75" s="138" t="s">
        <v>236</v>
      </c>
      <c r="E75" s="138" t="s">
        <v>8420</v>
      </c>
      <c r="F75" s="138" t="s">
        <v>8415</v>
      </c>
      <c r="G75" s="138" t="s">
        <v>8040</v>
      </c>
      <c r="H75" s="138">
        <v>50</v>
      </c>
      <c r="I75" s="139">
        <v>1800</v>
      </c>
      <c r="J75" s="499">
        <f t="shared" si="5"/>
        <v>90000</v>
      </c>
      <c r="K75" s="208">
        <f>견적!$J75*1.1</f>
        <v>99000.000000000015</v>
      </c>
      <c r="L75" s="445"/>
    </row>
    <row r="76" spans="1:12">
      <c r="A76" s="461">
        <v>45671</v>
      </c>
      <c r="B76" s="478">
        <v>2</v>
      </c>
      <c r="C76" s="472" t="str">
        <f>"EX"&amp;TEXT(tbl_견적[[#This Row],[견적일]],"yymmdd")&amp;"-"&amp;TEXT(tbl_견적[[#This Row],[일렬번호]],"00")</f>
        <v>EX250114-02</v>
      </c>
      <c r="D76" s="462" t="s">
        <v>236</v>
      </c>
      <c r="E76" s="462" t="s">
        <v>8420</v>
      </c>
      <c r="F76" s="462" t="s">
        <v>8415</v>
      </c>
      <c r="G76" s="462" t="s">
        <v>8418</v>
      </c>
      <c r="H76" s="138">
        <v>50</v>
      </c>
      <c r="I76" s="463">
        <v>1560</v>
      </c>
      <c r="J76" s="502">
        <f t="shared" si="5"/>
        <v>78000</v>
      </c>
      <c r="K76" s="465">
        <f>견적!$J76*1.1</f>
        <v>85800</v>
      </c>
      <c r="L76" s="466"/>
    </row>
    <row r="77" spans="1:12">
      <c r="A77" s="421">
        <v>45671</v>
      </c>
      <c r="B77" s="150">
        <v>2</v>
      </c>
      <c r="C77" s="151" t="str">
        <f>"EX"&amp;TEXT(tbl_견적[[#This Row],[견적일]],"yymmdd")&amp;"-"&amp;TEXT(tbl_견적[[#This Row],[일렬번호]],"00")</f>
        <v>EX250114-02</v>
      </c>
      <c r="D77" s="138" t="s">
        <v>236</v>
      </c>
      <c r="E77" s="138" t="s">
        <v>8420</v>
      </c>
      <c r="F77" s="138" t="s">
        <v>8415</v>
      </c>
      <c r="G77" s="138" t="s">
        <v>8422</v>
      </c>
      <c r="H77" s="138">
        <v>100</v>
      </c>
      <c r="I77" s="139">
        <v>1513</v>
      </c>
      <c r="J77" s="499">
        <f t="shared" si="5"/>
        <v>151300</v>
      </c>
      <c r="K77" s="208">
        <f>견적!$J77*1.1</f>
        <v>166430</v>
      </c>
      <c r="L77" s="445"/>
    </row>
    <row r="78" spans="1:12">
      <c r="A78" s="421">
        <v>45671</v>
      </c>
      <c r="B78" s="150">
        <v>2</v>
      </c>
      <c r="C78" s="151" t="str">
        <f>"EX"&amp;TEXT(tbl_견적[[#This Row],[견적일]],"yymmdd")&amp;"-"&amp;TEXT(tbl_견적[[#This Row],[일렬번호]],"00")</f>
        <v>EX250114-02</v>
      </c>
      <c r="D78" s="138" t="s">
        <v>236</v>
      </c>
      <c r="E78" s="138" t="s">
        <v>8420</v>
      </c>
      <c r="F78" s="138" t="s">
        <v>8415</v>
      </c>
      <c r="G78" s="138" t="s">
        <v>8423</v>
      </c>
      <c r="H78" s="138">
        <v>100</v>
      </c>
      <c r="I78" s="139">
        <v>1513</v>
      </c>
      <c r="J78" s="499">
        <f t="shared" si="5"/>
        <v>151300</v>
      </c>
      <c r="K78" s="208">
        <f>견적!$J78*1.1</f>
        <v>166430</v>
      </c>
      <c r="L78" s="445"/>
    </row>
    <row r="79" spans="1:12">
      <c r="A79" s="421">
        <v>45671</v>
      </c>
      <c r="B79" s="150">
        <v>2</v>
      </c>
      <c r="C79" s="151" t="str">
        <f>"EX"&amp;TEXT(tbl_견적[[#This Row],[견적일]],"yymmdd")&amp;"-"&amp;TEXT(tbl_견적[[#This Row],[일렬번호]],"00")</f>
        <v>EX250114-02</v>
      </c>
      <c r="D79" s="138" t="s">
        <v>236</v>
      </c>
      <c r="E79" s="138" t="s">
        <v>8420</v>
      </c>
      <c r="F79" s="138" t="s">
        <v>8415</v>
      </c>
      <c r="G79" s="138" t="s">
        <v>8040</v>
      </c>
      <c r="H79" s="138">
        <v>100</v>
      </c>
      <c r="I79" s="139">
        <v>1746</v>
      </c>
      <c r="J79" s="499">
        <f t="shared" si="5"/>
        <v>174600</v>
      </c>
      <c r="K79" s="208">
        <f>견적!$J79*1.1</f>
        <v>192060.00000000003</v>
      </c>
      <c r="L79" s="445"/>
    </row>
    <row r="80" spans="1:12">
      <c r="A80" s="461">
        <v>45671</v>
      </c>
      <c r="B80" s="478">
        <v>2</v>
      </c>
      <c r="C80" s="472" t="str">
        <f>"EX"&amp;TEXT(tbl_견적[[#This Row],[견적일]],"yymmdd")&amp;"-"&amp;TEXT(tbl_견적[[#This Row],[일렬번호]],"00")</f>
        <v>EX250114-02</v>
      </c>
      <c r="D80" s="462" t="s">
        <v>236</v>
      </c>
      <c r="E80" s="462" t="s">
        <v>8420</v>
      </c>
      <c r="F80" s="462" t="s">
        <v>8415</v>
      </c>
      <c r="G80" s="462" t="s">
        <v>8418</v>
      </c>
      <c r="H80" s="462">
        <v>100</v>
      </c>
      <c r="I80" s="463">
        <v>1513</v>
      </c>
      <c r="J80" s="502">
        <f t="shared" si="5"/>
        <v>151300</v>
      </c>
      <c r="K80" s="465">
        <f>견적!$J80*1.1</f>
        <v>166430</v>
      </c>
      <c r="L80" s="466"/>
    </row>
    <row r="81" spans="1:12">
      <c r="A81" s="461">
        <v>45671</v>
      </c>
      <c r="B81" s="478">
        <v>3</v>
      </c>
      <c r="C81" s="472" t="str">
        <f>"EX"&amp;TEXT(tbl_견적[[#This Row],[견적일]],"yymmdd")&amp;"-"&amp;TEXT(tbl_견적[[#This Row],[일렬번호]],"00")</f>
        <v>EX250114-03</v>
      </c>
      <c r="D81" s="462" t="s">
        <v>142</v>
      </c>
      <c r="E81" s="462" t="s">
        <v>8427</v>
      </c>
      <c r="F81" s="462" t="s">
        <v>8428</v>
      </c>
      <c r="G81" s="462" t="s">
        <v>8280</v>
      </c>
      <c r="H81" s="462">
        <v>1</v>
      </c>
      <c r="I81" s="463">
        <v>400000</v>
      </c>
      <c r="J81" s="502">
        <f t="shared" ref="J81:J88" si="6">H81*I81</f>
        <v>400000</v>
      </c>
      <c r="K81" s="465">
        <f>견적!$J81*1.1</f>
        <v>440000.00000000006</v>
      </c>
      <c r="L81" s="466" t="s">
        <v>8429</v>
      </c>
    </row>
    <row r="82" spans="1:12">
      <c r="A82" s="421">
        <v>45672</v>
      </c>
      <c r="B82" s="150">
        <v>1</v>
      </c>
      <c r="C82" s="151" t="str">
        <f>"EX"&amp;TEXT(tbl_견적[[#This Row],[견적일]],"yymmdd")&amp;"-"&amp;TEXT(tbl_견적[[#This Row],[일렬번호]],"00")</f>
        <v>EX250115-01</v>
      </c>
      <c r="D82" s="138" t="s">
        <v>142</v>
      </c>
      <c r="E82" s="138" t="s">
        <v>8067</v>
      </c>
      <c r="F82" s="138" t="s">
        <v>7464</v>
      </c>
      <c r="G82" s="138" t="s">
        <v>8430</v>
      </c>
      <c r="H82" s="138">
        <v>1</v>
      </c>
      <c r="I82" s="139">
        <v>500000</v>
      </c>
      <c r="J82" s="499">
        <f t="shared" si="6"/>
        <v>500000</v>
      </c>
      <c r="K82" s="208">
        <f>견적!$J82*1.1</f>
        <v>550000</v>
      </c>
      <c r="L82" s="445" t="s">
        <v>8431</v>
      </c>
    </row>
    <row r="83" spans="1:12">
      <c r="A83" s="461">
        <v>45674</v>
      </c>
      <c r="B83" s="150">
        <v>1</v>
      </c>
      <c r="C83" s="472" t="str">
        <f>"EX"&amp;TEXT(tbl_견적[[#This Row],[견적일]],"yymmdd")&amp;"-"&amp;TEXT(tbl_견적[[#This Row],[일렬번호]],"00")</f>
        <v>EX250117-01</v>
      </c>
      <c r="D83" s="462" t="s">
        <v>8432</v>
      </c>
      <c r="E83" s="462" t="s">
        <v>8035</v>
      </c>
      <c r="F83" s="462" t="s">
        <v>8439</v>
      </c>
      <c r="G83" s="462" t="s">
        <v>8442</v>
      </c>
      <c r="H83" s="462">
        <v>4</v>
      </c>
      <c r="I83" s="463">
        <v>4135000</v>
      </c>
      <c r="J83" s="502">
        <f t="shared" si="6"/>
        <v>16540000</v>
      </c>
      <c r="K83" s="465">
        <f>견적!$J83*1.1</f>
        <v>18194000</v>
      </c>
      <c r="L83" s="466" t="s">
        <v>8441</v>
      </c>
    </row>
    <row r="84" spans="1:12">
      <c r="A84" s="421">
        <v>45674</v>
      </c>
      <c r="B84" s="150">
        <v>1</v>
      </c>
      <c r="C84" s="151" t="str">
        <f>"EX"&amp;TEXT(tbl_견적[[#This Row],[견적일]],"yymmdd")&amp;"-"&amp;TEXT(tbl_견적[[#This Row],[일렬번호]],"00")</f>
        <v>EX250117-01</v>
      </c>
      <c r="D84" s="138" t="s">
        <v>8432</v>
      </c>
      <c r="E84" s="138" t="s">
        <v>8035</v>
      </c>
      <c r="F84" s="138" t="s">
        <v>8439</v>
      </c>
      <c r="G84" s="138" t="s">
        <v>8443</v>
      </c>
      <c r="H84" s="138">
        <v>4</v>
      </c>
      <c r="I84" s="139">
        <v>4303000</v>
      </c>
      <c r="J84" s="499">
        <f t="shared" si="6"/>
        <v>17212000</v>
      </c>
      <c r="K84" s="208">
        <f>견적!$J84*1.1</f>
        <v>18933200</v>
      </c>
      <c r="L84" s="466" t="s">
        <v>8440</v>
      </c>
    </row>
    <row r="85" spans="1:12">
      <c r="A85" s="461">
        <v>45677</v>
      </c>
      <c r="B85" s="150">
        <v>1</v>
      </c>
      <c r="C85" s="472" t="str">
        <f>"EX"&amp;TEXT(tbl_견적[[#This Row],[견적일]],"yymmdd")&amp;"-"&amp;TEXT(tbl_견적[[#This Row],[일렬번호]],"00")</f>
        <v>EX250120-01</v>
      </c>
      <c r="D85" s="462" t="s">
        <v>238</v>
      </c>
      <c r="E85" s="462" t="s">
        <v>8035</v>
      </c>
      <c r="F85" s="462" t="s">
        <v>8444</v>
      </c>
      <c r="G85" s="462" t="s">
        <v>8445</v>
      </c>
      <c r="H85" s="462">
        <v>1</v>
      </c>
      <c r="I85" s="463">
        <v>2866000</v>
      </c>
      <c r="J85" s="502">
        <f t="shared" si="6"/>
        <v>2866000</v>
      </c>
      <c r="K85" s="464">
        <f>견적!$J85*1.1</f>
        <v>3152600.0000000005</v>
      </c>
      <c r="L85" s="466" t="s">
        <v>8446</v>
      </c>
    </row>
    <row r="86" spans="1:12">
      <c r="A86" s="461">
        <v>45680</v>
      </c>
      <c r="B86" s="150">
        <v>1</v>
      </c>
      <c r="C86" s="472" t="str">
        <f>"EX"&amp;TEXT(tbl_견적[[#This Row],[견적일]],"yymmdd")&amp;"-"&amp;TEXT(tbl_견적[[#This Row],[일렬번호]],"00")</f>
        <v>EX250123-01</v>
      </c>
      <c r="D86" s="462" t="s">
        <v>8054</v>
      </c>
      <c r="E86" s="462" t="s">
        <v>7531</v>
      </c>
      <c r="F86" s="462" t="s">
        <v>8452</v>
      </c>
      <c r="G86" s="462" t="s">
        <v>8454</v>
      </c>
      <c r="H86" s="462">
        <v>1</v>
      </c>
      <c r="I86" s="477">
        <v>400</v>
      </c>
      <c r="J86" s="502">
        <f t="shared" si="6"/>
        <v>400</v>
      </c>
      <c r="K86" s="471">
        <f>견적!$J86*1.1</f>
        <v>440.00000000000006</v>
      </c>
      <c r="L86" s="466" t="s">
        <v>8453</v>
      </c>
    </row>
    <row r="87" spans="1:12">
      <c r="A87" s="421">
        <v>45680</v>
      </c>
      <c r="B87" s="150">
        <v>2</v>
      </c>
      <c r="C87" s="151" t="str">
        <f>"EX"&amp;TEXT(tbl_견적[[#This Row],[견적일]],"yymmdd")&amp;"-"&amp;TEXT(tbl_견적[[#This Row],[일렬번호]],"00")</f>
        <v>EX250123-02</v>
      </c>
      <c r="D87" s="138" t="s">
        <v>8455</v>
      </c>
      <c r="E87" s="462" t="s">
        <v>7531</v>
      </c>
      <c r="F87" s="462" t="s">
        <v>8452</v>
      </c>
      <c r="G87" s="462" t="s">
        <v>8454</v>
      </c>
      <c r="H87" s="138">
        <v>1</v>
      </c>
      <c r="I87" s="487">
        <v>380</v>
      </c>
      <c r="J87" s="499">
        <f t="shared" si="6"/>
        <v>380</v>
      </c>
      <c r="K87" s="488">
        <f>견적!$J87*1.1</f>
        <v>418.00000000000006</v>
      </c>
      <c r="L87" s="445" t="s">
        <v>8462</v>
      </c>
    </row>
    <row r="88" spans="1:12">
      <c r="A88" s="421">
        <v>45680</v>
      </c>
      <c r="B88" s="150">
        <v>3</v>
      </c>
      <c r="C88" s="151" t="str">
        <f>"EX"&amp;TEXT(tbl_견적[[#This Row],[견적일]],"yymmdd")&amp;"-"&amp;TEXT(tbl_견적[[#This Row],[일렬번호]],"00")</f>
        <v>EX250123-03</v>
      </c>
      <c r="D88" s="138" t="s">
        <v>248</v>
      </c>
      <c r="E88" s="138" t="s">
        <v>8067</v>
      </c>
      <c r="F88" s="138" t="s">
        <v>7464</v>
      </c>
      <c r="G88" s="138" t="s">
        <v>8463</v>
      </c>
      <c r="H88" s="138">
        <v>1</v>
      </c>
      <c r="I88" s="139">
        <v>250000</v>
      </c>
      <c r="J88" s="499">
        <f t="shared" si="6"/>
        <v>250000</v>
      </c>
      <c r="K88" s="208">
        <f>견적!$J88*1.1</f>
        <v>275000</v>
      </c>
      <c r="L88" s="445" t="s">
        <v>8464</v>
      </c>
    </row>
    <row r="89" spans="1:12">
      <c r="A89" s="461">
        <v>45681</v>
      </c>
      <c r="B89" s="150">
        <v>1</v>
      </c>
      <c r="C89" s="472" t="str">
        <f>"EX"&amp;TEXT(tbl_견적[[#This Row],[견적일]],"yymmdd")&amp;"-"&amp;TEXT(tbl_견적[[#This Row],[일렬번호]],"00")</f>
        <v>EX250124-01</v>
      </c>
      <c r="D89" s="462" t="s">
        <v>1029</v>
      </c>
      <c r="E89" s="462" t="s">
        <v>8465</v>
      </c>
      <c r="F89" s="462" t="s">
        <v>8466</v>
      </c>
      <c r="G89" s="462" t="s">
        <v>8467</v>
      </c>
      <c r="H89" s="462">
        <v>1</v>
      </c>
      <c r="I89" s="463">
        <v>5332000</v>
      </c>
      <c r="J89" s="502">
        <f t="shared" ref="J89:J96" si="7">H89*I89</f>
        <v>5332000</v>
      </c>
      <c r="K89" s="465">
        <f>견적!$J89*1.1</f>
        <v>5865200.0000000009</v>
      </c>
      <c r="L89" s="466" t="s">
        <v>8468</v>
      </c>
    </row>
    <row r="90" spans="1:12">
      <c r="A90" s="461">
        <v>45691</v>
      </c>
      <c r="B90" s="150">
        <v>1</v>
      </c>
      <c r="C90" s="472" t="str">
        <f>"EX"&amp;TEXT(tbl_견적[[#This Row],[견적일]],"yymmdd")&amp;"-"&amp;TEXT(tbl_견적[[#This Row],[일렬번호]],"00")</f>
        <v>EX250203-01</v>
      </c>
      <c r="D90" s="462" t="s">
        <v>8471</v>
      </c>
      <c r="E90" s="462" t="s">
        <v>8035</v>
      </c>
      <c r="F90" s="462" t="s">
        <v>8478</v>
      </c>
      <c r="G90" s="462" t="s">
        <v>8479</v>
      </c>
      <c r="H90" s="462">
        <v>4</v>
      </c>
      <c r="I90" s="463">
        <v>5648000</v>
      </c>
      <c r="J90" s="502">
        <f t="shared" si="7"/>
        <v>22592000</v>
      </c>
      <c r="K90" s="465">
        <f>견적!$J90*1.1</f>
        <v>24851200.000000004</v>
      </c>
      <c r="L90" s="466" t="s">
        <v>8481</v>
      </c>
    </row>
    <row r="91" spans="1:12">
      <c r="A91" s="421">
        <v>45691</v>
      </c>
      <c r="B91" s="150">
        <v>1</v>
      </c>
      <c r="C91" s="151" t="str">
        <f>"EX"&amp;TEXT(tbl_견적[[#This Row],[견적일]],"yymmdd")&amp;"-"&amp;TEXT(tbl_견적[[#This Row],[일렬번호]],"00")</f>
        <v>EX250203-01</v>
      </c>
      <c r="D91" s="138" t="s">
        <v>8471</v>
      </c>
      <c r="E91" s="138" t="s">
        <v>8035</v>
      </c>
      <c r="F91" s="138" t="s">
        <v>8478</v>
      </c>
      <c r="G91" s="138" t="s">
        <v>8480</v>
      </c>
      <c r="H91" s="138">
        <v>1</v>
      </c>
      <c r="I91" s="139">
        <v>4448000</v>
      </c>
      <c r="J91" s="499">
        <f t="shared" si="7"/>
        <v>4448000</v>
      </c>
      <c r="K91" s="208">
        <f>견적!$J91*1.1</f>
        <v>4892800</v>
      </c>
      <c r="L91" s="466" t="s">
        <v>8481</v>
      </c>
    </row>
    <row r="92" spans="1:12">
      <c r="A92" s="461">
        <v>45692</v>
      </c>
      <c r="B92" s="150">
        <v>1</v>
      </c>
      <c r="C92" s="472" t="str">
        <f>"EX"&amp;TEXT(tbl_견적[[#This Row],[견적일]],"yymmdd")&amp;"-"&amp;TEXT(tbl_견적[[#This Row],[일렬번호]],"00")</f>
        <v>EX250204-01</v>
      </c>
      <c r="D92" s="462" t="s">
        <v>247</v>
      </c>
      <c r="E92" s="462" t="s">
        <v>8035</v>
      </c>
      <c r="F92" s="462" t="s">
        <v>7706</v>
      </c>
      <c r="G92" s="462" t="s">
        <v>168</v>
      </c>
      <c r="H92" s="462">
        <v>7</v>
      </c>
      <c r="I92" s="463">
        <v>6400000</v>
      </c>
      <c r="J92" s="502">
        <f t="shared" si="7"/>
        <v>44800000</v>
      </c>
      <c r="K92" s="465">
        <f>견적!$J92*1.1</f>
        <v>49280000.000000007</v>
      </c>
      <c r="L92" s="466" t="s">
        <v>8482</v>
      </c>
    </row>
    <row r="93" spans="1:12">
      <c r="A93" s="461">
        <v>45692</v>
      </c>
      <c r="B93" s="150">
        <v>2</v>
      </c>
      <c r="C93" s="472" t="str">
        <f>"EX"&amp;TEXT(tbl_견적[[#This Row],[견적일]],"yymmdd")&amp;"-"&amp;TEXT(tbl_견적[[#This Row],[일렬번호]],"00")</f>
        <v>EX250204-02</v>
      </c>
      <c r="D93" s="462" t="s">
        <v>8487</v>
      </c>
      <c r="E93" s="462" t="s">
        <v>8488</v>
      </c>
      <c r="F93" s="462" t="s">
        <v>8489</v>
      </c>
      <c r="G93" s="462" t="s">
        <v>8490</v>
      </c>
      <c r="H93" s="462">
        <v>10</v>
      </c>
      <c r="I93" s="477">
        <v>3136</v>
      </c>
      <c r="J93" s="502">
        <f t="shared" si="7"/>
        <v>31360</v>
      </c>
      <c r="K93" s="471">
        <f>견적!$J93*1.1</f>
        <v>34496</v>
      </c>
      <c r="L93" s="466" t="s">
        <v>8491</v>
      </c>
    </row>
    <row r="94" spans="1:12">
      <c r="A94" s="461">
        <v>45693</v>
      </c>
      <c r="B94" s="478">
        <v>1</v>
      </c>
      <c r="C94" s="472" t="str">
        <f>"EX"&amp;TEXT(tbl_견적[[#This Row],[견적일]],"yymmdd")&amp;"-"&amp;TEXT(tbl_견적[[#This Row],[일렬번호]],"00")</f>
        <v>EX250205-01</v>
      </c>
      <c r="D94" s="462" t="s">
        <v>198</v>
      </c>
      <c r="E94" s="462" t="s">
        <v>8035</v>
      </c>
      <c r="F94" s="462" t="s">
        <v>8492</v>
      </c>
      <c r="G94" s="462" t="s">
        <v>8493</v>
      </c>
      <c r="H94" s="462">
        <v>1</v>
      </c>
      <c r="I94" s="463">
        <v>6939000</v>
      </c>
      <c r="J94" s="502">
        <f t="shared" si="7"/>
        <v>6939000</v>
      </c>
      <c r="K94" s="465">
        <f>견적!$J94*1.1</f>
        <v>7632900.0000000009</v>
      </c>
      <c r="L94" s="466"/>
    </row>
    <row r="95" spans="1:12">
      <c r="A95" s="421">
        <v>45693</v>
      </c>
      <c r="B95" s="150">
        <v>1</v>
      </c>
      <c r="C95" s="151" t="str">
        <f>"EX"&amp;TEXT(tbl_견적[[#This Row],[견적일]],"yymmdd")&amp;"-"&amp;TEXT(tbl_견적[[#This Row],[일렬번호]],"00")</f>
        <v>EX250205-01</v>
      </c>
      <c r="D95" s="138" t="s">
        <v>198</v>
      </c>
      <c r="E95" s="138" t="s">
        <v>8035</v>
      </c>
      <c r="F95" s="138" t="s">
        <v>8492</v>
      </c>
      <c r="G95" s="138" t="s">
        <v>8493</v>
      </c>
      <c r="H95" s="138">
        <v>10</v>
      </c>
      <c r="I95" s="139">
        <v>6592000</v>
      </c>
      <c r="J95" s="499">
        <f t="shared" si="7"/>
        <v>65920000</v>
      </c>
      <c r="K95" s="208">
        <f>견적!$J95*1.1</f>
        <v>72512000</v>
      </c>
      <c r="L95" s="445"/>
    </row>
    <row r="96" spans="1:12">
      <c r="A96" s="421">
        <v>45694</v>
      </c>
      <c r="B96" s="150">
        <v>1</v>
      </c>
      <c r="C96" s="472" t="str">
        <f>"EX"&amp;TEXT(tbl_견적[[#This Row],[견적일]],"yymmdd")&amp;"-"&amp;TEXT(tbl_견적[[#This Row],[일렬번호]],"00")</f>
        <v>EX250206-01</v>
      </c>
      <c r="D96" s="462" t="s">
        <v>8054</v>
      </c>
      <c r="E96" s="462" t="s">
        <v>7531</v>
      </c>
      <c r="F96" s="462" t="s">
        <v>8452</v>
      </c>
      <c r="G96" s="462" t="s">
        <v>8454</v>
      </c>
      <c r="H96" s="462">
        <v>1</v>
      </c>
      <c r="I96" s="477">
        <v>400</v>
      </c>
      <c r="J96" s="502">
        <f t="shared" si="7"/>
        <v>400</v>
      </c>
      <c r="K96" s="471">
        <f>견적!$J96*1.1</f>
        <v>440.00000000000006</v>
      </c>
      <c r="L96" s="466" t="s">
        <v>8494</v>
      </c>
    </row>
    <row r="97" spans="1:12">
      <c r="A97" s="421">
        <v>45693</v>
      </c>
      <c r="B97" s="150">
        <v>2</v>
      </c>
      <c r="C97" s="151" t="str">
        <f>"EX"&amp;TEXT(tbl_견적[[#This Row],[견적일]],"yymmdd")&amp;"-"&amp;TEXT(tbl_견적[[#This Row],[일렬번호]],"00")</f>
        <v>EX250205-02</v>
      </c>
      <c r="D97" s="138" t="s">
        <v>198</v>
      </c>
      <c r="E97" s="138" t="s">
        <v>8035</v>
      </c>
      <c r="F97" s="138" t="s">
        <v>7709</v>
      </c>
      <c r="G97" s="138" t="s">
        <v>8467</v>
      </c>
      <c r="H97" s="138">
        <v>1</v>
      </c>
      <c r="I97" s="139">
        <v>5706000</v>
      </c>
      <c r="J97" s="499">
        <f t="shared" ref="J97:J105" si="8">H97*I97</f>
        <v>5706000</v>
      </c>
      <c r="K97" s="208">
        <f>견적!$J97*1.1</f>
        <v>6276600.0000000009</v>
      </c>
      <c r="L97" s="445"/>
    </row>
    <row r="98" spans="1:12">
      <c r="A98" s="461">
        <v>45693</v>
      </c>
      <c r="B98" s="150">
        <v>2</v>
      </c>
      <c r="C98" s="472" t="str">
        <f>"EX"&amp;TEXT(tbl_견적[[#This Row],[견적일]],"yymmdd")&amp;"-"&amp;TEXT(tbl_견적[[#This Row],[일렬번호]],"00")</f>
        <v>EX250205-02</v>
      </c>
      <c r="D98" s="462" t="s">
        <v>198</v>
      </c>
      <c r="E98" s="462" t="s">
        <v>8035</v>
      </c>
      <c r="F98" s="138" t="s">
        <v>7709</v>
      </c>
      <c r="G98" s="462" t="s">
        <v>8467</v>
      </c>
      <c r="H98" s="462">
        <v>10</v>
      </c>
      <c r="I98" s="463">
        <v>5421000</v>
      </c>
      <c r="J98" s="502">
        <f t="shared" si="8"/>
        <v>54210000</v>
      </c>
      <c r="K98" s="465">
        <f>견적!$J98*1.1</f>
        <v>59631000.000000007</v>
      </c>
      <c r="L98" s="466"/>
    </row>
    <row r="99" spans="1:12">
      <c r="A99" s="421">
        <v>45693</v>
      </c>
      <c r="B99" s="150">
        <v>2</v>
      </c>
      <c r="C99" s="151" t="str">
        <f>"EX"&amp;TEXT(tbl_견적[[#This Row],[견적일]],"yymmdd")&amp;"-"&amp;TEXT(tbl_견적[[#This Row],[일렬번호]],"00")</f>
        <v>EX250205-02</v>
      </c>
      <c r="D99" s="138" t="s">
        <v>198</v>
      </c>
      <c r="E99" s="138" t="s">
        <v>7197</v>
      </c>
      <c r="F99" s="138" t="s">
        <v>8495</v>
      </c>
      <c r="G99" s="138" t="s">
        <v>8496</v>
      </c>
      <c r="H99" s="138">
        <v>1</v>
      </c>
      <c r="I99" s="139">
        <v>2200000</v>
      </c>
      <c r="J99" s="499">
        <f t="shared" si="8"/>
        <v>2200000</v>
      </c>
      <c r="K99" s="208">
        <f>견적!$J99*1.1</f>
        <v>2420000</v>
      </c>
      <c r="L99" s="445"/>
    </row>
    <row r="100" spans="1:12" ht="66">
      <c r="A100" s="461">
        <v>45694</v>
      </c>
      <c r="B100" s="478">
        <v>3</v>
      </c>
      <c r="C100" s="472" t="str">
        <f>"EX"&amp;TEXT(tbl_견적[[#This Row],[견적일]],"yymmdd")&amp;"-"&amp;TEXT(tbl_견적[[#This Row],[일렬번호]],"00")</f>
        <v>EX250206-03</v>
      </c>
      <c r="D100" s="462" t="s">
        <v>8501</v>
      </c>
      <c r="E100" s="462" t="s">
        <v>8035</v>
      </c>
      <c r="F100" s="462" t="s">
        <v>8503</v>
      </c>
      <c r="G100" s="462" t="s">
        <v>8504</v>
      </c>
      <c r="H100" s="462">
        <v>2</v>
      </c>
      <c r="I100" s="463">
        <v>5777000</v>
      </c>
      <c r="J100" s="502">
        <f t="shared" si="8"/>
        <v>11554000</v>
      </c>
      <c r="K100" s="465">
        <f>견적!$J100*1.1</f>
        <v>12709400.000000002</v>
      </c>
      <c r="L100" s="473" t="s">
        <v>8509</v>
      </c>
    </row>
    <row r="101" spans="1:12">
      <c r="A101" s="421">
        <v>45694</v>
      </c>
      <c r="B101" s="150">
        <v>3</v>
      </c>
      <c r="C101" s="151" t="str">
        <f>"EX"&amp;TEXT(tbl_견적[[#This Row],[견적일]],"yymmdd")&amp;"-"&amp;TEXT(tbl_견적[[#This Row],[일렬번호]],"00")</f>
        <v>EX250206-03</v>
      </c>
      <c r="D101" s="138" t="s">
        <v>8501</v>
      </c>
      <c r="E101" s="138" t="s">
        <v>8035</v>
      </c>
      <c r="F101" s="138" t="s">
        <v>8503</v>
      </c>
      <c r="G101" s="138" t="s">
        <v>8505</v>
      </c>
      <c r="H101" s="138">
        <v>2</v>
      </c>
      <c r="I101" s="139">
        <v>6001000</v>
      </c>
      <c r="J101" s="499">
        <f t="shared" si="8"/>
        <v>12002000</v>
      </c>
      <c r="K101" s="208">
        <f>견적!$J101*1.1</f>
        <v>13202200.000000002</v>
      </c>
      <c r="L101" s="445" t="s">
        <v>8507</v>
      </c>
    </row>
    <row r="102" spans="1:12">
      <c r="A102" s="421">
        <v>45694</v>
      </c>
      <c r="B102" s="150">
        <v>3</v>
      </c>
      <c r="C102" s="151" t="str">
        <f>"EX"&amp;TEXT(tbl_견적[[#This Row],[견적일]],"yymmdd")&amp;"-"&amp;TEXT(tbl_견적[[#This Row],[일렬번호]],"00")</f>
        <v>EX250206-03</v>
      </c>
      <c r="D102" s="138" t="s">
        <v>8501</v>
      </c>
      <c r="E102" s="138" t="s">
        <v>8035</v>
      </c>
      <c r="F102" s="138" t="s">
        <v>8216</v>
      </c>
      <c r="G102" s="138" t="s">
        <v>8506</v>
      </c>
      <c r="H102" s="138">
        <v>2</v>
      </c>
      <c r="I102" s="139">
        <v>500000</v>
      </c>
      <c r="J102" s="499">
        <f t="shared" si="8"/>
        <v>1000000</v>
      </c>
      <c r="K102" s="208">
        <f>견적!$J102*1.1</f>
        <v>1100000</v>
      </c>
      <c r="L102" s="445" t="s">
        <v>8507</v>
      </c>
    </row>
    <row r="103" spans="1:12">
      <c r="A103" s="421">
        <v>45694</v>
      </c>
      <c r="B103" s="150">
        <v>3</v>
      </c>
      <c r="C103" s="151" t="str">
        <f>"EX"&amp;TEXT(tbl_견적[[#This Row],[견적일]],"yymmdd")&amp;"-"&amp;TEXT(tbl_견적[[#This Row],[일렬번호]],"00")</f>
        <v>EX250206-03</v>
      </c>
      <c r="D103" s="138" t="s">
        <v>8501</v>
      </c>
      <c r="E103" s="138" t="s">
        <v>8035</v>
      </c>
      <c r="F103" s="138" t="s">
        <v>8216</v>
      </c>
      <c r="G103" s="138" t="s">
        <v>8508</v>
      </c>
      <c r="H103" s="138">
        <v>2</v>
      </c>
      <c r="I103" s="139">
        <v>600000</v>
      </c>
      <c r="J103" s="499">
        <f t="shared" si="8"/>
        <v>1200000</v>
      </c>
      <c r="K103" s="208">
        <f>견적!$J103*1.1</f>
        <v>1320000</v>
      </c>
      <c r="L103" s="445" t="s">
        <v>8507</v>
      </c>
    </row>
    <row r="104" spans="1:12">
      <c r="A104" s="421">
        <v>45698</v>
      </c>
      <c r="B104" s="150">
        <v>1</v>
      </c>
      <c r="C104" s="151" t="str">
        <f>"EX"&amp;TEXT(tbl_견적[[#This Row],[견적일]],"yymmdd")&amp;"-"&amp;TEXT(tbl_견적[[#This Row],[일렬번호]],"00")</f>
        <v>EX250210-01</v>
      </c>
      <c r="D104" s="138" t="s">
        <v>236</v>
      </c>
      <c r="E104" s="138" t="s">
        <v>7576</v>
      </c>
      <c r="F104" s="138" t="s">
        <v>8512</v>
      </c>
      <c r="G104" s="138" t="s">
        <v>8513</v>
      </c>
      <c r="H104" s="138">
        <v>1</v>
      </c>
      <c r="I104" s="457">
        <v>1200000</v>
      </c>
      <c r="J104" s="499">
        <f t="shared" si="8"/>
        <v>1200000</v>
      </c>
      <c r="K104" s="207">
        <f>견적!$J104*1.1</f>
        <v>1320000</v>
      </c>
      <c r="L104" s="489"/>
    </row>
    <row r="105" spans="1:12">
      <c r="A105" s="461">
        <v>45698</v>
      </c>
      <c r="B105" s="478">
        <v>1</v>
      </c>
      <c r="C105" s="151" t="str">
        <f>"EX"&amp;TEXT(tbl_견적[[#This Row],[견적일]],"yymmdd")&amp;"-"&amp;TEXT(tbl_견적[[#This Row],[일렬번호]],"00")</f>
        <v>EX250210-01</v>
      </c>
      <c r="D105" s="462" t="s">
        <v>236</v>
      </c>
      <c r="E105" s="462" t="s">
        <v>8514</v>
      </c>
      <c r="F105" s="462" t="s">
        <v>8515</v>
      </c>
      <c r="G105" s="462" t="s">
        <v>8516</v>
      </c>
      <c r="H105" s="462">
        <v>1</v>
      </c>
      <c r="I105" s="484">
        <v>318300</v>
      </c>
      <c r="J105" s="499">
        <f t="shared" si="8"/>
        <v>318300</v>
      </c>
      <c r="K105" s="207">
        <f>견적!$J105*1.1</f>
        <v>350130</v>
      </c>
      <c r="L105" s="490"/>
    </row>
    <row r="106" spans="1:12">
      <c r="A106" s="461">
        <v>45700</v>
      </c>
      <c r="B106" s="478">
        <v>1</v>
      </c>
      <c r="C106" s="472" t="str">
        <f>"EX"&amp;TEXT(tbl_견적[[#This Row],[견적일]],"yymmdd")&amp;"-"&amp;TEXT(tbl_견적[[#This Row],[일렬번호]],"00")</f>
        <v>EX250212-01</v>
      </c>
      <c r="D106" s="462" t="s">
        <v>8519</v>
      </c>
      <c r="E106" s="462" t="s">
        <v>8035</v>
      </c>
      <c r="F106" s="462" t="s">
        <v>8526</v>
      </c>
      <c r="G106" s="462" t="s">
        <v>8156</v>
      </c>
      <c r="H106" s="462">
        <v>4</v>
      </c>
      <c r="I106" s="463">
        <v>6494000</v>
      </c>
      <c r="J106" s="502">
        <f t="shared" ref="J106:J111" si="9">H106*I106</f>
        <v>25976000</v>
      </c>
      <c r="K106" s="465">
        <f>견적!$J106*1.1</f>
        <v>28573600.000000004</v>
      </c>
      <c r="L106" s="466" t="s">
        <v>8527</v>
      </c>
    </row>
    <row r="107" spans="1:12">
      <c r="A107" s="461">
        <v>45713</v>
      </c>
      <c r="B107" s="478">
        <v>1</v>
      </c>
      <c r="C107" s="472" t="str">
        <f>"EX"&amp;TEXT(tbl_견적[[#This Row],[견적일]],"yymmdd")&amp;"-"&amp;TEXT(tbl_견적[[#This Row],[일렬번호]],"00")</f>
        <v>EX250225-01</v>
      </c>
      <c r="D107" s="462" t="s">
        <v>247</v>
      </c>
      <c r="E107" s="462" t="s">
        <v>8067</v>
      </c>
      <c r="F107" s="462" t="s">
        <v>8543</v>
      </c>
      <c r="G107" s="462" t="s">
        <v>8280</v>
      </c>
      <c r="H107" s="462">
        <v>1</v>
      </c>
      <c r="I107" s="463">
        <v>250000</v>
      </c>
      <c r="J107" s="502">
        <f t="shared" si="9"/>
        <v>250000</v>
      </c>
      <c r="K107" s="465">
        <f>견적!$J107*1.1</f>
        <v>275000</v>
      </c>
      <c r="L107" s="466" t="s">
        <v>8544</v>
      </c>
    </row>
    <row r="108" spans="1:12">
      <c r="A108" s="461">
        <v>45713</v>
      </c>
      <c r="B108" s="478">
        <v>1</v>
      </c>
      <c r="C108" s="472" t="str">
        <f>"EX"&amp;TEXT(tbl_견적[[#This Row],[견적일]],"yymmdd")&amp;"-"&amp;TEXT(tbl_견적[[#This Row],[일렬번호]],"00")</f>
        <v>EX250225-01</v>
      </c>
      <c r="D108" s="462" t="s">
        <v>1800</v>
      </c>
      <c r="E108" s="462" t="s">
        <v>8035</v>
      </c>
      <c r="F108" s="462" t="s">
        <v>8545</v>
      </c>
      <c r="G108" s="462" t="s">
        <v>8546</v>
      </c>
      <c r="H108" s="462">
        <v>3</v>
      </c>
      <c r="I108" s="463">
        <v>2500000</v>
      </c>
      <c r="J108" s="502">
        <f t="shared" si="9"/>
        <v>7500000</v>
      </c>
      <c r="K108" s="465">
        <f>견적!$J108*1.1</f>
        <v>8250000.0000000009</v>
      </c>
      <c r="L108" s="466" t="s">
        <v>8547</v>
      </c>
    </row>
    <row r="109" spans="1:12">
      <c r="A109" s="461">
        <v>45714</v>
      </c>
      <c r="B109" s="478">
        <v>1</v>
      </c>
      <c r="C109" s="472" t="str">
        <f>"EX"&amp;TEXT(tbl_견적[[#This Row],[견적일]],"yymmdd")&amp;"-"&amp;TEXT(tbl_견적[[#This Row],[일렬번호]],"00")</f>
        <v>EX250226-01</v>
      </c>
      <c r="D109" s="462" t="s">
        <v>235</v>
      </c>
      <c r="E109" s="462" t="s">
        <v>8035</v>
      </c>
      <c r="F109" s="462" t="s">
        <v>8549</v>
      </c>
      <c r="G109" s="462" t="s">
        <v>8546</v>
      </c>
      <c r="H109" s="462">
        <v>3</v>
      </c>
      <c r="I109" s="463">
        <v>4300000</v>
      </c>
      <c r="J109" s="502">
        <f t="shared" si="9"/>
        <v>12900000</v>
      </c>
      <c r="K109" s="465">
        <f>견적!$J109*1.1</f>
        <v>14190000.000000002</v>
      </c>
      <c r="L109" s="466" t="s">
        <v>8552</v>
      </c>
    </row>
    <row r="110" spans="1:12">
      <c r="A110" s="421">
        <v>45714</v>
      </c>
      <c r="B110" s="150">
        <v>1</v>
      </c>
      <c r="C110" s="151" t="str">
        <f>"EX"&amp;TEXT(tbl_견적[[#This Row],[견적일]],"yymmdd")&amp;"-"&amp;TEXT(tbl_견적[[#This Row],[일렬번호]],"00")</f>
        <v>EX250226-01</v>
      </c>
      <c r="D110" s="138" t="s">
        <v>235</v>
      </c>
      <c r="E110" s="138" t="s">
        <v>8216</v>
      </c>
      <c r="F110" s="138" t="s">
        <v>8550</v>
      </c>
      <c r="G110" s="138" t="s">
        <v>8551</v>
      </c>
      <c r="H110" s="138">
        <v>3</v>
      </c>
      <c r="I110" s="139">
        <v>500000</v>
      </c>
      <c r="J110" s="499">
        <f t="shared" si="9"/>
        <v>1500000</v>
      </c>
      <c r="K110" s="208">
        <f>견적!$J110*1.1</f>
        <v>1650000.0000000002</v>
      </c>
      <c r="L110" s="445" t="s">
        <v>8552</v>
      </c>
    </row>
    <row r="111" spans="1:12">
      <c r="A111" s="461">
        <v>45714</v>
      </c>
      <c r="B111" s="478">
        <v>2</v>
      </c>
      <c r="C111" s="472" t="str">
        <f>"EX"&amp;TEXT(tbl_견적[[#This Row],[견적일]],"yymmdd")&amp;"-"&amp;TEXT(tbl_견적[[#This Row],[일렬번호]],"00")</f>
        <v>EX250226-02</v>
      </c>
      <c r="D111" s="462" t="s">
        <v>128</v>
      </c>
      <c r="E111" s="462" t="s">
        <v>8035</v>
      </c>
      <c r="F111" s="462" t="s">
        <v>8553</v>
      </c>
      <c r="G111" s="462" t="s">
        <v>8554</v>
      </c>
      <c r="H111" s="462">
        <v>2</v>
      </c>
      <c r="I111" s="463">
        <v>5628000</v>
      </c>
      <c r="J111" s="502">
        <f t="shared" si="9"/>
        <v>11256000</v>
      </c>
      <c r="K111" s="465">
        <f>견적!$J111*1.1</f>
        <v>12381600.000000002</v>
      </c>
      <c r="L111" s="466" t="s">
        <v>8552</v>
      </c>
    </row>
    <row r="112" spans="1:12">
      <c r="A112" s="461">
        <v>45680</v>
      </c>
      <c r="B112" s="478">
        <v>4</v>
      </c>
      <c r="C112" s="472" t="str">
        <f>"EX"&amp;TEXT(tbl_견적[[#This Row],[견적일]],"yymmdd")&amp;"-"&amp;TEXT(tbl_견적[[#This Row],[일렬번호]],"00")</f>
        <v>EX250123-04</v>
      </c>
      <c r="D112" s="462" t="s">
        <v>246</v>
      </c>
      <c r="E112" s="462" t="s">
        <v>8556</v>
      </c>
      <c r="F112" s="462" t="s">
        <v>8557</v>
      </c>
      <c r="G112" s="462" t="s">
        <v>8558</v>
      </c>
      <c r="H112" s="462">
        <v>6</v>
      </c>
      <c r="I112" s="463">
        <v>270000</v>
      </c>
      <c r="J112" s="502">
        <f t="shared" ref="J112:J119" si="10">H112*I112</f>
        <v>1620000</v>
      </c>
      <c r="K112" s="465">
        <f>견적!$J112*1.1</f>
        <v>1782000.0000000002</v>
      </c>
      <c r="L112" s="466" t="s">
        <v>8558</v>
      </c>
    </row>
    <row r="113" spans="1:12">
      <c r="A113" s="461">
        <v>45714</v>
      </c>
      <c r="B113" s="478">
        <v>3</v>
      </c>
      <c r="C113" s="472" t="str">
        <f>"EX"&amp;TEXT(tbl_견적[[#This Row],[견적일]],"yymmdd")&amp;"-"&amp;TEXT(tbl_견적[[#This Row],[일렬번호]],"00")</f>
        <v>EX250226-03</v>
      </c>
      <c r="D113" s="462" t="s">
        <v>5600</v>
      </c>
      <c r="E113" s="462" t="s">
        <v>8035</v>
      </c>
      <c r="F113" s="462" t="s">
        <v>8204</v>
      </c>
      <c r="G113" s="462" t="s">
        <v>8423</v>
      </c>
      <c r="H113" s="462">
        <v>2</v>
      </c>
      <c r="I113" s="477">
        <v>2180</v>
      </c>
      <c r="J113" s="502">
        <f t="shared" si="10"/>
        <v>4360</v>
      </c>
      <c r="K113" s="471">
        <f>견적!$J113*1.1</f>
        <v>4796</v>
      </c>
      <c r="L113" s="466" t="s">
        <v>8564</v>
      </c>
    </row>
    <row r="114" spans="1:12">
      <c r="A114" s="421">
        <v>45714</v>
      </c>
      <c r="B114" s="150">
        <f>IF(MONTH(A113)=MONTH(견적!$A114),IF(AND(A113=견적!$A114,D113=tbl_견적[[#This Row],[발주처]]),B113,B113+1),1)</f>
        <v>3</v>
      </c>
      <c r="C114" s="151" t="str">
        <f>"EX"&amp;TEXT(tbl_견적[[#This Row],[견적일]],"yymmdd")&amp;"-"&amp;TEXT(tbl_견적[[#This Row],[일렬번호]],"00")</f>
        <v>EX250226-03</v>
      </c>
      <c r="D114" s="138" t="s">
        <v>5600</v>
      </c>
      <c r="E114" s="138" t="s">
        <v>8035</v>
      </c>
      <c r="F114" s="138" t="s">
        <v>8204</v>
      </c>
      <c r="G114" s="138" t="s">
        <v>8200</v>
      </c>
      <c r="H114" s="138">
        <v>4</v>
      </c>
      <c r="I114" s="439">
        <v>2240</v>
      </c>
      <c r="J114" s="499">
        <f t="shared" si="10"/>
        <v>8960</v>
      </c>
      <c r="K114" s="440">
        <f>견적!$J114*1.1</f>
        <v>9856</v>
      </c>
      <c r="L114" s="445"/>
    </row>
    <row r="115" spans="1:12">
      <c r="A115" s="421">
        <v>45714</v>
      </c>
      <c r="B115" s="150">
        <f>IF(MONTH(A114)=MONTH(견적!$A115),IF(AND(A114=견적!$A115,D114=tbl_견적[[#This Row],[발주처]]),B114,B114+1),1)</f>
        <v>3</v>
      </c>
      <c r="C115" s="151" t="str">
        <f>"EX"&amp;TEXT(tbl_견적[[#This Row],[견적일]],"yymmdd")&amp;"-"&amp;TEXT(tbl_견적[[#This Row],[일렬번호]],"00")</f>
        <v>EX250226-03</v>
      </c>
      <c r="D115" s="138" t="s">
        <v>5600</v>
      </c>
      <c r="E115" s="138" t="s">
        <v>8035</v>
      </c>
      <c r="F115" s="138" t="s">
        <v>8204</v>
      </c>
      <c r="G115" s="138" t="s">
        <v>8563</v>
      </c>
      <c r="H115" s="138">
        <v>1</v>
      </c>
      <c r="I115" s="439">
        <v>2300</v>
      </c>
      <c r="J115" s="499">
        <f t="shared" si="10"/>
        <v>2300</v>
      </c>
      <c r="K115" s="440">
        <f>견적!$J115*1.1</f>
        <v>2530</v>
      </c>
      <c r="L115" s="445"/>
    </row>
    <row r="116" spans="1:12">
      <c r="A116" s="421">
        <v>45715</v>
      </c>
      <c r="B116" s="150">
        <v>1</v>
      </c>
      <c r="C116" s="151" t="str">
        <f>"EX"&amp;TEXT(tbl_견적[[#This Row],[견적일]],"yymmdd")&amp;"-"&amp;TEXT(tbl_견적[[#This Row],[일렬번호]],"00")</f>
        <v>EX250227-01</v>
      </c>
      <c r="D116" s="138" t="s">
        <v>8501</v>
      </c>
      <c r="E116" s="138" t="s">
        <v>8035</v>
      </c>
      <c r="F116" s="138" t="s">
        <v>7695</v>
      </c>
      <c r="G116" s="138" t="s">
        <v>8505</v>
      </c>
      <c r="H116" s="138">
        <v>2</v>
      </c>
      <c r="I116" s="139">
        <v>6000000</v>
      </c>
      <c r="J116" s="499">
        <f t="shared" si="10"/>
        <v>12000000</v>
      </c>
      <c r="K116" s="208">
        <f>견적!$J116*1.1</f>
        <v>13200000.000000002</v>
      </c>
      <c r="L116" s="445" t="s">
        <v>383</v>
      </c>
    </row>
    <row r="117" spans="1:12">
      <c r="A117" s="421">
        <v>45715</v>
      </c>
      <c r="B117" s="150">
        <v>1</v>
      </c>
      <c r="C117" s="472" t="str">
        <f>"EX"&amp;TEXT(tbl_견적[[#This Row],[견적일]],"yymmdd")&amp;"-"&amp;TEXT(tbl_견적[[#This Row],[일렬번호]],"00")</f>
        <v>EX250227-01</v>
      </c>
      <c r="D117" s="462" t="s">
        <v>8501</v>
      </c>
      <c r="E117" s="462" t="s">
        <v>8035</v>
      </c>
      <c r="F117" s="462" t="s">
        <v>8216</v>
      </c>
      <c r="G117" s="462" t="s">
        <v>8508</v>
      </c>
      <c r="H117" s="462">
        <v>2</v>
      </c>
      <c r="I117" s="463">
        <v>600000</v>
      </c>
      <c r="J117" s="502">
        <f t="shared" si="10"/>
        <v>1200000</v>
      </c>
      <c r="K117" s="465">
        <f>견적!$J117*1.1</f>
        <v>1320000</v>
      </c>
      <c r="L117" s="466" t="s">
        <v>383</v>
      </c>
    </row>
    <row r="118" spans="1:12">
      <c r="A118" s="461">
        <v>45723</v>
      </c>
      <c r="B118" s="150">
        <v>1</v>
      </c>
      <c r="C118" s="472" t="str">
        <f>"EX"&amp;TEXT(tbl_견적[[#This Row],[견적일]],"yymmdd")&amp;"-"&amp;TEXT(tbl_견적[[#This Row],[일렬번호]],"00")</f>
        <v>EX250307-01</v>
      </c>
      <c r="D118" s="462" t="s">
        <v>8578</v>
      </c>
      <c r="E118" s="462" t="s">
        <v>8035</v>
      </c>
      <c r="F118" s="138" t="s">
        <v>252</v>
      </c>
      <c r="G118" s="138" t="s">
        <v>8225</v>
      </c>
      <c r="H118" s="138">
        <v>3</v>
      </c>
      <c r="I118" s="139">
        <v>2866000</v>
      </c>
      <c r="J118" s="502">
        <f t="shared" si="10"/>
        <v>8598000</v>
      </c>
      <c r="K118" s="465">
        <f>견적!$J118*1.1</f>
        <v>9457800</v>
      </c>
      <c r="L118" s="466" t="s">
        <v>8585</v>
      </c>
    </row>
    <row r="119" spans="1:12">
      <c r="A119" s="461">
        <v>45726</v>
      </c>
      <c r="B119" s="150">
        <v>1</v>
      </c>
      <c r="C119" s="472" t="str">
        <f>"EX"&amp;TEXT(tbl_견적[[#This Row],[견적일]],"yymmdd")&amp;"-"&amp;TEXT(tbl_견적[[#This Row],[일렬번호]],"00")</f>
        <v>EX250310-01</v>
      </c>
      <c r="D119" s="462" t="s">
        <v>253</v>
      </c>
      <c r="E119" s="462" t="s">
        <v>7572</v>
      </c>
      <c r="F119" s="462" t="s">
        <v>8592</v>
      </c>
      <c r="G119" s="462" t="s">
        <v>8287</v>
      </c>
      <c r="H119" s="462">
        <v>50</v>
      </c>
      <c r="I119" s="463">
        <v>2000000</v>
      </c>
      <c r="J119" s="502">
        <f t="shared" si="10"/>
        <v>100000000</v>
      </c>
      <c r="K119" s="465">
        <f>견적!$J119*1.1</f>
        <v>110000000.00000001</v>
      </c>
      <c r="L119" s="466" t="s">
        <v>8593</v>
      </c>
    </row>
    <row r="120" spans="1:12">
      <c r="A120" s="461">
        <v>45730</v>
      </c>
      <c r="B120" s="150">
        <v>1</v>
      </c>
      <c r="C120" s="472" t="str">
        <f>"EX"&amp;TEXT(tbl_견적[[#This Row],[견적일]],"yymmdd")&amp;"-"&amp;TEXT(tbl_견적[[#This Row],[일렬번호]],"00")</f>
        <v>EX250314-01</v>
      </c>
      <c r="D120" s="462" t="s">
        <v>8600</v>
      </c>
      <c r="E120" s="462" t="s">
        <v>8067</v>
      </c>
      <c r="F120" s="462" t="s">
        <v>7464</v>
      </c>
      <c r="G120" s="462" t="s">
        <v>8280</v>
      </c>
      <c r="H120" s="462">
        <v>1</v>
      </c>
      <c r="I120" s="463">
        <v>250000</v>
      </c>
      <c r="J120" s="502">
        <f>H120*I120</f>
        <v>250000</v>
      </c>
      <c r="K120" s="465">
        <f>견적!$J120*1.1</f>
        <v>275000</v>
      </c>
      <c r="L120" s="466" t="s">
        <v>8606</v>
      </c>
    </row>
    <row r="121" spans="1:12">
      <c r="A121" s="461">
        <v>45636</v>
      </c>
      <c r="B121" s="150">
        <v>1</v>
      </c>
      <c r="C121" s="472" t="str">
        <f>"EX"&amp;TEXT(tbl_견적[[#This Row],[견적일]],"yymmdd")&amp;"-"&amp;TEXT(tbl_견적[[#This Row],[일렬번호]],"00")</f>
        <v>EX241210-01</v>
      </c>
      <c r="D121" s="462" t="s">
        <v>247</v>
      </c>
      <c r="E121" s="462" t="s">
        <v>8119</v>
      </c>
      <c r="F121" s="462" t="s">
        <v>148</v>
      </c>
      <c r="G121" s="462" t="s">
        <v>114</v>
      </c>
      <c r="H121" s="462">
        <v>1</v>
      </c>
      <c r="I121" s="463">
        <v>4233150</v>
      </c>
      <c r="J121" s="502">
        <f>H121*I121</f>
        <v>4233150</v>
      </c>
      <c r="K121" s="465">
        <f>견적!$J121*1.1</f>
        <v>4656465</v>
      </c>
      <c r="L121" s="466" t="s">
        <v>8608</v>
      </c>
    </row>
    <row r="122" spans="1:12">
      <c r="A122" s="461">
        <v>45736</v>
      </c>
      <c r="B122" s="150">
        <v>1</v>
      </c>
      <c r="C122" s="472" t="str">
        <f>"EX"&amp;TEXT(tbl_견적[[#This Row],[견적일]],"yymmdd")&amp;"-"&amp;TEXT(tbl_견적[[#This Row],[일렬번호]],"00")</f>
        <v>EX250320-01</v>
      </c>
      <c r="D122" s="462" t="s">
        <v>8528</v>
      </c>
      <c r="E122" s="462" t="s">
        <v>8420</v>
      </c>
      <c r="F122" s="462" t="s">
        <v>8614</v>
      </c>
      <c r="G122" s="462" t="s">
        <v>8615</v>
      </c>
      <c r="H122" s="462">
        <v>12</v>
      </c>
      <c r="I122" s="477">
        <v>3136</v>
      </c>
      <c r="J122" s="502">
        <f>H122*I122</f>
        <v>37632</v>
      </c>
      <c r="K122" s="471">
        <f>tbl_견적[[#This Row],[금액]]</f>
        <v>37632</v>
      </c>
      <c r="L122" s="466" t="s">
        <v>383</v>
      </c>
    </row>
    <row r="123" spans="1:12">
      <c r="A123" s="421">
        <v>45736</v>
      </c>
      <c r="B123" s="150">
        <v>1</v>
      </c>
      <c r="C123" s="151" t="str">
        <f>"EX"&amp;TEXT(tbl_견적[[#This Row],[견적일]],"yymmdd")&amp;"-"&amp;TEXT(tbl_견적[[#This Row],[일렬번호]],"00")</f>
        <v>EX250320-01</v>
      </c>
      <c r="D123" s="462" t="s">
        <v>8528</v>
      </c>
      <c r="E123" s="462" t="s">
        <v>8420</v>
      </c>
      <c r="F123" s="138" t="s">
        <v>8614</v>
      </c>
      <c r="G123" s="138" t="s">
        <v>8616</v>
      </c>
      <c r="H123" s="138">
        <v>1</v>
      </c>
      <c r="I123" s="439">
        <v>3700</v>
      </c>
      <c r="J123" s="499">
        <f t="shared" ref="J123:J124" si="11">H123*I123</f>
        <v>3700</v>
      </c>
      <c r="K123" s="471">
        <f>tbl_견적[[#This Row],[금액]]</f>
        <v>3700</v>
      </c>
      <c r="L123" s="466" t="s">
        <v>383</v>
      </c>
    </row>
    <row r="124" spans="1:12">
      <c r="A124" s="421">
        <v>45736</v>
      </c>
      <c r="B124" s="150">
        <v>1</v>
      </c>
      <c r="C124" s="151" t="str">
        <f>"EX"&amp;TEXT(tbl_견적[[#This Row],[견적일]],"yymmdd")&amp;"-"&amp;TEXT(tbl_견적[[#This Row],[일렬번호]],"00")</f>
        <v>EX250320-01</v>
      </c>
      <c r="D124" s="462" t="s">
        <v>8528</v>
      </c>
      <c r="E124" s="462" t="s">
        <v>8420</v>
      </c>
      <c r="F124" s="138" t="s">
        <v>8614</v>
      </c>
      <c r="G124" s="138" t="s">
        <v>8617</v>
      </c>
      <c r="H124" s="138">
        <v>1</v>
      </c>
      <c r="I124" s="439">
        <v>3950</v>
      </c>
      <c r="J124" s="499">
        <f t="shared" si="11"/>
        <v>3950</v>
      </c>
      <c r="K124" s="471">
        <f>tbl_견적[[#This Row],[금액]]</f>
        <v>3950</v>
      </c>
      <c r="L124" s="466" t="s">
        <v>383</v>
      </c>
    </row>
    <row r="125" spans="1:12">
      <c r="A125" s="421">
        <v>45758</v>
      </c>
      <c r="B125" s="150">
        <v>1</v>
      </c>
      <c r="C125" s="151" t="str">
        <f>"EX"&amp;TEXT(tbl_견적[[#This Row],[견적일]],"yymmdd")&amp;"-"&amp;TEXT(tbl_견적[[#This Row],[일렬번호]],"00")</f>
        <v>EX250411-01</v>
      </c>
      <c r="D125" s="138" t="s">
        <v>130</v>
      </c>
      <c r="E125" s="138" t="s">
        <v>8420</v>
      </c>
      <c r="F125" s="138" t="s">
        <v>8634</v>
      </c>
      <c r="G125" s="138" t="s">
        <v>8635</v>
      </c>
      <c r="H125" s="138">
        <v>6</v>
      </c>
      <c r="I125" s="439">
        <v>2763</v>
      </c>
      <c r="J125" s="499">
        <f t="shared" ref="J125:J130" si="12">H125*I125</f>
        <v>16578</v>
      </c>
      <c r="K125" s="208">
        <f>견적!$J125*1.1</f>
        <v>18235.800000000003</v>
      </c>
      <c r="L125" s="445" t="s">
        <v>8636</v>
      </c>
    </row>
    <row r="126" spans="1:12">
      <c r="A126" s="461">
        <v>45762</v>
      </c>
      <c r="B126" s="150">
        <v>1</v>
      </c>
      <c r="C126" s="472" t="str">
        <f>"EX"&amp;TEXT(tbl_견적[[#This Row],[견적일]],"yymmdd")&amp;"-"&amp;TEXT(tbl_견적[[#This Row],[일렬번호]],"00")</f>
        <v>EX250415-01</v>
      </c>
      <c r="D126" s="462" t="s">
        <v>8638</v>
      </c>
      <c r="E126" s="462" t="s">
        <v>8420</v>
      </c>
      <c r="F126" s="462" t="s">
        <v>8645</v>
      </c>
      <c r="G126" s="462" t="s">
        <v>8657</v>
      </c>
      <c r="H126" s="462">
        <v>1</v>
      </c>
      <c r="I126" s="477">
        <f>4078-200</f>
        <v>3878</v>
      </c>
      <c r="J126" s="502">
        <f t="shared" si="12"/>
        <v>3878</v>
      </c>
      <c r="K126" s="471">
        <f>tbl_견적[[#This Row],[금액]]</f>
        <v>3878</v>
      </c>
      <c r="L126" s="466" t="s">
        <v>8647</v>
      </c>
    </row>
    <row r="127" spans="1:12">
      <c r="A127" s="421">
        <v>45762</v>
      </c>
      <c r="B127" s="150">
        <v>1</v>
      </c>
      <c r="C127" s="151" t="str">
        <f>"EX"&amp;TEXT(tbl_견적[[#This Row],[견적일]],"yymmdd")&amp;"-"&amp;TEXT(tbl_견적[[#This Row],[일렬번호]],"00")</f>
        <v>EX250415-01</v>
      </c>
      <c r="D127" s="138" t="s">
        <v>8638</v>
      </c>
      <c r="E127" s="138" t="s">
        <v>7068</v>
      </c>
      <c r="F127" s="138" t="s">
        <v>8646</v>
      </c>
      <c r="G127" s="138" t="s">
        <v>8496</v>
      </c>
      <c r="H127" s="138">
        <v>1</v>
      </c>
      <c r="I127" s="439">
        <v>590</v>
      </c>
      <c r="J127" s="499">
        <f t="shared" si="12"/>
        <v>590</v>
      </c>
      <c r="K127" s="471">
        <f>tbl_견적[[#This Row],[금액]]</f>
        <v>590</v>
      </c>
      <c r="L127" s="445" t="s">
        <v>8642</v>
      </c>
    </row>
    <row r="128" spans="1:12">
      <c r="A128" s="421">
        <v>45762</v>
      </c>
      <c r="B128" s="150">
        <v>2</v>
      </c>
      <c r="C128" s="151" t="str">
        <f>"EX"&amp;TEXT(tbl_견적[[#This Row],[견적일]],"yymmdd")&amp;"-"&amp;TEXT(tbl_견적[[#This Row],[일렬번호]],"00")</f>
        <v>EX250415-02</v>
      </c>
      <c r="D128" s="138" t="s">
        <v>8648</v>
      </c>
      <c r="E128" s="138" t="s">
        <v>8067</v>
      </c>
      <c r="F128" s="138" t="s">
        <v>7464</v>
      </c>
      <c r="G128" s="138" t="s">
        <v>8655</v>
      </c>
      <c r="H128" s="138">
        <v>1</v>
      </c>
      <c r="I128" s="139">
        <v>200000</v>
      </c>
      <c r="J128" s="499">
        <f t="shared" si="12"/>
        <v>200000</v>
      </c>
      <c r="K128" s="208">
        <f>견적!$J128*1.1</f>
        <v>220000.00000000003</v>
      </c>
      <c r="L128" s="445" t="s">
        <v>8656</v>
      </c>
    </row>
    <row r="129" spans="1:12">
      <c r="A129" s="461">
        <v>45770</v>
      </c>
      <c r="B129" s="150">
        <v>3</v>
      </c>
      <c r="C129" s="472" t="str">
        <f>"EX"&amp;TEXT(tbl_견적[[#This Row],[견적일]],"yymmdd")&amp;"-"&amp;TEXT(tbl_견적[[#This Row],[일렬번호]],"00")</f>
        <v>EX250423-03</v>
      </c>
      <c r="D129" s="462" t="s">
        <v>248</v>
      </c>
      <c r="E129" s="462" t="s">
        <v>8035</v>
      </c>
      <c r="F129" s="462" t="s">
        <v>8659</v>
      </c>
      <c r="G129" s="462" t="s">
        <v>8280</v>
      </c>
      <c r="H129" s="462">
        <v>4</v>
      </c>
      <c r="I129" s="463">
        <v>350000</v>
      </c>
      <c r="J129" s="502">
        <f t="shared" si="12"/>
        <v>1400000</v>
      </c>
      <c r="K129" s="465">
        <f>견적!$J129*1.1</f>
        <v>1540000.0000000002</v>
      </c>
      <c r="L129" s="466" t="s">
        <v>8660</v>
      </c>
    </row>
    <row r="130" spans="1:12">
      <c r="A130" s="461">
        <v>45784</v>
      </c>
      <c r="B130" s="478">
        <v>1</v>
      </c>
      <c r="C130" s="472" t="str">
        <f>"EX"&amp;TEXT(tbl_견적[[#This Row],[견적일]],"yymmdd")&amp;"-"&amp;TEXT(tbl_견적[[#This Row],[일렬번호]],"00")</f>
        <v>EX250507-01</v>
      </c>
      <c r="D130" s="462" t="s">
        <v>8661</v>
      </c>
      <c r="E130" s="462" t="s">
        <v>8067</v>
      </c>
      <c r="F130" s="462" t="s">
        <v>8668</v>
      </c>
      <c r="G130" s="462" t="s">
        <v>8669</v>
      </c>
      <c r="H130" s="462">
        <v>1</v>
      </c>
      <c r="I130" s="463">
        <v>650000</v>
      </c>
      <c r="J130" s="502">
        <f t="shared" si="12"/>
        <v>650000</v>
      </c>
      <c r="K130" s="465">
        <f>견적!$J130*1.1</f>
        <v>715000</v>
      </c>
      <c r="L130" s="466" t="s">
        <v>8670</v>
      </c>
    </row>
    <row r="131" spans="1:12" ht="49.5">
      <c r="A131" s="461">
        <v>45784</v>
      </c>
      <c r="B131" s="478">
        <v>2</v>
      </c>
      <c r="C131" s="472" t="str">
        <f>"EX"&amp;TEXT(tbl_견적[[#This Row],[견적일]],"yymmdd")&amp;"-"&amp;TEXT(tbl_견적[[#This Row],[일렬번호]],"00")</f>
        <v>EX250507-02</v>
      </c>
      <c r="D131" s="462" t="s">
        <v>8535</v>
      </c>
      <c r="E131" s="462" t="s">
        <v>8671</v>
      </c>
      <c r="F131" s="462" t="s">
        <v>8672</v>
      </c>
      <c r="G131" s="462" t="s">
        <v>8673</v>
      </c>
      <c r="H131" s="462">
        <v>1</v>
      </c>
      <c r="I131" s="463">
        <f>384000-125000</f>
        <v>259000</v>
      </c>
      <c r="J131" s="502">
        <f>H131*I131</f>
        <v>259000</v>
      </c>
      <c r="K131" s="465">
        <f>견적!$J131*1.1</f>
        <v>284900</v>
      </c>
      <c r="L131" s="473" t="s">
        <v>8675</v>
      </c>
    </row>
    <row r="132" spans="1:12">
      <c r="A132" s="421">
        <v>45784</v>
      </c>
      <c r="B132" s="150">
        <v>2</v>
      </c>
      <c r="C132" s="151" t="str">
        <f>"EX"&amp;TEXT(tbl_견적[[#This Row],[견적일]],"yymmdd")&amp;"-"&amp;TEXT(tbl_견적[[#This Row],[일렬번호]],"00")</f>
        <v>EX250507-02</v>
      </c>
      <c r="D132" s="138" t="s">
        <v>8535</v>
      </c>
      <c r="E132" s="138" t="s">
        <v>8671</v>
      </c>
      <c r="F132" s="138" t="s">
        <v>8672</v>
      </c>
      <c r="G132" s="138" t="s">
        <v>8674</v>
      </c>
      <c r="H132" s="138">
        <v>5</v>
      </c>
      <c r="I132" s="139">
        <f>404000-125000</f>
        <v>279000</v>
      </c>
      <c r="J132" s="499">
        <f t="shared" ref="J132" si="13">H132*I132</f>
        <v>1395000</v>
      </c>
      <c r="K132" s="208">
        <f>견적!$J132*1.1</f>
        <v>1534500.0000000002</v>
      </c>
      <c r="L132" s="466" t="s">
        <v>383</v>
      </c>
    </row>
    <row r="133" spans="1:12">
      <c r="A133" s="461">
        <v>45804</v>
      </c>
      <c r="B133" s="478">
        <v>1</v>
      </c>
      <c r="C133" s="472" t="str">
        <f>"EX"&amp;TEXT(tbl_견적[[#This Row],[견적일]],"yymmdd")&amp;"-"&amp;TEXT(tbl_견적[[#This Row],[일렬번호]],"00")</f>
        <v>EX250527-01</v>
      </c>
      <c r="D133" s="462" t="s">
        <v>8685</v>
      </c>
      <c r="E133" s="462" t="s">
        <v>8035</v>
      </c>
      <c r="F133" s="462" t="s">
        <v>8686</v>
      </c>
      <c r="G133" s="462" t="s">
        <v>8687</v>
      </c>
      <c r="H133" s="462">
        <v>1</v>
      </c>
      <c r="I133" s="463">
        <v>16281000</v>
      </c>
      <c r="J133" s="502">
        <f>H133*I133</f>
        <v>16281000</v>
      </c>
      <c r="K133" s="465">
        <f>견적!$J133*1.1</f>
        <v>17909100</v>
      </c>
      <c r="L133" s="466" t="s">
        <v>383</v>
      </c>
    </row>
    <row r="134" spans="1:12">
      <c r="A134" s="421">
        <v>45804</v>
      </c>
      <c r="B134" s="150">
        <v>1</v>
      </c>
      <c r="C134" s="151" t="str">
        <f>"EX"&amp;TEXT(tbl_견적[[#This Row],[견적일]],"yymmdd")&amp;"-"&amp;TEXT(tbl_견적[[#This Row],[일렬번호]],"00")</f>
        <v>EX250527-01</v>
      </c>
      <c r="D134" s="138" t="s">
        <v>8685</v>
      </c>
      <c r="E134" s="138" t="s">
        <v>8035</v>
      </c>
      <c r="F134" s="138" t="s">
        <v>8686</v>
      </c>
      <c r="G134" s="138" t="s">
        <v>8688</v>
      </c>
      <c r="H134" s="138">
        <v>1</v>
      </c>
      <c r="I134" s="139">
        <v>20131000</v>
      </c>
      <c r="J134" s="499">
        <f t="shared" ref="J134:J135" si="14">H134*I134</f>
        <v>20131000</v>
      </c>
      <c r="K134" s="208">
        <f>견적!$J134*1.1</f>
        <v>22144100</v>
      </c>
      <c r="L134" s="466" t="s">
        <v>383</v>
      </c>
    </row>
    <row r="135" spans="1:12">
      <c r="A135" s="421">
        <v>45804</v>
      </c>
      <c r="B135" s="150">
        <v>1</v>
      </c>
      <c r="C135" s="151" t="str">
        <f>"EX"&amp;TEXT(tbl_견적[[#This Row],[견적일]],"yymmdd")&amp;"-"&amp;TEXT(tbl_견적[[#This Row],[일렬번호]],"00")</f>
        <v>EX250527-01</v>
      </c>
      <c r="D135" s="138" t="s">
        <v>8685</v>
      </c>
      <c r="E135" s="138" t="s">
        <v>8035</v>
      </c>
      <c r="F135" s="138" t="s">
        <v>8686</v>
      </c>
      <c r="G135" s="138" t="s">
        <v>8689</v>
      </c>
      <c r="H135" s="138">
        <v>1</v>
      </c>
      <c r="I135" s="139">
        <v>34243000</v>
      </c>
      <c r="J135" s="499">
        <f t="shared" si="14"/>
        <v>34243000</v>
      </c>
      <c r="K135" s="208">
        <f>견적!$J135*1.1</f>
        <v>37667300</v>
      </c>
      <c r="L135" s="466" t="s">
        <v>383</v>
      </c>
    </row>
    <row r="136" spans="1:12">
      <c r="A136" s="461">
        <v>45796</v>
      </c>
      <c r="B136" s="150">
        <v>1</v>
      </c>
      <c r="C136" s="472" t="str">
        <f>"EX"&amp;TEXT(tbl_견적[[#This Row],[견적일]],"yymmdd")&amp;"-"&amp;TEXT(tbl_견적[[#This Row],[일렬번호]],"00")</f>
        <v>EX250519-01</v>
      </c>
      <c r="D136" s="462" t="s">
        <v>8057</v>
      </c>
      <c r="E136" s="138" t="s">
        <v>8219</v>
      </c>
      <c r="F136" s="509" t="s">
        <v>8694</v>
      </c>
      <c r="G136" s="462" t="s">
        <v>8695</v>
      </c>
      <c r="H136" s="462">
        <v>2</v>
      </c>
      <c r="I136" s="463">
        <v>1250000</v>
      </c>
      <c r="J136" s="502">
        <f>H136*I136</f>
        <v>2500000</v>
      </c>
      <c r="K136" s="465">
        <f>견적!$J136*1.1</f>
        <v>2750000</v>
      </c>
      <c r="L136" s="466" t="s">
        <v>8695</v>
      </c>
    </row>
    <row r="137" spans="1:12">
      <c r="A137" s="461">
        <v>45813</v>
      </c>
      <c r="B137" s="478">
        <v>1</v>
      </c>
      <c r="C137" s="472" t="str">
        <f>"EX"&amp;TEXT(tbl_견적[[#This Row],[견적일]],"yymmdd")&amp;"-"&amp;TEXT(tbl_견적[[#This Row],[일렬번호]],"00")</f>
        <v>EX250605-01</v>
      </c>
      <c r="D137" s="462" t="s">
        <v>236</v>
      </c>
      <c r="E137" s="462" t="s">
        <v>8696</v>
      </c>
      <c r="F137" s="462" t="s">
        <v>8697</v>
      </c>
      <c r="G137" s="462" t="s">
        <v>8513</v>
      </c>
      <c r="H137" s="462">
        <v>1</v>
      </c>
      <c r="I137" s="463">
        <v>1200000</v>
      </c>
      <c r="J137" s="502">
        <f>H137*I137</f>
        <v>1200000</v>
      </c>
      <c r="K137" s="465">
        <f>견적!$J137*1.1</f>
        <v>1320000</v>
      </c>
      <c r="L137" s="466" t="s">
        <v>8698</v>
      </c>
    </row>
    <row r="138" spans="1:12">
      <c r="A138" s="421">
        <v>45813</v>
      </c>
      <c r="B138" s="150">
        <v>1</v>
      </c>
      <c r="C138" s="151" t="str">
        <f>"EX"&amp;TEXT(tbl_견적[[#This Row],[견적일]],"yymmdd")&amp;"-"&amp;TEXT(tbl_견적[[#This Row],[일렬번호]],"00")</f>
        <v>EX250605-01</v>
      </c>
      <c r="D138" s="138" t="s">
        <v>236</v>
      </c>
      <c r="E138" s="462" t="s">
        <v>8514</v>
      </c>
      <c r="F138" s="462" t="s">
        <v>8515</v>
      </c>
      <c r="G138" s="462" t="s">
        <v>8699</v>
      </c>
      <c r="H138" s="138">
        <v>1</v>
      </c>
      <c r="I138" s="139">
        <f>108102+113821+100000</f>
        <v>321923</v>
      </c>
      <c r="J138" s="499">
        <f t="shared" ref="J138" si="15">H138*I138</f>
        <v>321923</v>
      </c>
      <c r="K138" s="208">
        <f>견적!$J138*1.1</f>
        <v>354115.30000000005</v>
      </c>
      <c r="L138" s="445" t="s">
        <v>8698</v>
      </c>
    </row>
    <row r="139" spans="1:12">
      <c r="A139" s="461">
        <v>45817</v>
      </c>
      <c r="B139" s="150">
        <v>1</v>
      </c>
      <c r="C139" s="472" t="str">
        <f>"EX"&amp;TEXT(tbl_견적[[#This Row],[견적일]],"yymmdd")&amp;"-"&amp;TEXT(tbl_견적[[#This Row],[일렬번호]],"00")</f>
        <v>EX250609-01</v>
      </c>
      <c r="D139" s="462" t="s">
        <v>120</v>
      </c>
      <c r="E139" s="462" t="s">
        <v>8140</v>
      </c>
      <c r="F139" s="462" t="s">
        <v>8707</v>
      </c>
      <c r="G139" s="462" t="s">
        <v>8708</v>
      </c>
      <c r="H139" s="462">
        <v>2</v>
      </c>
      <c r="I139" s="463">
        <v>750000</v>
      </c>
      <c r="J139" s="502">
        <f t="shared" ref="J139:J144" si="16">H139*I139</f>
        <v>1500000</v>
      </c>
      <c r="K139" s="465">
        <f>견적!$J139*1.1</f>
        <v>1650000.0000000002</v>
      </c>
      <c r="L139" s="445" t="s">
        <v>383</v>
      </c>
    </row>
    <row r="140" spans="1:12">
      <c r="A140" s="461">
        <v>45821</v>
      </c>
      <c r="B140" s="150">
        <v>1</v>
      </c>
      <c r="C140" s="472" t="str">
        <f>"EX"&amp;TEXT(tbl_견적[[#This Row],[견적일]],"yymmdd")&amp;"-"&amp;TEXT(tbl_견적[[#This Row],[일렬번호]],"00")</f>
        <v>EX250613-01</v>
      </c>
      <c r="D140" s="462" t="s">
        <v>8711</v>
      </c>
      <c r="E140" s="462" t="s">
        <v>8067</v>
      </c>
      <c r="F140" s="462" t="s">
        <v>8722</v>
      </c>
      <c r="G140" s="462" t="s">
        <v>8726</v>
      </c>
      <c r="H140" s="462">
        <v>1</v>
      </c>
      <c r="I140" s="463">
        <v>650000</v>
      </c>
      <c r="J140" s="502">
        <f t="shared" si="16"/>
        <v>650000</v>
      </c>
      <c r="K140" s="465">
        <f>견적!$J140*1.1</f>
        <v>715000</v>
      </c>
      <c r="L140" s="466" t="s">
        <v>8727</v>
      </c>
    </row>
    <row r="141" spans="1:12">
      <c r="A141" s="421">
        <v>45821</v>
      </c>
      <c r="B141" s="150">
        <v>2</v>
      </c>
      <c r="C141" s="151" t="str">
        <f>"EX"&amp;TEXT(tbl_견적[[#This Row],[견적일]],"yymmdd")&amp;"-"&amp;TEXT(tbl_견적[[#This Row],[일렬번호]],"00")</f>
        <v>EX250613-02</v>
      </c>
      <c r="D141" s="138" t="s">
        <v>8717</v>
      </c>
      <c r="E141" s="462" t="s">
        <v>8067</v>
      </c>
      <c r="F141" s="462" t="s">
        <v>8724</v>
      </c>
      <c r="G141" s="138" t="s">
        <v>8723</v>
      </c>
      <c r="H141" s="138">
        <v>1</v>
      </c>
      <c r="I141" s="139">
        <v>500000</v>
      </c>
      <c r="J141" s="499">
        <f t="shared" si="16"/>
        <v>500000</v>
      </c>
      <c r="K141" s="208">
        <f>견적!$J141*1.1</f>
        <v>550000</v>
      </c>
      <c r="L141" s="445" t="s">
        <v>8725</v>
      </c>
    </row>
    <row r="142" spans="1:12">
      <c r="A142" s="421">
        <v>45821</v>
      </c>
      <c r="B142" s="150">
        <v>3</v>
      </c>
      <c r="C142" s="151" t="str">
        <f>"EX"&amp;TEXT(tbl_견적[[#This Row],[견적일]],"yymmdd")&amp;"-"&amp;TEXT(tbl_견적[[#This Row],[일렬번호]],"00")</f>
        <v>EX250613-03</v>
      </c>
      <c r="D142" s="138" t="s">
        <v>248</v>
      </c>
      <c r="E142" s="138" t="s">
        <v>8733</v>
      </c>
      <c r="F142" s="138" t="s">
        <v>8722</v>
      </c>
      <c r="G142" s="462" t="s">
        <v>8669</v>
      </c>
      <c r="H142" s="138">
        <v>4</v>
      </c>
      <c r="I142" s="139">
        <v>1200000</v>
      </c>
      <c r="J142" s="499">
        <f t="shared" si="16"/>
        <v>4800000</v>
      </c>
      <c r="K142" s="208">
        <f>견적!$J142*1.1</f>
        <v>5280000</v>
      </c>
      <c r="L142" s="445"/>
    </row>
    <row r="143" spans="1:12" s="510" customFormat="1">
      <c r="A143" s="421">
        <v>45821</v>
      </c>
      <c r="B143" s="150">
        <v>3</v>
      </c>
      <c r="C143" s="151" t="str">
        <f>"EX"&amp;TEXT(tbl_견적[[#This Row],[견적일]],"yymmdd")&amp;"-"&amp;TEXT(tbl_견적[[#This Row],[일렬번호]],"00")</f>
        <v>EX250613-03</v>
      </c>
      <c r="D143" s="138" t="s">
        <v>248</v>
      </c>
      <c r="E143" s="138" t="s">
        <v>8733</v>
      </c>
      <c r="F143" s="138" t="s">
        <v>8722</v>
      </c>
      <c r="G143" s="138" t="s">
        <v>8734</v>
      </c>
      <c r="H143" s="138">
        <v>3</v>
      </c>
      <c r="I143" s="139">
        <v>500000</v>
      </c>
      <c r="J143" s="499">
        <f t="shared" si="16"/>
        <v>1500000</v>
      </c>
      <c r="K143" s="208">
        <f>견적!$J143*1.1</f>
        <v>1650000.0000000002</v>
      </c>
      <c r="L143" s="445"/>
    </row>
    <row r="144" spans="1:12">
      <c r="A144" s="421">
        <v>45825</v>
      </c>
      <c r="B144" s="150">
        <v>1</v>
      </c>
      <c r="C144" s="151" t="str">
        <f>"EX"&amp;TEXT(tbl_견적[[#This Row],[견적일]],"yymmdd")&amp;"-"&amp;TEXT(tbl_견적[[#This Row],[일렬번호]],"00")</f>
        <v>EX250617-01</v>
      </c>
      <c r="D144" s="138" t="s">
        <v>8735</v>
      </c>
      <c r="E144" s="138" t="s">
        <v>8067</v>
      </c>
      <c r="F144" s="138" t="s">
        <v>7464</v>
      </c>
      <c r="G144" s="138" t="s">
        <v>8741</v>
      </c>
      <c r="H144" s="138">
        <v>1</v>
      </c>
      <c r="I144" s="139">
        <v>500000</v>
      </c>
      <c r="J144" s="499">
        <f t="shared" si="16"/>
        <v>500000</v>
      </c>
      <c r="K144" s="208">
        <f>견적!$J144*1.1</f>
        <v>550000</v>
      </c>
      <c r="L144" s="445" t="s">
        <v>8742</v>
      </c>
    </row>
    <row r="145" spans="1:12">
      <c r="A145" s="461">
        <v>45827</v>
      </c>
      <c r="B145" s="478">
        <v>1</v>
      </c>
      <c r="C145" s="472" t="str">
        <f>"EX"&amp;TEXT(tbl_견적[[#This Row],[견적일]],"yymmdd")&amp;"-"&amp;TEXT(tbl_견적[[#This Row],[일렬번호]],"00")</f>
        <v>EX250619-01</v>
      </c>
      <c r="D145" s="462" t="s">
        <v>8717</v>
      </c>
      <c r="E145" s="462" t="s">
        <v>8067</v>
      </c>
      <c r="F145" s="462" t="s">
        <v>8746</v>
      </c>
      <c r="G145" s="462" t="s">
        <v>8747</v>
      </c>
      <c r="H145" s="462">
        <v>1</v>
      </c>
      <c r="I145" s="463">
        <v>250000</v>
      </c>
      <c r="J145" s="502">
        <f t="shared" ref="J145" si="17">H145*I145</f>
        <v>250000</v>
      </c>
      <c r="K145" s="465">
        <f>견적!$J145*1.1</f>
        <v>275000</v>
      </c>
      <c r="L145" s="466" t="s">
        <v>8725</v>
      </c>
    </row>
    <row r="146" spans="1:12">
      <c r="A146" s="461">
        <v>45831</v>
      </c>
      <c r="B146" s="478">
        <v>1</v>
      </c>
      <c r="C146" s="472" t="str">
        <f>"EX"&amp;TEXT(tbl_견적[[#This Row],[견적일]],"yymmdd")&amp;"-"&amp;TEXT(tbl_견적[[#This Row],[일렬번호]],"00")</f>
        <v>EX250623-01</v>
      </c>
      <c r="D146" s="462" t="s">
        <v>8157</v>
      </c>
      <c r="E146" s="462" t="s">
        <v>8067</v>
      </c>
      <c r="F146" s="462" t="s">
        <v>8748</v>
      </c>
      <c r="G146" s="462" t="s">
        <v>8749</v>
      </c>
      <c r="H146" s="462">
        <v>1</v>
      </c>
      <c r="I146" s="463">
        <v>800000</v>
      </c>
      <c r="J146" s="502">
        <f t="shared" ref="J146:J151" si="18">H146*I146</f>
        <v>800000</v>
      </c>
      <c r="K146" s="465">
        <f>견적!$J146*1.1</f>
        <v>880000.00000000012</v>
      </c>
      <c r="L146" s="466" t="s">
        <v>8750</v>
      </c>
    </row>
    <row r="147" spans="1:12">
      <c r="A147" s="461">
        <v>45831</v>
      </c>
      <c r="B147" s="478">
        <v>3</v>
      </c>
      <c r="C147" s="472" t="str">
        <f>"EX"&amp;TEXT(tbl_견적[[#This Row],[견적일]],"yymmdd")&amp;"-"&amp;TEXT(tbl_견적[[#This Row],[일렬번호]],"00")</f>
        <v>EX250623-03</v>
      </c>
      <c r="D147" s="462" t="s">
        <v>8757</v>
      </c>
      <c r="E147" s="138" t="s">
        <v>8035</v>
      </c>
      <c r="F147" s="462" t="s">
        <v>8758</v>
      </c>
      <c r="G147" s="462" t="s">
        <v>8759</v>
      </c>
      <c r="H147" s="462">
        <v>1</v>
      </c>
      <c r="I147" s="463">
        <v>3218000</v>
      </c>
      <c r="J147" s="502">
        <f t="shared" si="18"/>
        <v>3218000</v>
      </c>
      <c r="K147" s="465">
        <f>견적!$J147*1.1</f>
        <v>3539800.0000000005</v>
      </c>
      <c r="L147" s="466" t="s">
        <v>8760</v>
      </c>
    </row>
    <row r="148" spans="1:12">
      <c r="A148" s="461">
        <v>45846</v>
      </c>
      <c r="B148" s="478">
        <v>1</v>
      </c>
      <c r="C148" s="472" t="str">
        <f>"EX"&amp;TEXT(tbl_견적[[#This Row],[견적일]],"yymmdd")&amp;"-"&amp;TEXT(tbl_견적[[#This Row],[일렬번호]],"00")</f>
        <v>EX250708-01</v>
      </c>
      <c r="D148" s="462" t="s">
        <v>8717</v>
      </c>
      <c r="E148" s="462" t="s">
        <v>8928</v>
      </c>
      <c r="F148" s="462" t="s">
        <v>8929</v>
      </c>
      <c r="G148" s="462" t="s">
        <v>8280</v>
      </c>
      <c r="H148" s="462">
        <v>1</v>
      </c>
      <c r="I148" s="463">
        <v>200000</v>
      </c>
      <c r="J148" s="502">
        <f t="shared" si="18"/>
        <v>200000</v>
      </c>
      <c r="K148" s="465">
        <f>견적!$J148*1.1</f>
        <v>220000.00000000003</v>
      </c>
      <c r="L148" s="466" t="s">
        <v>8930</v>
      </c>
    </row>
    <row r="149" spans="1:12">
      <c r="A149" s="461">
        <v>45849</v>
      </c>
      <c r="B149" s="478">
        <v>1</v>
      </c>
      <c r="C149" s="472" t="str">
        <f>"EX"&amp;TEXT(tbl_견적[[#This Row],[견적일]],"yymmdd")&amp;"-"&amp;TEXT(tbl_견적[[#This Row],[일렬번호]],"00")</f>
        <v>EX250711-01</v>
      </c>
      <c r="D149" s="462" t="s">
        <v>233</v>
      </c>
      <c r="E149" s="462" t="s">
        <v>8035</v>
      </c>
      <c r="F149" s="462" t="s">
        <v>8936</v>
      </c>
      <c r="G149" s="462" t="s">
        <v>8935</v>
      </c>
      <c r="H149" s="462">
        <v>1</v>
      </c>
      <c r="I149" s="463">
        <v>5600000</v>
      </c>
      <c r="J149" s="502">
        <f t="shared" si="18"/>
        <v>5600000</v>
      </c>
      <c r="K149" s="465">
        <f>견적!$J149*1.1</f>
        <v>6160000.0000000009</v>
      </c>
      <c r="L149" s="466" t="s">
        <v>8481</v>
      </c>
    </row>
    <row r="150" spans="1:12">
      <c r="A150" s="421">
        <v>45849</v>
      </c>
      <c r="B150" s="478">
        <v>2</v>
      </c>
      <c r="C150" s="151" t="str">
        <f>"EX"&amp;TEXT(tbl_견적[[#This Row],[견적일]],"yymmdd")&amp;"-"&amp;TEXT(tbl_견적[[#This Row],[일렬번호]],"00")</f>
        <v>EX250711-02</v>
      </c>
      <c r="D150" s="138" t="s">
        <v>233</v>
      </c>
      <c r="E150" s="138" t="s">
        <v>8035</v>
      </c>
      <c r="F150" s="138" t="s">
        <v>8934</v>
      </c>
      <c r="G150" s="138" t="s">
        <v>8935</v>
      </c>
      <c r="H150" s="138">
        <v>1</v>
      </c>
      <c r="I150" s="139">
        <v>5100000</v>
      </c>
      <c r="J150" s="499">
        <f t="shared" si="18"/>
        <v>5100000</v>
      </c>
      <c r="K150" s="208">
        <f>견적!$J150*1.1</f>
        <v>5610000</v>
      </c>
      <c r="L150" s="466" t="s">
        <v>8481</v>
      </c>
    </row>
    <row r="151" spans="1:12">
      <c r="A151" s="461">
        <v>45859</v>
      </c>
      <c r="B151" s="478">
        <v>1</v>
      </c>
      <c r="C151" s="472" t="str">
        <f>"EX"&amp;TEXT(tbl_견적[[#This Row],[견적일]],"yymmdd")&amp;"-"&amp;TEXT(tbl_견적[[#This Row],[일렬번호]],"00")</f>
        <v>EX250721-01</v>
      </c>
      <c r="D151" s="462" t="s">
        <v>8941</v>
      </c>
      <c r="E151" s="462" t="s">
        <v>7572</v>
      </c>
      <c r="F151" s="462" t="s">
        <v>8947</v>
      </c>
      <c r="G151" s="462" t="s">
        <v>8225</v>
      </c>
      <c r="H151" s="462">
        <v>2</v>
      </c>
      <c r="I151" s="484">
        <v>2866000</v>
      </c>
      <c r="J151" s="502">
        <f t="shared" si="18"/>
        <v>5732000</v>
      </c>
      <c r="K151" s="465">
        <f>견적!$J151*1.1</f>
        <v>6305200.0000000009</v>
      </c>
      <c r="L151" s="466"/>
    </row>
    <row r="152" spans="1:12">
      <c r="A152" s="461">
        <v>45860</v>
      </c>
      <c r="B152" s="478">
        <v>1</v>
      </c>
      <c r="C152" s="472" t="str">
        <f>"EX"&amp;TEXT(tbl_견적[[#This Row],[견적일]],"yymmdd")&amp;"-"&amp;TEXT(tbl_견적[[#This Row],[일렬번호]],"00")</f>
        <v>EX250722-01</v>
      </c>
      <c r="D152" s="462" t="s">
        <v>8948</v>
      </c>
      <c r="E152" s="462" t="s">
        <v>7572</v>
      </c>
      <c r="F152" s="462" t="s">
        <v>8954</v>
      </c>
      <c r="G152" s="462" t="s">
        <v>8956</v>
      </c>
      <c r="H152" s="462">
        <v>1</v>
      </c>
      <c r="I152" s="516">
        <v>2606000</v>
      </c>
      <c r="J152" s="502">
        <f>H152*I152</f>
        <v>2606000</v>
      </c>
      <c r="K152" s="465">
        <f>견적!$J152*1.1</f>
        <v>2866600</v>
      </c>
      <c r="L152" s="466" t="s">
        <v>8979</v>
      </c>
    </row>
    <row r="153" spans="1:12">
      <c r="A153" s="461">
        <v>45860</v>
      </c>
      <c r="B153" s="150">
        <v>1</v>
      </c>
      <c r="C153" s="151" t="str">
        <f>"EX"&amp;TEXT(tbl_견적[[#This Row],[견적일]],"yymmdd")&amp;"-"&amp;TEXT(tbl_견적[[#This Row],[일렬번호]],"00")</f>
        <v>EX250722-01</v>
      </c>
      <c r="D153" s="138" t="s">
        <v>8948</v>
      </c>
      <c r="E153" s="138" t="s">
        <v>7572</v>
      </c>
      <c r="F153" s="138" t="s">
        <v>8957</v>
      </c>
      <c r="G153" s="138" t="s">
        <v>8956</v>
      </c>
      <c r="H153" s="138">
        <v>1</v>
      </c>
      <c r="I153" s="516">
        <v>4272000</v>
      </c>
      <c r="J153" s="499">
        <f>H153*I153</f>
        <v>4272000</v>
      </c>
      <c r="K153" s="208">
        <f>견적!$J153*1.1</f>
        <v>4699200</v>
      </c>
      <c r="L153" s="466" t="s">
        <v>8955</v>
      </c>
    </row>
    <row r="154" spans="1:12">
      <c r="A154" s="461">
        <v>45860</v>
      </c>
      <c r="B154" s="150">
        <v>1</v>
      </c>
      <c r="C154" s="151" t="str">
        <f>"EX"&amp;TEXT(tbl_견적[[#This Row],[견적일]],"yymmdd")&amp;"-"&amp;TEXT(tbl_견적[[#This Row],[일렬번호]],"00")</f>
        <v>EX250722-01</v>
      </c>
      <c r="D154" s="138" t="s">
        <v>8948</v>
      </c>
      <c r="E154" s="138" t="s">
        <v>7570</v>
      </c>
      <c r="F154" s="138" t="s">
        <v>8958</v>
      </c>
      <c r="G154" s="138" t="s">
        <v>8966</v>
      </c>
      <c r="H154" s="138">
        <v>1</v>
      </c>
      <c r="I154" s="517">
        <v>910000</v>
      </c>
      <c r="J154" s="499">
        <f t="shared" ref="J154:J157" si="19">H154*I154</f>
        <v>910000</v>
      </c>
      <c r="K154" s="208">
        <f>견적!$J154*1.1</f>
        <v>1001000.0000000001</v>
      </c>
      <c r="L154" s="466" t="s">
        <v>8955</v>
      </c>
    </row>
    <row r="155" spans="1:12">
      <c r="A155" s="461">
        <v>45860</v>
      </c>
      <c r="B155" s="150">
        <v>1</v>
      </c>
      <c r="C155" s="151" t="str">
        <f>"EX"&amp;TEXT(tbl_견적[[#This Row],[견적일]],"yymmdd")&amp;"-"&amp;TEXT(tbl_견적[[#This Row],[일렬번호]],"00")</f>
        <v>EX250722-01</v>
      </c>
      <c r="D155" s="138" t="s">
        <v>8948</v>
      </c>
      <c r="E155" s="138" t="s">
        <v>7570</v>
      </c>
      <c r="F155" s="138" t="s">
        <v>8959</v>
      </c>
      <c r="G155" s="138" t="s">
        <v>8980</v>
      </c>
      <c r="H155" s="138">
        <v>1</v>
      </c>
      <c r="I155" s="517">
        <v>994000</v>
      </c>
      <c r="J155" s="499">
        <f t="shared" si="19"/>
        <v>994000</v>
      </c>
      <c r="K155" s="208">
        <f>견적!$J155*1.1</f>
        <v>1093400</v>
      </c>
      <c r="L155" s="466" t="s">
        <v>8955</v>
      </c>
    </row>
    <row r="156" spans="1:12">
      <c r="A156" s="461">
        <v>45860</v>
      </c>
      <c r="B156" s="150">
        <v>1</v>
      </c>
      <c r="C156" s="151" t="str">
        <f>"EX"&amp;TEXT(tbl_견적[[#This Row],[견적일]],"yymmdd")&amp;"-"&amp;TEXT(tbl_견적[[#This Row],[일렬번호]],"00")</f>
        <v>EX250722-01</v>
      </c>
      <c r="D156" s="138" t="s">
        <v>8948</v>
      </c>
      <c r="E156" s="138" t="s">
        <v>7570</v>
      </c>
      <c r="F156" s="138" t="s">
        <v>8960</v>
      </c>
      <c r="G156" s="138" t="s">
        <v>8967</v>
      </c>
      <c r="H156" s="138">
        <v>1</v>
      </c>
      <c r="I156" s="517">
        <v>910000</v>
      </c>
      <c r="J156" s="499">
        <f t="shared" si="19"/>
        <v>910000</v>
      </c>
      <c r="K156" s="208">
        <f>견적!$J156*1.1</f>
        <v>1001000.0000000001</v>
      </c>
      <c r="L156" s="466" t="s">
        <v>8955</v>
      </c>
    </row>
    <row r="157" spans="1:12">
      <c r="A157" s="461">
        <v>45860</v>
      </c>
      <c r="B157" s="150">
        <v>1</v>
      </c>
      <c r="C157" s="151" t="str">
        <f>"EX"&amp;TEXT(tbl_견적[[#This Row],[견적일]],"yymmdd")&amp;"-"&amp;TEXT(tbl_견적[[#This Row],[일렬번호]],"00")</f>
        <v>EX250722-01</v>
      </c>
      <c r="D157" s="138" t="s">
        <v>8948</v>
      </c>
      <c r="E157" s="138" t="s">
        <v>7570</v>
      </c>
      <c r="F157" s="138" t="s">
        <v>8961</v>
      </c>
      <c r="G157" s="138" t="s">
        <v>8968</v>
      </c>
      <c r="H157" s="138">
        <v>1</v>
      </c>
      <c r="I157" s="517">
        <v>826000</v>
      </c>
      <c r="J157" s="499">
        <f t="shared" si="19"/>
        <v>826000</v>
      </c>
      <c r="K157" s="208">
        <f>견적!$J157*1.1</f>
        <v>908600.00000000012</v>
      </c>
      <c r="L157" s="466" t="s">
        <v>8955</v>
      </c>
    </row>
    <row r="158" spans="1:12">
      <c r="A158" s="461">
        <v>45860</v>
      </c>
      <c r="B158" s="150">
        <v>1</v>
      </c>
      <c r="C158" s="151" t="str">
        <f>"EX"&amp;TEXT(tbl_견적[[#This Row],[견적일]],"yymmdd")&amp;"-"&amp;TEXT(tbl_견적[[#This Row],[일렬번호]],"00")</f>
        <v>EX250722-01</v>
      </c>
      <c r="D158" s="138" t="s">
        <v>8948</v>
      </c>
      <c r="E158" s="138" t="s">
        <v>7570</v>
      </c>
      <c r="F158" s="138" t="s">
        <v>8962</v>
      </c>
      <c r="G158" s="138" t="s">
        <v>8969</v>
      </c>
      <c r="H158" s="138">
        <v>1</v>
      </c>
      <c r="I158" s="517">
        <v>1050000</v>
      </c>
      <c r="J158" s="499">
        <f t="shared" ref="J158:J161" si="20">H158*I158</f>
        <v>1050000</v>
      </c>
      <c r="K158" s="208">
        <f>견적!$J158*1.1</f>
        <v>1155000</v>
      </c>
      <c r="L158" s="466" t="s">
        <v>8955</v>
      </c>
    </row>
    <row r="159" spans="1:12">
      <c r="A159" s="461">
        <v>45860</v>
      </c>
      <c r="B159" s="150">
        <v>1</v>
      </c>
      <c r="C159" s="151" t="str">
        <f>"EX"&amp;TEXT(tbl_견적[[#This Row],[견적일]],"yymmdd")&amp;"-"&amp;TEXT(tbl_견적[[#This Row],[일렬번호]],"00")</f>
        <v>EX250722-01</v>
      </c>
      <c r="D159" s="138" t="s">
        <v>8948</v>
      </c>
      <c r="E159" s="138" t="s">
        <v>7570</v>
      </c>
      <c r="F159" s="138" t="s">
        <v>8963</v>
      </c>
      <c r="G159" s="138" t="s">
        <v>8981</v>
      </c>
      <c r="H159" s="138">
        <v>1</v>
      </c>
      <c r="I159" s="517">
        <v>1988000</v>
      </c>
      <c r="J159" s="499">
        <f t="shared" si="20"/>
        <v>1988000</v>
      </c>
      <c r="K159" s="208">
        <f>견적!$J159*1.1</f>
        <v>2186800</v>
      </c>
      <c r="L159" s="466" t="s">
        <v>8955</v>
      </c>
    </row>
    <row r="160" spans="1:12">
      <c r="A160" s="461">
        <v>45860</v>
      </c>
      <c r="B160" s="150">
        <v>1</v>
      </c>
      <c r="C160" s="151" t="str">
        <f>"EX"&amp;TEXT(tbl_견적[[#This Row],[견적일]],"yymmdd")&amp;"-"&amp;TEXT(tbl_견적[[#This Row],[일렬번호]],"00")</f>
        <v>EX250722-01</v>
      </c>
      <c r="D160" s="138" t="s">
        <v>8948</v>
      </c>
      <c r="E160" s="138" t="s">
        <v>7570</v>
      </c>
      <c r="F160" s="138" t="s">
        <v>8964</v>
      </c>
      <c r="G160" s="138" t="s">
        <v>8978</v>
      </c>
      <c r="H160" s="138">
        <v>1</v>
      </c>
      <c r="I160" s="517">
        <v>3276000</v>
      </c>
      <c r="J160" s="499">
        <f t="shared" si="20"/>
        <v>3276000</v>
      </c>
      <c r="K160" s="208">
        <f>견적!$J160*1.1</f>
        <v>3603600.0000000005</v>
      </c>
      <c r="L160" s="466" t="s">
        <v>8955</v>
      </c>
    </row>
    <row r="161" spans="1:12">
      <c r="A161" s="461">
        <v>45860</v>
      </c>
      <c r="B161" s="150">
        <v>1</v>
      </c>
      <c r="C161" s="151" t="str">
        <f>"EX"&amp;TEXT(tbl_견적[[#This Row],[견적일]],"yymmdd")&amp;"-"&amp;TEXT(tbl_견적[[#This Row],[일렬번호]],"00")</f>
        <v>EX250722-01</v>
      </c>
      <c r="D161" s="138" t="s">
        <v>8948</v>
      </c>
      <c r="E161" s="138" t="s">
        <v>7570</v>
      </c>
      <c r="F161" s="138" t="s">
        <v>8965</v>
      </c>
      <c r="G161" s="138" t="s">
        <v>8977</v>
      </c>
      <c r="H161" s="138">
        <v>1</v>
      </c>
      <c r="I161" s="517">
        <v>4200000</v>
      </c>
      <c r="J161" s="499">
        <f t="shared" si="20"/>
        <v>4200000</v>
      </c>
      <c r="K161" s="208">
        <f>견적!$J161*1.1</f>
        <v>4620000</v>
      </c>
      <c r="L161" s="466" t="s">
        <v>8955</v>
      </c>
    </row>
    <row r="162" spans="1:12">
      <c r="A162" s="461">
        <v>45860</v>
      </c>
      <c r="B162" s="150">
        <v>1</v>
      </c>
      <c r="C162" s="151" t="str">
        <f>"EX"&amp;TEXT(tbl_견적[[#This Row],[견적일]],"yymmdd")&amp;"-"&amp;TEXT(tbl_견적[[#This Row],[일렬번호]],"00")</f>
        <v>EX250722-01</v>
      </c>
      <c r="D162" s="138" t="s">
        <v>8948</v>
      </c>
      <c r="E162" s="462" t="s">
        <v>8974</v>
      </c>
      <c r="F162" s="462" t="s">
        <v>8970</v>
      </c>
      <c r="G162" s="515" t="s">
        <v>8975</v>
      </c>
      <c r="H162" s="462">
        <v>1</v>
      </c>
      <c r="I162" s="517">
        <v>150000</v>
      </c>
      <c r="J162" s="502">
        <f>H162*I162</f>
        <v>150000</v>
      </c>
      <c r="K162" s="465">
        <f>견적!$J162*1.1</f>
        <v>165000</v>
      </c>
      <c r="L162" s="466" t="s">
        <v>8955</v>
      </c>
    </row>
    <row r="163" spans="1:12">
      <c r="A163" s="461">
        <v>45860</v>
      </c>
      <c r="B163" s="150">
        <v>1</v>
      </c>
      <c r="C163" s="151" t="str">
        <f>"EX"&amp;TEXT(tbl_견적[[#This Row],[견적일]],"yymmdd")&amp;"-"&amp;TEXT(tbl_견적[[#This Row],[일렬번호]],"00")</f>
        <v>EX250722-01</v>
      </c>
      <c r="D163" s="138" t="s">
        <v>8948</v>
      </c>
      <c r="E163" s="138" t="s">
        <v>8974</v>
      </c>
      <c r="F163" s="138" t="s">
        <v>8971</v>
      </c>
      <c r="G163" s="138" t="s">
        <v>8976</v>
      </c>
      <c r="H163" s="138">
        <v>1</v>
      </c>
      <c r="I163" s="139">
        <v>300000</v>
      </c>
      <c r="J163" s="499">
        <f>H163*I163</f>
        <v>300000</v>
      </c>
      <c r="K163" s="208">
        <f>견적!$J163*1.1</f>
        <v>330000</v>
      </c>
      <c r="L163" s="466" t="s">
        <v>8955</v>
      </c>
    </row>
    <row r="164" spans="1:12">
      <c r="A164" s="461">
        <v>45866</v>
      </c>
      <c r="B164" s="478">
        <v>1</v>
      </c>
      <c r="C164" s="472" t="str">
        <f>"EX"&amp;TEXT(tbl_견적[[#This Row],[견적일]],"yymmdd")&amp;"-"&amp;TEXT(tbl_견적[[#This Row],[일렬번호]],"00")</f>
        <v>EX250728-01</v>
      </c>
      <c r="D164" s="462" t="s">
        <v>8984</v>
      </c>
      <c r="E164" s="462" t="s">
        <v>8990</v>
      </c>
      <c r="F164" s="462" t="s">
        <v>8419</v>
      </c>
      <c r="G164" s="462" t="s">
        <v>8992</v>
      </c>
      <c r="H164" s="462">
        <v>1</v>
      </c>
      <c r="I164" s="463">
        <v>1080000</v>
      </c>
      <c r="J164" s="502">
        <f>H164*I164</f>
        <v>1080000</v>
      </c>
      <c r="K164" s="465">
        <f>견적!$J164*1.1</f>
        <v>1188000</v>
      </c>
      <c r="L164" s="466" t="s">
        <v>8991</v>
      </c>
    </row>
    <row r="165" spans="1:12">
      <c r="A165" s="421">
        <v>45866</v>
      </c>
      <c r="B165" s="150">
        <v>1</v>
      </c>
      <c r="C165" s="151" t="str">
        <f>"EX"&amp;TEXT(tbl_견적[[#This Row],[견적일]],"yymmdd")&amp;"-"&amp;TEXT(tbl_견적[[#This Row],[일렬번호]],"00")</f>
        <v>EX250728-01</v>
      </c>
      <c r="D165" s="138" t="s">
        <v>8984</v>
      </c>
      <c r="E165" s="138" t="s">
        <v>8993</v>
      </c>
      <c r="F165" s="138" t="s">
        <v>7127</v>
      </c>
      <c r="G165" s="521" t="s">
        <v>8994</v>
      </c>
      <c r="H165" s="138">
        <v>1</v>
      </c>
      <c r="I165" s="139">
        <v>100000</v>
      </c>
      <c r="J165" s="499">
        <f t="shared" ref="J165:J166" si="21">H165*I165</f>
        <v>100000</v>
      </c>
      <c r="K165" s="208">
        <f>견적!$J165*1.1</f>
        <v>110000.00000000001</v>
      </c>
      <c r="L165" s="445" t="s">
        <v>8991</v>
      </c>
    </row>
    <row r="166" spans="1:12">
      <c r="A166" s="421">
        <v>45866</v>
      </c>
      <c r="B166" s="150">
        <v>1</v>
      </c>
      <c r="C166" s="151" t="str">
        <f>"EX"&amp;TEXT(tbl_견적[[#This Row],[견적일]],"yymmdd")&amp;"-"&amp;TEXT(tbl_견적[[#This Row],[일렬번호]],"00")</f>
        <v>EX250728-01</v>
      </c>
      <c r="D166" s="138" t="s">
        <v>8984</v>
      </c>
      <c r="E166" s="138" t="s">
        <v>8993</v>
      </c>
      <c r="F166" s="138" t="s">
        <v>7127</v>
      </c>
      <c r="G166" s="521" t="s">
        <v>8995</v>
      </c>
      <c r="H166" s="138">
        <v>1</v>
      </c>
      <c r="I166" s="139">
        <v>250000</v>
      </c>
      <c r="J166" s="499">
        <f t="shared" si="21"/>
        <v>250000</v>
      </c>
      <c r="K166" s="208">
        <f>견적!$J166*1.1</f>
        <v>275000</v>
      </c>
      <c r="L166" s="445" t="s">
        <v>8991</v>
      </c>
    </row>
    <row r="167" spans="1:12">
      <c r="A167" s="461">
        <v>45866</v>
      </c>
      <c r="B167" s="478">
        <v>2</v>
      </c>
      <c r="C167" s="472" t="str">
        <f>"EX"&amp;TEXT(tbl_견적[[#This Row],[견적일]],"yymmdd")&amp;"-"&amp;TEXT(tbl_견적[[#This Row],[일렬번호]],"00")</f>
        <v>EX250728-02</v>
      </c>
      <c r="D167" s="462" t="s">
        <v>236</v>
      </c>
      <c r="E167" s="462" t="s">
        <v>8035</v>
      </c>
      <c r="F167" s="462" t="s">
        <v>9002</v>
      </c>
      <c r="G167" s="462" t="s">
        <v>9003</v>
      </c>
      <c r="H167" s="462">
        <v>28</v>
      </c>
      <c r="I167" s="463">
        <v>2992</v>
      </c>
      <c r="J167" s="502">
        <f>H167*I167</f>
        <v>83776</v>
      </c>
      <c r="K167" s="465">
        <f>견적!$J167*1.1</f>
        <v>92153.600000000006</v>
      </c>
      <c r="L167" s="445" t="s">
        <v>9004</v>
      </c>
    </row>
    <row r="168" spans="1:12">
      <c r="A168" s="461">
        <v>45866</v>
      </c>
      <c r="B168" s="478">
        <v>2</v>
      </c>
      <c r="C168" s="472" t="str">
        <f>"EX"&amp;TEXT(tbl_견적[[#This Row],[견적일]],"yymmdd")&amp;"-"&amp;TEXT(tbl_견적[[#This Row],[일렬번호]],"00")</f>
        <v>EX250728-02</v>
      </c>
      <c r="D168" s="462" t="s">
        <v>236</v>
      </c>
      <c r="E168" s="462" t="s">
        <v>7477</v>
      </c>
      <c r="F168" s="462" t="s">
        <v>8997</v>
      </c>
      <c r="G168" s="462" t="s">
        <v>9001</v>
      </c>
      <c r="H168" s="462">
        <v>10</v>
      </c>
      <c r="I168" s="463">
        <v>8810</v>
      </c>
      <c r="J168" s="502">
        <f>H168*I168</f>
        <v>88100</v>
      </c>
      <c r="K168" s="465">
        <f>견적!$J168*1.1</f>
        <v>96910.000000000015</v>
      </c>
      <c r="L168" s="445" t="s">
        <v>383</v>
      </c>
    </row>
    <row r="169" spans="1:12">
      <c r="A169" s="461">
        <v>45866</v>
      </c>
      <c r="B169" s="478">
        <v>2</v>
      </c>
      <c r="C169" s="472" t="str">
        <f>"EX"&amp;TEXT(tbl_견적[[#This Row],[견적일]],"yymmdd")&amp;"-"&amp;TEXT(tbl_견적[[#This Row],[일렬번호]],"00")</f>
        <v>EX250728-02</v>
      </c>
      <c r="D169" s="462" t="s">
        <v>236</v>
      </c>
      <c r="E169" s="462" t="s">
        <v>7477</v>
      </c>
      <c r="F169" s="462" t="s">
        <v>8996</v>
      </c>
      <c r="G169" s="462" t="s">
        <v>9001</v>
      </c>
      <c r="H169" s="138">
        <v>5</v>
      </c>
      <c r="I169" s="463">
        <v>2560</v>
      </c>
      <c r="J169" s="499">
        <f t="shared" ref="J169:J172" si="22">H169*I169</f>
        <v>12800</v>
      </c>
      <c r="K169" s="208">
        <f>견적!$J169*1.1</f>
        <v>14080.000000000002</v>
      </c>
      <c r="L169" s="445" t="s">
        <v>383</v>
      </c>
    </row>
    <row r="170" spans="1:12">
      <c r="A170" s="461">
        <v>45866</v>
      </c>
      <c r="B170" s="478">
        <v>2</v>
      </c>
      <c r="C170" s="472" t="str">
        <f>"EX"&amp;TEXT(tbl_견적[[#This Row],[견적일]],"yymmdd")&amp;"-"&amp;TEXT(tbl_견적[[#This Row],[일렬번호]],"00")</f>
        <v>EX250728-02</v>
      </c>
      <c r="D170" s="462" t="s">
        <v>236</v>
      </c>
      <c r="E170" s="462" t="s">
        <v>7477</v>
      </c>
      <c r="F170" s="462" t="s">
        <v>8998</v>
      </c>
      <c r="G170" s="462" t="s">
        <v>9001</v>
      </c>
      <c r="H170" s="138">
        <v>5</v>
      </c>
      <c r="I170" s="463">
        <v>820</v>
      </c>
      <c r="J170" s="499">
        <f t="shared" si="22"/>
        <v>4100</v>
      </c>
      <c r="K170" s="208">
        <f>견적!$J170*1.1</f>
        <v>4510</v>
      </c>
      <c r="L170" s="445" t="s">
        <v>383</v>
      </c>
    </row>
    <row r="171" spans="1:12">
      <c r="A171" s="461">
        <v>45866</v>
      </c>
      <c r="B171" s="478">
        <v>2</v>
      </c>
      <c r="C171" s="472" t="str">
        <f>"EX"&amp;TEXT(tbl_견적[[#This Row],[견적일]],"yymmdd")&amp;"-"&amp;TEXT(tbl_견적[[#This Row],[일렬번호]],"00")</f>
        <v>EX250728-02</v>
      </c>
      <c r="D171" s="462" t="s">
        <v>236</v>
      </c>
      <c r="E171" s="462" t="s">
        <v>7477</v>
      </c>
      <c r="F171" s="462" t="s">
        <v>8999</v>
      </c>
      <c r="G171" s="462" t="s">
        <v>9001</v>
      </c>
      <c r="H171" s="138">
        <v>3</v>
      </c>
      <c r="I171" s="463">
        <v>510</v>
      </c>
      <c r="J171" s="499">
        <f t="shared" si="22"/>
        <v>1530</v>
      </c>
      <c r="K171" s="208">
        <f>견적!$J171*1.1</f>
        <v>1683.0000000000002</v>
      </c>
      <c r="L171" s="445" t="s">
        <v>383</v>
      </c>
    </row>
    <row r="172" spans="1:12">
      <c r="A172" s="461">
        <v>45866</v>
      </c>
      <c r="B172" s="478">
        <v>2</v>
      </c>
      <c r="C172" s="472" t="str">
        <f>"EX"&amp;TEXT(tbl_견적[[#This Row],[견적일]],"yymmdd")&amp;"-"&amp;TEXT(tbl_견적[[#This Row],[일렬번호]],"00")</f>
        <v>EX250728-02</v>
      </c>
      <c r="D172" s="462" t="s">
        <v>236</v>
      </c>
      <c r="E172" s="462" t="s">
        <v>7477</v>
      </c>
      <c r="F172" s="462" t="s">
        <v>9000</v>
      </c>
      <c r="G172" s="462" t="s">
        <v>9001</v>
      </c>
      <c r="H172" s="138">
        <v>5</v>
      </c>
      <c r="I172" s="463">
        <v>710</v>
      </c>
      <c r="J172" s="499">
        <f t="shared" si="22"/>
        <v>3550</v>
      </c>
      <c r="K172" s="208">
        <f>견적!$J172*1.1</f>
        <v>3905.0000000000005</v>
      </c>
      <c r="L172" s="445" t="s">
        <v>383</v>
      </c>
    </row>
    <row r="173" spans="1:12">
      <c r="A173" s="461">
        <v>45867</v>
      </c>
      <c r="B173" s="478">
        <v>1</v>
      </c>
      <c r="C173" s="472" t="str">
        <f>"EX"&amp;TEXT(tbl_견적[[#This Row],[견적일]],"yymmdd")&amp;"-"&amp;TEXT(tbl_견적[[#This Row],[일렬번호]],"00")</f>
        <v>EX250729-01</v>
      </c>
      <c r="D173" s="462" t="s">
        <v>9016</v>
      </c>
      <c r="E173" s="462" t="s">
        <v>8121</v>
      </c>
      <c r="F173" s="462" t="s">
        <v>108</v>
      </c>
      <c r="G173" s="462" t="s">
        <v>9014</v>
      </c>
      <c r="H173" s="462">
        <v>1</v>
      </c>
      <c r="I173" s="463">
        <v>300000</v>
      </c>
      <c r="J173" s="499">
        <f t="shared" ref="J173:J174" si="23">H173*I173</f>
        <v>300000</v>
      </c>
      <c r="K173" s="208">
        <f>견적!$J173*1.1</f>
        <v>330000</v>
      </c>
      <c r="L173" s="466" t="s">
        <v>9017</v>
      </c>
    </row>
    <row r="174" spans="1:12">
      <c r="A174" s="461">
        <v>45868</v>
      </c>
      <c r="B174" s="478">
        <v>1</v>
      </c>
      <c r="C174" s="472" t="str">
        <f>"EX"&amp;TEXT(tbl_견적[[#This Row],[견적일]],"yymmdd")&amp;"-"&amp;TEXT(tbl_견적[[#This Row],[일렬번호]],"00")</f>
        <v>EX250730-01</v>
      </c>
      <c r="D174" s="462" t="s">
        <v>8717</v>
      </c>
      <c r="E174" s="462" t="s">
        <v>8067</v>
      </c>
      <c r="F174" s="462" t="s">
        <v>7464</v>
      </c>
      <c r="G174" s="462" t="s">
        <v>8280</v>
      </c>
      <c r="H174" s="462">
        <v>1</v>
      </c>
      <c r="I174" s="463">
        <v>200000</v>
      </c>
      <c r="J174" s="502">
        <f t="shared" si="23"/>
        <v>200000</v>
      </c>
      <c r="K174" s="465">
        <f>견적!$J174*1.1</f>
        <v>220000.00000000003</v>
      </c>
      <c r="L174" s="466" t="s">
        <v>383</v>
      </c>
    </row>
    <row r="175" spans="1:12">
      <c r="A175" s="421">
        <v>45869</v>
      </c>
      <c r="B175" s="478">
        <v>1</v>
      </c>
      <c r="C175" s="151" t="str">
        <f>"EX"&amp;TEXT(tbl_견적[[#This Row],[견적일]],"yymmdd")&amp;"-"&amp;TEXT(tbl_견적[[#This Row],[일렬번호]],"00")</f>
        <v>EX250731-01</v>
      </c>
      <c r="D175" s="138" t="s">
        <v>233</v>
      </c>
      <c r="E175" s="138" t="s">
        <v>8067</v>
      </c>
      <c r="F175" s="138" t="s">
        <v>7464</v>
      </c>
      <c r="G175" s="138" t="s">
        <v>9029</v>
      </c>
      <c r="H175" s="138">
        <v>1</v>
      </c>
      <c r="I175" s="139">
        <v>300000</v>
      </c>
      <c r="J175" s="499">
        <f>H175*I175</f>
        <v>300000</v>
      </c>
      <c r="K175" s="208">
        <f>견적!$J175*1.1</f>
        <v>330000</v>
      </c>
      <c r="L175" s="445"/>
    </row>
    <row r="176" spans="1:12">
      <c r="A176" s="461">
        <v>45870</v>
      </c>
      <c r="B176" s="478">
        <v>1</v>
      </c>
      <c r="C176" s="472" t="str">
        <f>"EX"&amp;TEXT(tbl_견적[[#This Row],[견적일]],"yymmdd")&amp;"-"&amp;TEXT(tbl_견적[[#This Row],[일렬번호]],"00")</f>
        <v>EX250801-01</v>
      </c>
      <c r="D176" s="462" t="s">
        <v>9030</v>
      </c>
      <c r="E176" s="462" t="s">
        <v>8067</v>
      </c>
      <c r="F176" s="462" t="s">
        <v>9037</v>
      </c>
      <c r="G176" s="462" t="s">
        <v>9038</v>
      </c>
      <c r="H176" s="462">
        <v>1</v>
      </c>
      <c r="I176" s="463">
        <v>250000</v>
      </c>
      <c r="J176" s="502">
        <f>H176*I176</f>
        <v>250000</v>
      </c>
      <c r="K176" s="465">
        <f>견적!$J176*1.1</f>
        <v>275000</v>
      </c>
      <c r="L176" s="466" t="s">
        <v>9039</v>
      </c>
    </row>
    <row r="177" spans="1:12">
      <c r="A177" s="421">
        <v>45870</v>
      </c>
      <c r="B177" s="150">
        <v>1</v>
      </c>
      <c r="C177" s="151" t="str">
        <f>"EX"&amp;TEXT(tbl_견적[[#This Row],[견적일]],"yymmdd")&amp;"-"&amp;TEXT(tbl_견적[[#This Row],[일렬번호]],"00")</f>
        <v>EX250801-01</v>
      </c>
      <c r="D177" s="138" t="s">
        <v>9030</v>
      </c>
      <c r="E177" s="138" t="s">
        <v>8067</v>
      </c>
      <c r="F177" s="138" t="s">
        <v>9040</v>
      </c>
      <c r="G177" s="138" t="s">
        <v>9041</v>
      </c>
      <c r="H177" s="138">
        <v>1</v>
      </c>
      <c r="I177" s="139">
        <v>100000</v>
      </c>
      <c r="J177" s="499">
        <f>H177*I177</f>
        <v>100000</v>
      </c>
      <c r="K177" s="208">
        <f>견적!$J177*1.1</f>
        <v>110000.00000000001</v>
      </c>
      <c r="L177" s="445" t="s">
        <v>9039</v>
      </c>
    </row>
    <row r="178" spans="1:12">
      <c r="A178" s="461">
        <v>45889</v>
      </c>
      <c r="B178" s="478">
        <f>IF(MONTH(A177)=MONTH(견적!$A178),IF(AND(A177=견적!$A178,D177=tbl_견적[[#This Row],[발주처]]),B177,B177+1),1)</f>
        <v>2</v>
      </c>
      <c r="C178" s="472" t="str">
        <f>"EX"&amp;TEXT(tbl_견적[[#This Row],[견적일]],"yymmdd")&amp;"-"&amp;TEXT(tbl_견적[[#This Row],[일렬번호]],"00")</f>
        <v>EX250820-02</v>
      </c>
      <c r="D178" s="462" t="s">
        <v>247</v>
      </c>
      <c r="E178" s="462" t="s">
        <v>8035</v>
      </c>
      <c r="F178" s="462" t="s">
        <v>7706</v>
      </c>
      <c r="G178" s="462" t="s">
        <v>168</v>
      </c>
      <c r="H178" s="462">
        <v>3</v>
      </c>
      <c r="I178" s="463">
        <v>6982000</v>
      </c>
      <c r="J178" s="502">
        <f t="shared" ref="J178" si="24">H178*I178</f>
        <v>20946000</v>
      </c>
      <c r="K178" s="465">
        <f>견적!$J178*1.1</f>
        <v>23040600</v>
      </c>
      <c r="L178" s="473" t="s">
        <v>383</v>
      </c>
    </row>
    <row r="179" spans="1:12">
      <c r="A179" s="527">
        <v>45889</v>
      </c>
      <c r="B179" s="528">
        <v>3</v>
      </c>
      <c r="C179" s="529" t="str">
        <f>"EX"&amp;TEXT(tbl_견적[[#This Row],[견적일]],"yymmdd")&amp;"-"&amp;TEXT(tbl_견적[[#This Row],[일렬번호]],"00")</f>
        <v>EX250820-03</v>
      </c>
      <c r="D179" s="530" t="s">
        <v>9059</v>
      </c>
      <c r="E179" s="530" t="s">
        <v>8035</v>
      </c>
      <c r="F179" s="530" t="s">
        <v>9060</v>
      </c>
      <c r="G179" s="530" t="s">
        <v>9061</v>
      </c>
      <c r="H179" s="530">
        <v>1</v>
      </c>
      <c r="I179" s="531">
        <v>3000000</v>
      </c>
      <c r="J179" s="532">
        <f t="shared" ref="J179:J184" si="25">H179*I179</f>
        <v>3000000</v>
      </c>
      <c r="K179" s="533">
        <f>견적!$J179*1.1</f>
        <v>3300000.0000000005</v>
      </c>
      <c r="L179" s="534" t="s">
        <v>9062</v>
      </c>
    </row>
    <row r="180" spans="1:12">
      <c r="A180" s="542">
        <v>45889</v>
      </c>
      <c r="B180" s="528">
        <v>4</v>
      </c>
      <c r="C180" s="543" t="str">
        <f>"EX"&amp;TEXT(tbl_견적[[#This Row],[견적일]],"yymmdd")&amp;"-"&amp;TEXT(tbl_견적[[#This Row],[일렬번호]],"00")</f>
        <v>EX250820-04</v>
      </c>
      <c r="D180" s="544" t="s">
        <v>142</v>
      </c>
      <c r="E180" s="544" t="s">
        <v>9065</v>
      </c>
      <c r="F180" s="544" t="s">
        <v>7464</v>
      </c>
      <c r="G180" s="544" t="s">
        <v>9066</v>
      </c>
      <c r="H180" s="544">
        <v>1</v>
      </c>
      <c r="I180" s="545">
        <v>100000</v>
      </c>
      <c r="J180" s="546">
        <f t="shared" si="25"/>
        <v>100000</v>
      </c>
      <c r="K180" s="547">
        <f>견적!$J180*1.1</f>
        <v>110000.00000000001</v>
      </c>
      <c r="L180" s="534" t="s">
        <v>383</v>
      </c>
    </row>
    <row r="181" spans="1:12">
      <c r="A181" s="535">
        <v>45889</v>
      </c>
      <c r="B181" s="536">
        <v>4</v>
      </c>
      <c r="C181" s="537" t="str">
        <f>"EX"&amp;TEXT(tbl_견적[[#This Row],[견적일]],"yymmdd")&amp;"-"&amp;TEXT(tbl_견적[[#This Row],[일렬번호]],"00")</f>
        <v>EX250820-04</v>
      </c>
      <c r="D181" s="544" t="s">
        <v>142</v>
      </c>
      <c r="E181" s="538" t="s">
        <v>9067</v>
      </c>
      <c r="F181" s="538" t="s">
        <v>8551</v>
      </c>
      <c r="G181" s="538" t="s">
        <v>8708</v>
      </c>
      <c r="H181" s="538">
        <v>1</v>
      </c>
      <c r="I181" s="539">
        <v>158000</v>
      </c>
      <c r="J181" s="540">
        <f t="shared" si="25"/>
        <v>158000</v>
      </c>
      <c r="K181" s="541">
        <f>견적!$J181*1.1</f>
        <v>173800</v>
      </c>
      <c r="L181" s="534" t="s">
        <v>383</v>
      </c>
    </row>
    <row r="182" spans="1:12">
      <c r="A182" s="421">
        <v>45889</v>
      </c>
      <c r="B182" s="150">
        <v>5</v>
      </c>
      <c r="C182" s="151" t="str">
        <f>"EX"&amp;TEXT(tbl_견적[[#This Row],[견적일]],"yymmdd")&amp;"-"&amp;TEXT(tbl_견적[[#This Row],[일렬번호]],"00")</f>
        <v>EX250820-05</v>
      </c>
      <c r="D182" s="138" t="s">
        <v>199</v>
      </c>
      <c r="E182" s="138" t="s">
        <v>8067</v>
      </c>
      <c r="F182" s="138" t="s">
        <v>7464</v>
      </c>
      <c r="G182" s="138" t="s">
        <v>9070</v>
      </c>
      <c r="H182" s="138">
        <v>1</v>
      </c>
      <c r="I182" s="139">
        <v>150000</v>
      </c>
      <c r="J182" s="499">
        <f t="shared" si="25"/>
        <v>150000</v>
      </c>
      <c r="K182" s="208">
        <f>견적!$J182*1.1</f>
        <v>165000</v>
      </c>
      <c r="L182" s="534" t="s">
        <v>383</v>
      </c>
    </row>
    <row r="183" spans="1:12" ht="49.5">
      <c r="A183" s="542">
        <v>45891</v>
      </c>
      <c r="B183" s="552">
        <v>1</v>
      </c>
      <c r="C183" s="543" t="str">
        <f>"EX"&amp;TEXT(tbl_견적[[#This Row],[견적일]],"yymmdd")&amp;"-"&amp;TEXT(tbl_견적[[#This Row],[일렬번호]],"00")</f>
        <v>EX250822-01</v>
      </c>
      <c r="D183" s="544" t="s">
        <v>9059</v>
      </c>
      <c r="E183" s="544" t="s">
        <v>9082</v>
      </c>
      <c r="F183" s="544" t="s">
        <v>9080</v>
      </c>
      <c r="G183" s="553" t="s">
        <v>9083</v>
      </c>
      <c r="H183" s="544">
        <v>1</v>
      </c>
      <c r="I183" s="545">
        <v>6266000</v>
      </c>
      <c r="J183" s="556">
        <f t="shared" si="25"/>
        <v>6266000</v>
      </c>
      <c r="K183" s="547">
        <f>견적!$J183*1.1</f>
        <v>6892600.0000000009</v>
      </c>
      <c r="L183" s="473" t="s">
        <v>9081</v>
      </c>
    </row>
    <row r="184" spans="1:12" ht="66">
      <c r="A184" s="542">
        <v>45908</v>
      </c>
      <c r="B184" s="552">
        <v>1</v>
      </c>
      <c r="C184" s="543" t="str">
        <f>"EX"&amp;TEXT(tbl_견적[[#This Row],[견적일]],"yymmdd")&amp;"-"&amp;TEXT(tbl_견적[[#This Row],[일렬번호]],"00")</f>
        <v>EX250908-01</v>
      </c>
      <c r="D184" s="544" t="s">
        <v>9099</v>
      </c>
      <c r="E184" s="544" t="s">
        <v>8035</v>
      </c>
      <c r="F184" s="544" t="s">
        <v>9105</v>
      </c>
      <c r="G184" s="544" t="s">
        <v>8255</v>
      </c>
      <c r="H184" s="544">
        <v>1</v>
      </c>
      <c r="I184" s="545">
        <v>5300000</v>
      </c>
      <c r="J184" s="556">
        <f t="shared" si="25"/>
        <v>5300000</v>
      </c>
      <c r="K184" s="547">
        <f>견적!$J184*1.1</f>
        <v>5830000.0000000009</v>
      </c>
      <c r="L184" s="555" t="s">
        <v>9106</v>
      </c>
    </row>
    <row r="185" spans="1:12">
      <c r="A185" s="564">
        <v>45895</v>
      </c>
      <c r="B185" s="602">
        <v>1</v>
      </c>
      <c r="C185" s="603" t="s">
        <v>9125</v>
      </c>
      <c r="D185" s="574" t="s">
        <v>8757</v>
      </c>
      <c r="E185" s="574" t="s">
        <v>8121</v>
      </c>
      <c r="F185" s="574" t="s">
        <v>108</v>
      </c>
      <c r="G185" s="574" t="s">
        <v>9126</v>
      </c>
      <c r="H185" s="574">
        <v>1</v>
      </c>
      <c r="I185" s="604">
        <v>200000</v>
      </c>
      <c r="J185" s="556">
        <f t="shared" ref="J185:J187" si="26">H185*I185</f>
        <v>200000</v>
      </c>
      <c r="K185" s="547">
        <f>견적!$J185*1.1</f>
        <v>220000.00000000003</v>
      </c>
      <c r="L185" s="606" t="s">
        <v>9131</v>
      </c>
    </row>
    <row r="186" spans="1:12">
      <c r="A186" s="564">
        <v>45895</v>
      </c>
      <c r="B186" s="602">
        <v>1</v>
      </c>
      <c r="C186" s="603" t="s">
        <v>9127</v>
      </c>
      <c r="D186" s="574" t="s">
        <v>8757</v>
      </c>
      <c r="E186" s="574" t="s">
        <v>8121</v>
      </c>
      <c r="F186" s="574" t="s">
        <v>108</v>
      </c>
      <c r="G186" s="574" t="s">
        <v>9128</v>
      </c>
      <c r="H186" s="574">
        <v>1</v>
      </c>
      <c r="I186" s="604">
        <v>200000</v>
      </c>
      <c r="J186" s="556">
        <f t="shared" si="26"/>
        <v>200000</v>
      </c>
      <c r="K186" s="547">
        <f>견적!$J186*1.1</f>
        <v>220000.00000000003</v>
      </c>
      <c r="L186" s="606" t="s">
        <v>9132</v>
      </c>
    </row>
    <row r="187" spans="1:12">
      <c r="A187" s="564">
        <v>45895</v>
      </c>
      <c r="B187" s="602">
        <v>1</v>
      </c>
      <c r="C187" s="603" t="s">
        <v>9097</v>
      </c>
      <c r="D187" s="574" t="s">
        <v>8757</v>
      </c>
      <c r="E187" s="574" t="s">
        <v>8121</v>
      </c>
      <c r="F187" s="574" t="s">
        <v>108</v>
      </c>
      <c r="G187" s="574" t="s">
        <v>9129</v>
      </c>
      <c r="H187" s="574">
        <v>1</v>
      </c>
      <c r="I187" s="604">
        <v>200000</v>
      </c>
      <c r="J187" s="556">
        <f t="shared" si="26"/>
        <v>200000</v>
      </c>
      <c r="K187" s="547">
        <f>견적!$J187*1.1</f>
        <v>220000.00000000003</v>
      </c>
      <c r="L187" s="606" t="s">
        <v>9133</v>
      </c>
    </row>
    <row r="188" spans="1:12">
      <c r="A188" s="564">
        <v>45911</v>
      </c>
      <c r="B188" s="552">
        <v>1</v>
      </c>
      <c r="C188" s="565" t="str">
        <f>"EX"&amp;TEXT(tbl_견적[[#This Row],[견적일]],"yymmdd")&amp;"-"&amp;TEXT(tbl_견적[[#This Row],[일렬번호]],"00")</f>
        <v>EX250911-01</v>
      </c>
      <c r="D188" s="566" t="s">
        <v>236</v>
      </c>
      <c r="E188" s="566" t="s">
        <v>9113</v>
      </c>
      <c r="F188" s="566" t="s">
        <v>9114</v>
      </c>
      <c r="G188" s="566" t="s">
        <v>9115</v>
      </c>
      <c r="H188" s="566">
        <v>9</v>
      </c>
      <c r="I188" s="570">
        <v>35</v>
      </c>
      <c r="J188" s="567">
        <f t="shared" ref="J188:J191" si="27">H188*I188</f>
        <v>315</v>
      </c>
      <c r="K188" s="568">
        <f>견적!$J188*1.1</f>
        <v>346.5</v>
      </c>
      <c r="L188" s="569"/>
    </row>
    <row r="189" spans="1:12">
      <c r="A189" s="557">
        <v>45911</v>
      </c>
      <c r="B189" s="558">
        <v>1</v>
      </c>
      <c r="C189" s="559" t="str">
        <f>"EX"&amp;TEXT(tbl_견적[[#This Row],[견적일]],"yymmdd")&amp;"-"&amp;TEXT(tbl_견적[[#This Row],[일렬번호]],"00")</f>
        <v>EX250911-01</v>
      </c>
      <c r="D189" s="560" t="s">
        <v>236</v>
      </c>
      <c r="E189" s="560" t="s">
        <v>9113</v>
      </c>
      <c r="F189" s="560" t="s">
        <v>9116</v>
      </c>
      <c r="G189" s="560" t="s">
        <v>9115</v>
      </c>
      <c r="H189" s="560">
        <v>9</v>
      </c>
      <c r="I189" s="571">
        <v>17</v>
      </c>
      <c r="J189" s="561">
        <f t="shared" si="27"/>
        <v>153</v>
      </c>
      <c r="K189" s="562">
        <f>견적!$J189*1.1</f>
        <v>168.3</v>
      </c>
      <c r="L189" s="563"/>
    </row>
    <row r="190" spans="1:12">
      <c r="A190" s="564">
        <v>45918</v>
      </c>
      <c r="B190" s="558">
        <v>1</v>
      </c>
      <c r="C190" s="603" t="str">
        <f>"EX"&amp;TEXT(tbl_견적[[#This Row],[견적일]],"yymmdd")&amp;"-"&amp;TEXT(tbl_견적[[#This Row],[일렬번호]],"00")</f>
        <v>EX250918-01</v>
      </c>
      <c r="D190" s="560" t="s">
        <v>199</v>
      </c>
      <c r="E190" s="574" t="s">
        <v>7576</v>
      </c>
      <c r="F190" s="574" t="s">
        <v>275</v>
      </c>
      <c r="G190" s="574" t="s">
        <v>9134</v>
      </c>
      <c r="H190" s="574">
        <v>1</v>
      </c>
      <c r="I190" s="604">
        <v>150000</v>
      </c>
      <c r="J190" s="607">
        <f t="shared" si="27"/>
        <v>150000</v>
      </c>
      <c r="K190" s="605">
        <f>견적!$J190*1.1</f>
        <v>165000</v>
      </c>
      <c r="L190" s="569" t="s">
        <v>9130</v>
      </c>
    </row>
    <row r="191" spans="1:12">
      <c r="A191" s="564">
        <v>45929</v>
      </c>
      <c r="B191" s="602">
        <v>1</v>
      </c>
      <c r="C191" s="603" t="str">
        <f>"EX"&amp;TEXT(tbl_견적[[#This Row],[견적일]],"yymmdd")&amp;"-"&amp;TEXT(tbl_견적[[#This Row],[일렬번호]],"00")</f>
        <v>EX250929-01</v>
      </c>
      <c r="D191" s="574" t="s">
        <v>194</v>
      </c>
      <c r="E191" s="574" t="s">
        <v>8035</v>
      </c>
      <c r="F191" s="574" t="s">
        <v>9143</v>
      </c>
      <c r="G191" s="574" t="s">
        <v>9141</v>
      </c>
      <c r="H191" s="574">
        <v>1</v>
      </c>
      <c r="I191" s="604">
        <v>4354000</v>
      </c>
      <c r="J191" s="607">
        <f t="shared" si="27"/>
        <v>4354000</v>
      </c>
      <c r="K191" s="605">
        <f>견적!$J191*1.1</f>
        <v>4789400</v>
      </c>
      <c r="L191" s="569" t="s">
        <v>9142</v>
      </c>
    </row>
    <row r="192" spans="1:12">
      <c r="A192" s="557">
        <v>45958</v>
      </c>
      <c r="B192" s="150">
        <v>1</v>
      </c>
      <c r="C192" s="151" t="str">
        <f>"EX"&amp;TEXT(tbl_견적[[#This Row],[견적일]],"yymmdd")&amp;"-"&amp;TEXT(tbl_견적[[#This Row],[일렬번호]],"00")</f>
        <v>EX251028-01</v>
      </c>
      <c r="D192" s="138" t="s">
        <v>8265</v>
      </c>
      <c r="E192" s="138" t="s">
        <v>8035</v>
      </c>
      <c r="F192" s="138" t="s">
        <v>9158</v>
      </c>
      <c r="G192" s="138" t="s">
        <v>9160</v>
      </c>
      <c r="H192" s="138">
        <v>3</v>
      </c>
      <c r="I192" s="139">
        <v>3939000</v>
      </c>
      <c r="J192" s="499">
        <f t="shared" ref="J192" si="28">H192*I192</f>
        <v>11817000</v>
      </c>
      <c r="K192" s="208">
        <f>견적!$J192*1.1</f>
        <v>12998700.000000002</v>
      </c>
      <c r="L192" s="445"/>
    </row>
    <row r="193" spans="1:12">
      <c r="A193" s="557">
        <v>45958</v>
      </c>
      <c r="B193" s="150">
        <v>1</v>
      </c>
      <c r="C193" s="151" t="str">
        <f>"EX"&amp;TEXT(tbl_견적[[#This Row],[견적일]],"yymmdd")&amp;"-"&amp;TEXT(tbl_견적[[#This Row],[일렬번호]],"00")</f>
        <v>EX251028-01</v>
      </c>
      <c r="D193" s="138" t="s">
        <v>8265</v>
      </c>
      <c r="E193" s="138" t="s">
        <v>8140</v>
      </c>
      <c r="F193" s="138" t="s">
        <v>9159</v>
      </c>
      <c r="G193" s="138" t="s">
        <v>8708</v>
      </c>
      <c r="H193" s="138">
        <v>3</v>
      </c>
      <c r="I193" s="139">
        <v>321000</v>
      </c>
      <c r="J193" s="499">
        <f t="shared" ref="J193" si="29">H193*I193</f>
        <v>963000</v>
      </c>
      <c r="K193" s="208">
        <f>견적!$J193*1.1</f>
        <v>1059300</v>
      </c>
      <c r="L193" s="445"/>
    </row>
    <row r="194" spans="1:12">
      <c r="A194" s="564">
        <v>45931</v>
      </c>
      <c r="B194" s="150">
        <v>1</v>
      </c>
      <c r="C194" s="603" t="str">
        <f>"EX"&amp;TEXT(tbl_견적[[#This Row],[견적일]],"yymmdd")&amp;"-"&amp;TEXT(tbl_견적[[#This Row],[일렬번호]],"00")</f>
        <v>EX251001-01</v>
      </c>
      <c r="D194" s="574" t="s">
        <v>128</v>
      </c>
      <c r="E194" s="574" t="s">
        <v>7576</v>
      </c>
      <c r="F194" s="574" t="s">
        <v>275</v>
      </c>
      <c r="G194" s="574" t="s">
        <v>8669</v>
      </c>
      <c r="H194" s="574">
        <v>1</v>
      </c>
      <c r="I194" s="604">
        <v>1200000</v>
      </c>
      <c r="J194" s="607">
        <f t="shared" ref="J194:J199" si="30">H194*I194</f>
        <v>1200000</v>
      </c>
      <c r="K194" s="605">
        <f>견적!$J194*1.1</f>
        <v>1320000</v>
      </c>
      <c r="L194" s="569" t="s">
        <v>9161</v>
      </c>
    </row>
    <row r="195" spans="1:12">
      <c r="A195" s="557">
        <v>45958</v>
      </c>
      <c r="B195" s="150">
        <v>2</v>
      </c>
      <c r="C195" s="151" t="str">
        <f>"EX"&amp;TEXT(tbl_견적[[#This Row],[견적일]],"yymmdd")&amp;"-"&amp;TEXT(tbl_견적[[#This Row],[일렬번호]],"00")</f>
        <v>EX251028-02</v>
      </c>
      <c r="D195" s="138" t="s">
        <v>236</v>
      </c>
      <c r="E195" s="574" t="s">
        <v>7576</v>
      </c>
      <c r="F195" s="574" t="s">
        <v>275</v>
      </c>
      <c r="G195" s="574" t="s">
        <v>8669</v>
      </c>
      <c r="H195" s="574">
        <v>1</v>
      </c>
      <c r="I195" s="604">
        <v>1200000</v>
      </c>
      <c r="J195" s="499">
        <f t="shared" si="30"/>
        <v>1200000</v>
      </c>
      <c r="K195" s="208">
        <f>견적!$J195*1.1</f>
        <v>1320000</v>
      </c>
      <c r="L195" s="445" t="s">
        <v>9162</v>
      </c>
    </row>
    <row r="196" spans="1:12">
      <c r="A196" s="564">
        <v>45958</v>
      </c>
      <c r="B196" s="602">
        <v>3</v>
      </c>
      <c r="C196" s="603" t="str">
        <f>"EX"&amp;TEXT(tbl_견적[[#This Row],[견적일]],"yymmdd")&amp;"-"&amp;TEXT(tbl_견적[[#This Row],[일렬번호]],"00")</f>
        <v>EX251028-03</v>
      </c>
      <c r="D196" s="574" t="s">
        <v>9163</v>
      </c>
      <c r="E196" s="574" t="s">
        <v>8035</v>
      </c>
      <c r="F196" s="574" t="s">
        <v>9169</v>
      </c>
      <c r="G196" s="574" t="s">
        <v>8759</v>
      </c>
      <c r="H196" s="574">
        <v>4</v>
      </c>
      <c r="I196" s="604">
        <v>3406000</v>
      </c>
      <c r="J196" s="607">
        <f t="shared" si="30"/>
        <v>13624000</v>
      </c>
      <c r="K196" s="605">
        <f>견적!$J196*1.1</f>
        <v>14986400.000000002</v>
      </c>
      <c r="L196" s="569" t="s">
        <v>9170</v>
      </c>
    </row>
    <row r="197" spans="1:12">
      <c r="A197" s="564">
        <v>45964</v>
      </c>
      <c r="B197" s="602">
        <v>1</v>
      </c>
      <c r="C197" s="603" t="str">
        <f>"EX"&amp;TEXT(tbl_견적[[#This Row],[견적일]],"yymmdd")&amp;"-"&amp;TEXT(tbl_견적[[#This Row],[일렬번호]],"00")</f>
        <v>EX251103-01</v>
      </c>
      <c r="D197" s="574" t="s">
        <v>245</v>
      </c>
      <c r="E197" s="574" t="s">
        <v>8035</v>
      </c>
      <c r="F197" s="574" t="s">
        <v>9221</v>
      </c>
      <c r="G197" s="574" t="s">
        <v>8759</v>
      </c>
      <c r="H197" s="574">
        <v>4</v>
      </c>
      <c r="I197" s="604">
        <v>3200000</v>
      </c>
      <c r="J197" s="607">
        <f t="shared" si="30"/>
        <v>12800000</v>
      </c>
      <c r="K197" s="605">
        <f>견적!$J197*1.1</f>
        <v>14080000.000000002</v>
      </c>
      <c r="L197" s="569" t="s">
        <v>9222</v>
      </c>
    </row>
    <row r="198" spans="1:12">
      <c r="A198" s="564">
        <v>45964</v>
      </c>
      <c r="B198" s="602">
        <v>1</v>
      </c>
      <c r="C198" s="603" t="str">
        <f>"EX"&amp;TEXT(tbl_견적[[#This Row],[견적일]],"yymmdd")&amp;"-"&amp;TEXT(tbl_견적[[#This Row],[일렬번호]],"00")</f>
        <v>EX251103-01</v>
      </c>
      <c r="D198" s="574" t="s">
        <v>8528</v>
      </c>
      <c r="E198" s="574" t="s">
        <v>8420</v>
      </c>
      <c r="F198" s="574" t="s">
        <v>9225</v>
      </c>
      <c r="G198" s="574" t="s">
        <v>9226</v>
      </c>
      <c r="H198" s="574">
        <v>1</v>
      </c>
      <c r="I198" s="692">
        <v>4927</v>
      </c>
      <c r="J198" s="693">
        <f t="shared" si="30"/>
        <v>4927</v>
      </c>
      <c r="K198" s="693">
        <v>4927</v>
      </c>
      <c r="L198" s="569" t="s">
        <v>9227</v>
      </c>
    </row>
    <row r="199" spans="1:12">
      <c r="A199" s="564">
        <v>45965</v>
      </c>
      <c r="B199" s="602">
        <v>1</v>
      </c>
      <c r="C199" s="603" t="str">
        <f>"EX"&amp;TEXT(tbl_견적[[#This Row],[견적일]],"yymmdd")&amp;"-"&amp;TEXT(tbl_견적[[#This Row],[일렬번호]],"00")</f>
        <v>EX251104-01</v>
      </c>
      <c r="D199" s="574" t="s">
        <v>8471</v>
      </c>
      <c r="E199" s="574" t="s">
        <v>7576</v>
      </c>
      <c r="F199" s="574" t="s">
        <v>9228</v>
      </c>
      <c r="G199" s="574" t="s">
        <v>9229</v>
      </c>
      <c r="H199" s="574">
        <v>1</v>
      </c>
      <c r="I199" s="575">
        <v>100000</v>
      </c>
      <c r="J199" s="607">
        <f t="shared" si="30"/>
        <v>100000</v>
      </c>
      <c r="K199" s="605">
        <f>견적!$J199*1.1</f>
        <v>110000.00000000001</v>
      </c>
      <c r="L199" s="569" t="s">
        <v>9230</v>
      </c>
    </row>
    <row r="200" spans="1:12">
      <c r="A200" s="564">
        <v>45968</v>
      </c>
      <c r="B200" s="602">
        <v>1</v>
      </c>
      <c r="C200" s="603" t="str">
        <f>"EX"&amp;TEXT(tbl_견적[[#This Row],[견적일]],"yymmdd")&amp;"-"&amp;TEXT(tbl_견적[[#This Row],[일렬번호]],"00")</f>
        <v>EX251107-01</v>
      </c>
      <c r="D200" s="574" t="s">
        <v>8057</v>
      </c>
      <c r="E200" s="574" t="s">
        <v>9244</v>
      </c>
      <c r="F200" s="574" t="s">
        <v>9245</v>
      </c>
      <c r="G200" s="574" t="s">
        <v>9246</v>
      </c>
      <c r="H200" s="574">
        <v>2</v>
      </c>
      <c r="I200" s="604">
        <v>550000</v>
      </c>
      <c r="J200" s="607">
        <f>H200*I200</f>
        <v>1100000</v>
      </c>
      <c r="K200" s="605">
        <f>견적!$J200*1.1</f>
        <v>1210000</v>
      </c>
      <c r="L200" s="569" t="s">
        <v>9247</v>
      </c>
    </row>
    <row r="201" spans="1:12">
      <c r="A201" s="564">
        <v>45968</v>
      </c>
      <c r="B201" s="602">
        <v>2</v>
      </c>
      <c r="C201" s="603" t="str">
        <f>"EX"&amp;TEXT(tbl_견적[[#This Row],[견적일]],"yymmdd")&amp;"-"&amp;TEXT(tbl_견적[[#This Row],[일렬번호]],"00")</f>
        <v>EX251107-02</v>
      </c>
      <c r="D201" s="574" t="s">
        <v>9261</v>
      </c>
      <c r="E201" s="574" t="s">
        <v>8035</v>
      </c>
      <c r="F201" s="574" t="s">
        <v>9260</v>
      </c>
      <c r="G201" s="574" t="s">
        <v>8213</v>
      </c>
      <c r="H201" s="574">
        <v>1</v>
      </c>
      <c r="I201" s="604">
        <v>3000000</v>
      </c>
      <c r="J201" s="607">
        <f>H201*I201</f>
        <v>3000000</v>
      </c>
      <c r="K201" s="605">
        <f>견적!$J201*1.1</f>
        <v>3300000.0000000005</v>
      </c>
      <c r="L201" s="569" t="s">
        <v>9256</v>
      </c>
    </row>
    <row r="202" spans="1:12">
      <c r="A202" s="564">
        <v>45978</v>
      </c>
      <c r="B202" s="602">
        <v>1</v>
      </c>
      <c r="C202" s="603" t="str">
        <f>"EX"&amp;TEXT(tbl_견적[[#This Row],[견적일]],"yymmdd")&amp;"-"&amp;TEXT(tbl_견적[[#This Row],[일렬번호]],"00")</f>
        <v>EX251117-01</v>
      </c>
      <c r="D202" s="574" t="s">
        <v>140</v>
      </c>
      <c r="E202" s="574" t="s">
        <v>7576</v>
      </c>
      <c r="F202" s="574" t="s">
        <v>9277</v>
      </c>
      <c r="G202" s="574" t="s">
        <v>9278</v>
      </c>
      <c r="H202" s="574">
        <v>1</v>
      </c>
      <c r="I202" s="604">
        <v>600000</v>
      </c>
      <c r="J202" s="607">
        <f>H202*I202</f>
        <v>600000</v>
      </c>
      <c r="K202" s="605">
        <f>견적!$J202*1.1</f>
        <v>660000</v>
      </c>
      <c r="L202" s="569" t="s">
        <v>9279</v>
      </c>
    </row>
    <row r="203" spans="1:12">
      <c r="A203" s="564">
        <v>45980</v>
      </c>
      <c r="B203" s="602">
        <v>1</v>
      </c>
      <c r="C203" s="603" t="str">
        <f>"EX"&amp;TEXT(tbl_견적[[#This Row],[견적일]],"yymmdd")&amp;"-"&amp;TEXT(tbl_견적[[#This Row],[일렬번호]],"00")</f>
        <v>EX251119-01</v>
      </c>
      <c r="D203" s="574" t="s">
        <v>9261</v>
      </c>
      <c r="E203" s="574" t="s">
        <v>9291</v>
      </c>
      <c r="F203" s="574" t="s">
        <v>9292</v>
      </c>
      <c r="G203" s="574" t="s">
        <v>9298</v>
      </c>
      <c r="H203" s="574">
        <v>1</v>
      </c>
      <c r="I203" s="604">
        <v>200000</v>
      </c>
      <c r="J203" s="607">
        <f>H203*I203</f>
        <v>200000</v>
      </c>
      <c r="K203" s="605">
        <f>견적!$J203*1.1</f>
        <v>220000.00000000003</v>
      </c>
      <c r="L203" s="569" t="s">
        <v>9293</v>
      </c>
    </row>
    <row r="204" spans="1:12">
      <c r="A204" s="557">
        <v>45980</v>
      </c>
      <c r="B204" s="558">
        <v>1</v>
      </c>
      <c r="C204" s="559" t="str">
        <f>"EX"&amp;TEXT(tbl_견적[[#This Row],[견적일]],"yymmdd")&amp;"-"&amp;TEXT(tbl_견적[[#This Row],[일렬번호]],"00")</f>
        <v>EX251119-01</v>
      </c>
      <c r="D204" s="560" t="s">
        <v>9261</v>
      </c>
      <c r="E204" s="560" t="s">
        <v>9291</v>
      </c>
      <c r="F204" s="560" t="s">
        <v>9292</v>
      </c>
      <c r="G204" s="560" t="s">
        <v>9294</v>
      </c>
      <c r="H204" s="560">
        <v>1</v>
      </c>
      <c r="I204" s="707">
        <v>500000</v>
      </c>
      <c r="J204" s="561">
        <f t="shared" ref="J204:J207" si="31">H204*I204</f>
        <v>500000</v>
      </c>
      <c r="K204" s="562">
        <f>견적!$J204*1.1</f>
        <v>550000</v>
      </c>
      <c r="L204" s="563" t="s">
        <v>9293</v>
      </c>
    </row>
    <row r="205" spans="1:12">
      <c r="A205" s="557">
        <v>45980</v>
      </c>
      <c r="B205" s="558">
        <v>1</v>
      </c>
      <c r="C205" s="559" t="str">
        <f>"EX"&amp;TEXT(tbl_견적[[#This Row],[견적일]],"yymmdd")&amp;"-"&amp;TEXT(tbl_견적[[#This Row],[일렬번호]],"00")</f>
        <v>EX251119-01</v>
      </c>
      <c r="D205" s="560" t="s">
        <v>9261</v>
      </c>
      <c r="E205" s="560" t="s">
        <v>9291</v>
      </c>
      <c r="F205" s="560" t="s">
        <v>9292</v>
      </c>
      <c r="G205" s="560" t="s">
        <v>9295</v>
      </c>
      <c r="H205" s="560">
        <v>1</v>
      </c>
      <c r="I205" s="707">
        <v>500000</v>
      </c>
      <c r="J205" s="561">
        <f t="shared" si="31"/>
        <v>500000</v>
      </c>
      <c r="K205" s="562">
        <f>견적!$J205*1.1</f>
        <v>550000</v>
      </c>
      <c r="L205" s="563" t="s">
        <v>9293</v>
      </c>
    </row>
    <row r="206" spans="1:12">
      <c r="A206" s="557">
        <v>45980</v>
      </c>
      <c r="B206" s="558">
        <v>1</v>
      </c>
      <c r="C206" s="559" t="str">
        <f>"EX"&amp;TEXT(tbl_견적[[#This Row],[견적일]],"yymmdd")&amp;"-"&amp;TEXT(tbl_견적[[#This Row],[일렬번호]],"00")</f>
        <v>EX251119-01</v>
      </c>
      <c r="D206" s="560" t="s">
        <v>9261</v>
      </c>
      <c r="E206" s="560" t="s">
        <v>9291</v>
      </c>
      <c r="F206" s="560" t="s">
        <v>9292</v>
      </c>
      <c r="G206" s="560" t="s">
        <v>9296</v>
      </c>
      <c r="H206" s="560">
        <v>1</v>
      </c>
      <c r="I206" s="707">
        <v>100000</v>
      </c>
      <c r="J206" s="561">
        <f t="shared" si="31"/>
        <v>100000</v>
      </c>
      <c r="K206" s="562">
        <f>견적!$J206*1.1</f>
        <v>110000.00000000001</v>
      </c>
      <c r="L206" s="563" t="s">
        <v>9293</v>
      </c>
    </row>
    <row r="207" spans="1:12">
      <c r="A207" s="557">
        <v>45980</v>
      </c>
      <c r="B207" s="558">
        <v>1</v>
      </c>
      <c r="C207" s="559" t="str">
        <f>"EX"&amp;TEXT(tbl_견적[[#This Row],[견적일]],"yymmdd")&amp;"-"&amp;TEXT(tbl_견적[[#This Row],[일렬번호]],"00")</f>
        <v>EX251119-01</v>
      </c>
      <c r="D207" s="560" t="s">
        <v>9261</v>
      </c>
      <c r="E207" s="560" t="s">
        <v>9291</v>
      </c>
      <c r="F207" s="560" t="s">
        <v>9292</v>
      </c>
      <c r="G207" s="560" t="s">
        <v>9297</v>
      </c>
      <c r="H207" s="560">
        <v>1</v>
      </c>
      <c r="I207" s="707">
        <v>300000</v>
      </c>
      <c r="J207" s="561">
        <f t="shared" si="31"/>
        <v>300000</v>
      </c>
      <c r="K207" s="562">
        <f>견적!$J207*1.1</f>
        <v>330000</v>
      </c>
      <c r="L207" s="563" t="s">
        <v>9293</v>
      </c>
    </row>
    <row r="208" spans="1:12">
      <c r="A208" s="564">
        <v>45981</v>
      </c>
      <c r="B208" s="602">
        <v>1</v>
      </c>
      <c r="C208" s="559" t="str">
        <f>"EX"&amp;TEXT(tbl_견적[[#This Row],[견적일]],"yymmdd")&amp;"-"&amp;TEXT(tbl_견적[[#This Row],[일렬번호]],"00")</f>
        <v>EX251120-01</v>
      </c>
      <c r="D208" s="574" t="s">
        <v>199</v>
      </c>
      <c r="E208" s="574" t="s">
        <v>8067</v>
      </c>
      <c r="F208" s="574" t="s">
        <v>7464</v>
      </c>
      <c r="G208" s="574" t="s">
        <v>9308</v>
      </c>
      <c r="H208" s="574">
        <v>1</v>
      </c>
      <c r="I208" s="575">
        <v>500000</v>
      </c>
      <c r="J208" s="607">
        <f>H208*I208</f>
        <v>500000</v>
      </c>
      <c r="K208" s="605">
        <f>견적!$J208*1.1</f>
        <v>550000</v>
      </c>
      <c r="L208" s="569"/>
    </row>
    <row r="209" spans="1:12" ht="82.5">
      <c r="A209" s="564">
        <v>45982</v>
      </c>
      <c r="B209" s="602">
        <v>1</v>
      </c>
      <c r="C209" s="603" t="str">
        <f>"EX"&amp;TEXT(tbl_견적[[#This Row],[견적일]],"yymmdd")&amp;"-"&amp;TEXT(tbl_견적[[#This Row],[일렬번호]],"00")</f>
        <v>EX251121-01</v>
      </c>
      <c r="D209" s="574" t="s">
        <v>9314</v>
      </c>
      <c r="E209" s="574" t="s">
        <v>8035</v>
      </c>
      <c r="F209" s="574" t="s">
        <v>7645</v>
      </c>
      <c r="G209" s="574" t="s">
        <v>9316</v>
      </c>
      <c r="H209" s="574">
        <v>4</v>
      </c>
      <c r="I209" s="604">
        <v>67500000</v>
      </c>
      <c r="J209" s="607">
        <f>H209*I209</f>
        <v>270000000</v>
      </c>
      <c r="K209" s="605">
        <f>견적!$J209*1.1</f>
        <v>297000000</v>
      </c>
      <c r="L209" s="763" t="s">
        <v>9317</v>
      </c>
    </row>
    <row r="210" spans="1:12" ht="82.5">
      <c r="A210" s="557">
        <v>45982</v>
      </c>
      <c r="B210" s="558">
        <v>2</v>
      </c>
      <c r="C210" s="559" t="str">
        <f>"EX"&amp;TEXT(tbl_견적[[#This Row],[견적일]],"yymmdd")&amp;"-"&amp;TEXT(tbl_견적[[#This Row],[일렬번호]],"00")</f>
        <v>EX251121-02</v>
      </c>
      <c r="D210" s="560" t="s">
        <v>8777</v>
      </c>
      <c r="E210" s="560" t="s">
        <v>8035</v>
      </c>
      <c r="F210" s="560" t="s">
        <v>7645</v>
      </c>
      <c r="G210" s="560" t="s">
        <v>9316</v>
      </c>
      <c r="H210" s="560">
        <v>4</v>
      </c>
      <c r="I210" s="707">
        <v>67400000</v>
      </c>
      <c r="J210" s="561">
        <f>H210*I210</f>
        <v>269600000</v>
      </c>
      <c r="K210" s="562">
        <f>견적!$J210*1.1</f>
        <v>296560000</v>
      </c>
      <c r="L210" s="764" t="s">
        <v>9317</v>
      </c>
    </row>
  </sheetData>
  <phoneticPr fontId="18" type="noConversion"/>
  <conditionalFormatting sqref="H1:H7 H11:H15 H21:H103 H106:H117 H119:H150 H152:H198 H200:H207 H209:H1048576">
    <cfRule type="expression" dxfId="31" priority="14">
      <formula>#REF!="카메라"</formula>
    </cfRule>
  </conditionalFormatting>
  <conditionalFormatting sqref="H4">
    <cfRule type="expression" dxfId="30" priority="15">
      <formula>#REF!="카메라"</formula>
    </cfRule>
  </conditionalFormatting>
  <conditionalFormatting sqref="H8">
    <cfRule type="expression" dxfId="29" priority="16">
      <formula>#REF!="카메라"</formula>
    </cfRule>
  </conditionalFormatting>
  <conditionalFormatting sqref="H9:H10 H16:H18 H27:H29">
    <cfRule type="expression" dxfId="28" priority="17">
      <formula>#REF!="카메라"</formula>
    </cfRule>
  </conditionalFormatting>
  <conditionalFormatting sqref="H104:H105">
    <cfRule type="expression" dxfId="27" priority="21">
      <formula>#REF!="카메라"</formula>
    </cfRule>
  </conditionalFormatting>
  <conditionalFormatting sqref="H118">
    <cfRule type="expression" dxfId="26" priority="4">
      <formula>$S118="카메라"</formula>
    </cfRule>
  </conditionalFormatting>
  <conditionalFormatting sqref="H151">
    <cfRule type="expression" dxfId="25" priority="3">
      <formula>$T152="카메라"</formula>
    </cfRule>
  </conditionalFormatting>
  <conditionalFormatting sqref="H199">
    <cfRule type="expression" dxfId="24" priority="2">
      <formula>$T199="카메라"</formula>
    </cfRule>
  </conditionalFormatting>
  <conditionalFormatting sqref="H208">
    <cfRule type="expression" dxfId="23" priority="1">
      <formula>#REF!="카메라"</formula>
    </cfRule>
  </conditionalFormatting>
  <dataValidations count="1">
    <dataValidation type="list" allowBlank="1" showInputMessage="1" showErrorMessage="1" sqref="D2:D8 D11:D18 D21:D1048576" xr:uid="{BD0A2D1C-0FD5-44B4-8A66-E09C11DAF81A}">
      <formula1>INDIRECT("업체db[업체명]")</formula1>
    </dataValidation>
  </dataValidations>
  <pageMargins left="0.7" right="0.7" top="0.75" bottom="0.75" header="0.3" footer="0.3"/>
  <pageSetup paperSize="9" scale="41" fitToHeight="0" orientation="landscape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6AFEF-9755-4823-8D38-6896DBB5A4E8}">
  <sheetPr codeName="Sheet5">
    <tabColor theme="5" tint="0.59999389629810485"/>
  </sheetPr>
  <dimension ref="A1:T43"/>
  <sheetViews>
    <sheetView view="pageLayout" topLeftCell="B6" zoomScale="85" zoomScaleNormal="70" zoomScaleSheetLayoutView="85" zoomScalePageLayoutView="85" workbookViewId="0">
      <selection activeCell="G11" sqref="G11"/>
    </sheetView>
  </sheetViews>
  <sheetFormatPr defaultColWidth="5.625" defaultRowHeight="16.5"/>
  <cols>
    <col min="1" max="1" width="9" style="53" hidden="1" customWidth="1"/>
    <col min="2" max="2" width="19.375" style="53" customWidth="1"/>
    <col min="3" max="3" width="16.375" style="53" customWidth="1"/>
    <col min="4" max="4" width="31.125" style="53" customWidth="1"/>
    <col min="5" max="5" width="10.5" style="53" customWidth="1"/>
    <col min="6" max="7" width="17.625" style="53" customWidth="1"/>
    <col min="8" max="10" width="5.625" style="53" customWidth="1"/>
    <col min="11" max="16384" width="5.625" style="53"/>
  </cols>
  <sheetData>
    <row r="1" spans="2:20" ht="31.5" hidden="1" customHeight="1"/>
    <row r="2" spans="2:20" ht="18" hidden="1" customHeight="1"/>
    <row r="3" spans="2:20" ht="18" customHeight="1">
      <c r="B3" s="772" t="s">
        <v>7500</v>
      </c>
      <c r="C3" s="772"/>
      <c r="D3" s="772"/>
      <c r="E3" s="772"/>
      <c r="F3" s="772"/>
      <c r="G3" s="772"/>
    </row>
    <row r="4" spans="2:20" ht="18" customHeight="1">
      <c r="B4" s="772"/>
      <c r="C4" s="772"/>
      <c r="D4" s="772"/>
      <c r="E4" s="772"/>
      <c r="F4" s="772"/>
      <c r="G4" s="772"/>
    </row>
    <row r="5" spans="2:20" ht="18" customHeight="1" thickBot="1">
      <c r="B5" s="772"/>
      <c r="C5" s="772"/>
      <c r="D5" s="772"/>
      <c r="E5" s="772"/>
      <c r="F5" s="772"/>
      <c r="G5" s="772"/>
    </row>
    <row r="6" spans="2:20" ht="18" customHeight="1">
      <c r="B6" s="773" t="s">
        <v>7535</v>
      </c>
      <c r="C6" s="774"/>
      <c r="D6" s="774"/>
      <c r="E6" s="775"/>
      <c r="F6" s="776"/>
      <c r="G6" s="777"/>
    </row>
    <row r="7" spans="2:20" ht="18" customHeight="1">
      <c r="B7" s="770" t="str">
        <f>VLOOKUP(G11,견적!C:D,2,0)</f>
        <v>(주)아이마켓코리아</v>
      </c>
      <c r="C7" s="771"/>
      <c r="D7" s="771"/>
      <c r="E7" s="70"/>
      <c r="F7" s="71"/>
      <c r="G7" s="72"/>
    </row>
    <row r="8" spans="2:20" ht="18" customHeight="1">
      <c r="B8" s="770" t="str">
        <f>VLOOKUP($B$7,'업체 정보'!A:F,5,0)</f>
        <v>전인경 프로</v>
      </c>
      <c r="C8" s="771"/>
      <c r="D8" s="771"/>
      <c r="E8" s="70"/>
      <c r="F8" s="71"/>
      <c r="G8" s="72"/>
    </row>
    <row r="9" spans="2:20" ht="17.25">
      <c r="B9" s="770" t="str">
        <f>VLOOKUP($B$7,'업체 정보'!A:F,6,0)</f>
        <v>010-9374-6262</v>
      </c>
      <c r="C9" s="771"/>
      <c r="D9" s="771"/>
      <c r="E9" s="70"/>
      <c r="F9" s="71"/>
      <c r="G9" s="72"/>
    </row>
    <row r="10" spans="2:20" ht="18" customHeight="1">
      <c r="B10" s="792" t="str">
        <f>VLOOKUP($B$7,'업체 정보'!A:F,4,0)</f>
        <v>경기도 수원시 영통구 매영로 150 (매탄동314) 삼성전기 A6 2층</v>
      </c>
      <c r="C10" s="793"/>
      <c r="D10" s="793"/>
      <c r="E10" s="796" t="s">
        <v>7536</v>
      </c>
      <c r="F10" s="797"/>
      <c r="G10" s="73">
        <f ca="1">TODAY()</f>
        <v>45985</v>
      </c>
    </row>
    <row r="11" spans="2:20" ht="17.25" customHeight="1" thickBot="1">
      <c r="B11" s="794"/>
      <c r="C11" s="795"/>
      <c r="D11" s="795"/>
      <c r="E11" s="798" t="s">
        <v>7537</v>
      </c>
      <c r="F11" s="799"/>
      <c r="G11" s="74" t="s">
        <v>9318</v>
      </c>
    </row>
    <row r="12" spans="2:20" ht="18" thickBot="1">
      <c r="B12" s="75"/>
      <c r="C12" s="75"/>
      <c r="D12" s="75"/>
      <c r="E12" s="75"/>
      <c r="F12" s="75"/>
      <c r="G12" s="75"/>
    </row>
    <row r="13" spans="2:20" ht="32.25" customHeight="1">
      <c r="B13" s="76" t="s">
        <v>7568</v>
      </c>
      <c r="C13" s="77" t="s">
        <v>53</v>
      </c>
      <c r="D13" s="77" t="s">
        <v>7501</v>
      </c>
      <c r="E13" s="77" t="s">
        <v>7502</v>
      </c>
      <c r="F13" s="77" t="s">
        <v>7503</v>
      </c>
      <c r="G13" s="78" t="s">
        <v>7504</v>
      </c>
    </row>
    <row r="14" spans="2:20" ht="90" customHeight="1">
      <c r="B14" s="79" t="str" cm="1">
        <f t="array" ref="B14:G14">_xlfn._xlws.FILTER(견적!$E$1:$J$210,(견적!$C$1:$C$210='견적서(국문)'!G11),"결과 없음")</f>
        <v>열화상 카메라</v>
      </c>
      <c r="C14" s="80" t="str">
        <v>COX640AVSEM</v>
      </c>
      <c r="D14" s="80" t="str">
        <v>VGA(640*512), 15um, NETD :&lt;20mK@without lens(MWIR 0.5x Ver3), F/No. 4.0 Ricor K528N MTTF:&gt;28,000hr@Basic profile(Warranty: 10,000/1year)</v>
      </c>
      <c r="E14" s="81">
        <v>4</v>
      </c>
      <c r="F14" s="104">
        <v>67400000</v>
      </c>
      <c r="G14" s="105">
        <v>269600000</v>
      </c>
    </row>
    <row r="15" spans="2:20" ht="33" customHeight="1">
      <c r="B15" s="79"/>
      <c r="C15" s="80"/>
      <c r="D15" s="80"/>
      <c r="E15" s="81"/>
      <c r="F15" s="104"/>
      <c r="G15" s="105"/>
      <c r="T15" s="497"/>
    </row>
    <row r="16" spans="2:20" ht="33" customHeight="1">
      <c r="B16" s="79"/>
      <c r="C16" s="80"/>
      <c r="D16" s="80"/>
      <c r="E16" s="81"/>
      <c r="F16" s="104"/>
      <c r="G16" s="105"/>
    </row>
    <row r="17" spans="2:7" ht="33" customHeight="1">
      <c r="B17" s="79"/>
      <c r="C17" s="81"/>
      <c r="D17" s="80"/>
      <c r="E17" s="81"/>
      <c r="F17" s="104"/>
      <c r="G17" s="105"/>
    </row>
    <row r="18" spans="2:7" ht="33" customHeight="1">
      <c r="B18" s="79"/>
      <c r="C18" s="81"/>
      <c r="D18" s="80"/>
      <c r="E18" s="81"/>
      <c r="F18" s="104"/>
      <c r="G18" s="105"/>
    </row>
    <row r="19" spans="2:7" ht="33" customHeight="1">
      <c r="B19" s="79"/>
      <c r="C19" s="81"/>
      <c r="D19" s="80"/>
      <c r="E19" s="81"/>
      <c r="F19" s="104"/>
      <c r="G19" s="105"/>
    </row>
    <row r="20" spans="2:7" ht="33" customHeight="1">
      <c r="B20" s="86"/>
      <c r="C20" s="87"/>
      <c r="D20" s="520"/>
      <c r="E20" s="87"/>
      <c r="F20" s="518"/>
      <c r="G20" s="519"/>
    </row>
    <row r="21" spans="2:7" ht="33" customHeight="1">
      <c r="B21" s="79"/>
      <c r="C21" s="81"/>
      <c r="D21" s="80"/>
      <c r="E21" s="81"/>
      <c r="F21" s="104"/>
      <c r="G21" s="105"/>
    </row>
    <row r="22" spans="2:7" ht="33" customHeight="1" thickBot="1">
      <c r="B22" s="79"/>
      <c r="C22" s="81"/>
      <c r="D22" s="80"/>
      <c r="E22" s="81"/>
      <c r="F22" s="104"/>
      <c r="G22" s="105"/>
    </row>
    <row r="23" spans="2:7" ht="33" hidden="1" customHeight="1" thickBot="1">
      <c r="B23" s="79"/>
      <c r="C23" s="81"/>
      <c r="D23" s="80"/>
      <c r="E23" s="81"/>
      <c r="F23" s="104"/>
      <c r="G23" s="105"/>
    </row>
    <row r="24" spans="2:7" ht="33" hidden="1" customHeight="1">
      <c r="B24" s="79"/>
      <c r="C24" s="81"/>
      <c r="D24" s="81"/>
      <c r="E24" s="81"/>
      <c r="F24" s="104"/>
      <c r="G24" s="105"/>
    </row>
    <row r="25" spans="2:7" ht="33" hidden="1" customHeight="1" thickBot="1">
      <c r="B25" s="79"/>
      <c r="C25" s="81"/>
      <c r="D25" s="81"/>
      <c r="E25" s="81"/>
      <c r="F25" s="104"/>
      <c r="G25" s="105"/>
    </row>
    <row r="26" spans="2:7" ht="42.75" hidden="1" customHeight="1" thickBot="1">
      <c r="B26" s="84"/>
      <c r="C26" s="85"/>
      <c r="D26" s="85"/>
      <c r="E26" s="85"/>
      <c r="F26" s="85"/>
      <c r="G26" s="102"/>
    </row>
    <row r="27" spans="2:7" ht="27" customHeight="1" thickTop="1">
      <c r="B27" s="788" t="s">
        <v>7505</v>
      </c>
      <c r="C27" s="789"/>
      <c r="D27" s="789"/>
      <c r="E27" s="103">
        <f>SUM(E13:E23)</f>
        <v>4</v>
      </c>
      <c r="F27" s="790">
        <f>SUM(G13:G25)</f>
        <v>269600000</v>
      </c>
      <c r="G27" s="791"/>
    </row>
    <row r="28" spans="2:7" ht="27" customHeight="1" thickBot="1">
      <c r="B28" s="800" t="s">
        <v>7506</v>
      </c>
      <c r="C28" s="801"/>
      <c r="D28" s="801"/>
      <c r="E28" s="101">
        <f>SUM(E14:E24)</f>
        <v>4</v>
      </c>
      <c r="F28" s="802">
        <f>F27*1.1</f>
        <v>296560000</v>
      </c>
      <c r="G28" s="803"/>
    </row>
    <row r="29" spans="2:7" ht="27" customHeight="1" thickBot="1">
      <c r="B29" s="91"/>
      <c r="C29" s="91"/>
      <c r="D29" s="91"/>
      <c r="E29" s="91"/>
      <c r="F29" s="92"/>
      <c r="G29" s="92"/>
    </row>
    <row r="30" spans="2:7" ht="27" customHeight="1">
      <c r="B30" s="778" t="s">
        <v>7538</v>
      </c>
      <c r="C30" s="779"/>
      <c r="D30" s="779"/>
      <c r="E30" s="779"/>
      <c r="F30" s="779"/>
      <c r="G30" s="780"/>
    </row>
    <row r="31" spans="2:7" ht="27" customHeight="1">
      <c r="B31" s="781" t="str">
        <f>IF(VLOOKUP(G11,견적!C:L,10,0)=0,"",VLOOKUP(G11,견적!C:L,10,0))</f>
        <v>칼라정보 10개, UI사용자환경/보드 변경(세부사항은 별도 협의 내용 적용/하우징(삼성전기 요청 내용)/사용자 S/W, 매뉴얼 제공
렌즈 포함/케이스 포함
예상 납기: 3월 말(26년)</v>
      </c>
      <c r="C31" s="782"/>
      <c r="D31" s="782"/>
      <c r="E31" s="782"/>
      <c r="F31" s="782"/>
      <c r="G31" s="783"/>
    </row>
    <row r="32" spans="2:7" ht="27" customHeight="1">
      <c r="B32" s="784"/>
      <c r="C32" s="782"/>
      <c r="D32" s="782"/>
      <c r="E32" s="782"/>
      <c r="F32" s="782"/>
      <c r="G32" s="783"/>
    </row>
    <row r="33" spans="2:7" ht="21" customHeight="1" thickBot="1">
      <c r="B33" s="785"/>
      <c r="C33" s="786"/>
      <c r="D33" s="786"/>
      <c r="E33" s="786"/>
      <c r="F33" s="786"/>
      <c r="G33" s="787"/>
    </row>
    <row r="34" spans="2:7" ht="27" customHeight="1">
      <c r="B34" s="91"/>
      <c r="C34" s="91"/>
      <c r="D34" s="91"/>
      <c r="F34" s="93"/>
      <c r="G34" s="93"/>
    </row>
    <row r="35" spans="2:7" ht="20.25" customHeight="1">
      <c r="B35" s="94" t="s">
        <v>7494</v>
      </c>
      <c r="C35" s="94"/>
      <c r="D35" s="94"/>
      <c r="E35" s="95" t="s">
        <v>7495</v>
      </c>
      <c r="F35" s="96"/>
      <c r="G35" s="96"/>
    </row>
    <row r="36" spans="2:7" ht="20.25" customHeight="1">
      <c r="B36" s="94" t="s">
        <v>7496</v>
      </c>
      <c r="C36" s="94"/>
      <c r="D36" s="97"/>
      <c r="E36" s="96"/>
      <c r="F36" s="96"/>
      <c r="G36" s="96"/>
    </row>
    <row r="37" spans="2:7" ht="20.25" customHeight="1">
      <c r="B37" s="94" t="s">
        <v>7497</v>
      </c>
      <c r="C37" s="94"/>
      <c r="D37" s="98"/>
      <c r="E37" s="99"/>
    </row>
    <row r="38" spans="2:7" ht="20.25" customHeight="1">
      <c r="B38" s="94" t="s">
        <v>7498</v>
      </c>
      <c r="C38" s="94"/>
      <c r="D38" s="98"/>
      <c r="E38" s="95"/>
    </row>
    <row r="39" spans="2:7" ht="20.25" customHeight="1">
      <c r="B39" s="94" t="s">
        <v>7499</v>
      </c>
      <c r="C39" s="94"/>
      <c r="D39" s="98"/>
    </row>
    <row r="42" spans="2:7" hidden="1"/>
    <row r="43" spans="2:7" hidden="1"/>
  </sheetData>
  <mergeCells count="15">
    <mergeCell ref="B31:G33"/>
    <mergeCell ref="B27:D27"/>
    <mergeCell ref="F27:G27"/>
    <mergeCell ref="B8:D8"/>
    <mergeCell ref="B9:D9"/>
    <mergeCell ref="B10:D11"/>
    <mergeCell ref="E10:F10"/>
    <mergeCell ref="E11:F11"/>
    <mergeCell ref="B28:D28"/>
    <mergeCell ref="F28:G28"/>
    <mergeCell ref="B7:D7"/>
    <mergeCell ref="B3:G5"/>
    <mergeCell ref="B6:D6"/>
    <mergeCell ref="E6:G6"/>
    <mergeCell ref="B30:G30"/>
  </mergeCells>
  <phoneticPr fontId="18" type="noConversion"/>
  <dataValidations count="1">
    <dataValidation type="list" allowBlank="1" showInputMessage="1" showErrorMessage="1" sqref="G11" xr:uid="{7D2CC9B3-2A37-4A70-B93F-C5E48DF72F24}">
      <formula1>INDIRECT("tbl_견적[문서번호]")</formula1>
    </dataValidation>
  </dataValidations>
  <printOptions horizontalCentered="1"/>
  <pageMargins left="0.23622047244094491" right="0.23622047244094491" top="0.62992125984251968" bottom="0.19685039370078741" header="0" footer="0"/>
  <pageSetup paperSize="9" scale="81" orientation="portrait" r:id="rId1"/>
  <headerFooter>
    <oddHeader>&amp;L&amp;G&amp;C&amp;"-,굵게"&amp;10서울시 구로구 디지털로 242 한화비즈메트로 1차 810호 콕스 (우: 08394)
전화: 02-857-3888, 팩스: 070-7614-3871, 이메일: sales@coxcamera.com www.coxcamera.com&amp;R&amp;G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3C53E-22F6-4538-8931-0CE353CD18AC}">
  <sheetPr codeName="Sheet15">
    <tabColor theme="5" tint="0.59999389629810485"/>
  </sheetPr>
  <dimension ref="A1:G41"/>
  <sheetViews>
    <sheetView view="pageLayout" topLeftCell="B3" zoomScale="85" zoomScaleNormal="100" zoomScaleSheetLayoutView="85" zoomScalePageLayoutView="85" workbookViewId="0">
      <selection activeCell="U15" sqref="U15"/>
    </sheetView>
  </sheetViews>
  <sheetFormatPr defaultColWidth="5.625" defaultRowHeight="16.5"/>
  <cols>
    <col min="1" max="1" width="9" style="53" hidden="1" customWidth="1"/>
    <col min="2" max="2" width="19.375" style="53" customWidth="1"/>
    <col min="3" max="3" width="16.375" style="53" customWidth="1"/>
    <col min="4" max="4" width="33.125" style="53" customWidth="1"/>
    <col min="5" max="5" width="7.25" style="53" customWidth="1"/>
    <col min="6" max="6" width="15.125" style="53" customWidth="1"/>
    <col min="7" max="7" width="18.875" style="53" customWidth="1"/>
    <col min="8" max="10" width="5.625" style="53" customWidth="1"/>
    <col min="11" max="16384" width="5.625" style="53"/>
  </cols>
  <sheetData>
    <row r="1" spans="2:7" ht="31.5" hidden="1" customHeight="1"/>
    <row r="2" spans="2:7" ht="18" hidden="1" customHeight="1"/>
    <row r="3" spans="2:7" ht="18" customHeight="1">
      <c r="B3" s="772" t="s">
        <v>7486</v>
      </c>
      <c r="C3" s="772"/>
      <c r="D3" s="772"/>
      <c r="E3" s="772"/>
      <c r="F3" s="772"/>
      <c r="G3" s="772"/>
    </row>
    <row r="4" spans="2:7" ht="18" customHeight="1">
      <c r="B4" s="772"/>
      <c r="C4" s="772"/>
      <c r="D4" s="772"/>
      <c r="E4" s="772"/>
      <c r="F4" s="772"/>
      <c r="G4" s="772"/>
    </row>
    <row r="5" spans="2:7" ht="18" customHeight="1" thickBot="1">
      <c r="B5" s="772"/>
      <c r="C5" s="772"/>
      <c r="D5" s="772"/>
      <c r="E5" s="772"/>
      <c r="F5" s="772"/>
      <c r="G5" s="772"/>
    </row>
    <row r="6" spans="2:7" ht="18" customHeight="1">
      <c r="B6" s="773" t="s">
        <v>7487</v>
      </c>
      <c r="C6" s="774"/>
      <c r="D6" s="774"/>
      <c r="E6" s="775"/>
      <c r="F6" s="776"/>
      <c r="G6" s="777"/>
    </row>
    <row r="7" spans="2:7" ht="18" customHeight="1">
      <c r="B7" s="804" t="str">
        <f>VLOOKUP(G11,견적!$C$2:$C$210:'견적'!$D$2:$D$210,2,0)</f>
        <v>아시안브릿지</v>
      </c>
      <c r="C7" s="771"/>
      <c r="D7" s="771"/>
      <c r="E7" s="70"/>
      <c r="F7" s="71"/>
      <c r="G7" s="72"/>
    </row>
    <row r="8" spans="2:7" ht="18" customHeight="1">
      <c r="B8" s="770" t="str">
        <f>VLOOKUP(B7,'업체 정보'!A:F,5,0)</f>
        <v>김성렬 대표님</v>
      </c>
      <c r="C8" s="771"/>
      <c r="D8" s="771"/>
      <c r="E8" s="70"/>
      <c r="F8" s="71"/>
      <c r="G8" s="72"/>
    </row>
    <row r="9" spans="2:7" ht="17.25">
      <c r="B9" s="770" t="str">
        <f>VLOOKUP(B7,'업체 정보'!A:F,6,0)</f>
        <v>010-9956-2492</v>
      </c>
      <c r="C9" s="771"/>
      <c r="D9" s="771"/>
      <c r="E9" s="70"/>
      <c r="F9" s="71"/>
      <c r="G9" s="72"/>
    </row>
    <row r="10" spans="2:7" ht="18" customHeight="1">
      <c r="B10" s="792" t="str">
        <f>VLOOKUP(B7,'업체 정보'!A:F,4,0)</f>
        <v>195, Gangsongro, Ilsandonggu,Goyang City, Gyeonggi-Do, Rep. of Korea</v>
      </c>
      <c r="C10" s="793"/>
      <c r="D10" s="793"/>
      <c r="E10" s="796" t="str">
        <f>"Date :"&amp;" "</f>
        <v xml:space="preserve">Date : </v>
      </c>
      <c r="F10" s="797"/>
      <c r="G10" s="73">
        <f ca="1">TODAY()</f>
        <v>45985</v>
      </c>
    </row>
    <row r="11" spans="2:7" ht="17.25" customHeight="1" thickBot="1">
      <c r="B11" s="794"/>
      <c r="C11" s="795"/>
      <c r="D11" s="795"/>
      <c r="E11" s="798" t="str">
        <f>"Ref. :"&amp;" "</f>
        <v xml:space="preserve">Ref. : </v>
      </c>
      <c r="F11" s="799"/>
      <c r="G11" s="74" t="s">
        <v>9117</v>
      </c>
    </row>
    <row r="12" spans="2:7" ht="18" thickBot="1">
      <c r="B12" s="75"/>
      <c r="C12" s="75"/>
      <c r="D12" s="75"/>
      <c r="E12" s="75"/>
      <c r="F12" s="75"/>
      <c r="G12" s="75"/>
    </row>
    <row r="13" spans="2:7" ht="28.5" customHeight="1">
      <c r="B13" s="76" t="s">
        <v>7488</v>
      </c>
      <c r="C13" s="77" t="s">
        <v>7489</v>
      </c>
      <c r="D13" s="77" t="s">
        <v>7070</v>
      </c>
      <c r="E13" s="77" t="s">
        <v>7590</v>
      </c>
      <c r="F13" s="77" t="s">
        <v>7490</v>
      </c>
      <c r="G13" s="78" t="s">
        <v>7491</v>
      </c>
    </row>
    <row r="14" spans="2:7" ht="28.5" customHeight="1">
      <c r="B14" s="79" t="str" cm="1">
        <f t="array" ref="B14:G15">_xlfn._xlws.FILTER(견적!$E$1:$J$10053,(견적!$C$1:$C$10053='견적서(영문)'!G11),"결과 없음")</f>
        <v>기타</v>
      </c>
      <c r="C14" s="80" t="str">
        <v>기어+커버</v>
      </c>
      <c r="D14" s="80" t="str">
        <v>for 150mm motorized lens</v>
      </c>
      <c r="E14" s="81">
        <v>9</v>
      </c>
      <c r="F14" s="82">
        <v>35</v>
      </c>
      <c r="G14" s="83">
        <v>315</v>
      </c>
    </row>
    <row r="15" spans="2:7" ht="28.5" customHeight="1">
      <c r="B15" s="79" t="str">
        <v>기타</v>
      </c>
      <c r="C15" s="80" t="str">
        <v>모터(모터+감속기)</v>
      </c>
      <c r="D15" s="80" t="str">
        <v>for 150mm motorized lens</v>
      </c>
      <c r="E15" s="81">
        <v>9</v>
      </c>
      <c r="F15" s="82">
        <v>17</v>
      </c>
      <c r="G15" s="83">
        <v>153</v>
      </c>
    </row>
    <row r="16" spans="2:7" ht="28.5" customHeight="1">
      <c r="B16" s="79"/>
      <c r="C16" s="80"/>
      <c r="D16" s="81"/>
      <c r="E16" s="81"/>
      <c r="F16" s="82"/>
      <c r="G16" s="83"/>
    </row>
    <row r="17" spans="2:7" ht="28.5" customHeight="1">
      <c r="B17" s="79"/>
      <c r="C17" s="81"/>
      <c r="D17" s="81"/>
      <c r="E17" s="81"/>
      <c r="F17" s="82"/>
      <c r="G17" s="83"/>
    </row>
    <row r="18" spans="2:7" ht="28.5" customHeight="1">
      <c r="B18" s="79"/>
      <c r="C18" s="81"/>
      <c r="D18" s="81"/>
      <c r="E18" s="81"/>
      <c r="F18" s="82"/>
      <c r="G18" s="83"/>
    </row>
    <row r="19" spans="2:7" ht="28.5" customHeight="1">
      <c r="B19" s="79"/>
      <c r="C19" s="81"/>
      <c r="D19" s="81"/>
      <c r="E19" s="81"/>
      <c r="F19" s="82"/>
      <c r="G19" s="83"/>
    </row>
    <row r="20" spans="2:7" ht="28.5" customHeight="1">
      <c r="B20" s="86"/>
      <c r="C20" s="87"/>
      <c r="D20" s="87"/>
      <c r="E20" s="87"/>
      <c r="F20" s="88"/>
      <c r="G20" s="89"/>
    </row>
    <row r="21" spans="2:7" ht="28.5" customHeight="1">
      <c r="B21" s="79"/>
      <c r="C21" s="81"/>
      <c r="D21" s="81"/>
      <c r="E21" s="81"/>
      <c r="F21" s="82"/>
      <c r="G21" s="83"/>
    </row>
    <row r="22" spans="2:7" ht="28.5" customHeight="1">
      <c r="B22" s="79"/>
      <c r="C22" s="81"/>
      <c r="D22" s="81"/>
      <c r="E22" s="81"/>
      <c r="F22" s="82"/>
      <c r="G22" s="83"/>
    </row>
    <row r="23" spans="2:7" ht="28.5" customHeight="1">
      <c r="B23" s="79"/>
      <c r="C23" s="81"/>
      <c r="D23" s="81"/>
      <c r="E23" s="81"/>
      <c r="F23" s="82"/>
      <c r="G23" s="83"/>
    </row>
    <row r="24" spans="2:7" ht="28.5" customHeight="1">
      <c r="B24" s="79"/>
      <c r="C24" s="81"/>
      <c r="D24" s="81"/>
      <c r="E24" s="81"/>
      <c r="F24" s="82"/>
      <c r="G24" s="83"/>
    </row>
    <row r="25" spans="2:7" ht="28.5" customHeight="1">
      <c r="B25" s="79"/>
      <c r="C25" s="81"/>
      <c r="D25" s="81"/>
      <c r="E25" s="81"/>
      <c r="F25" s="82"/>
      <c r="G25" s="83"/>
    </row>
    <row r="26" spans="2:7" ht="28.5" hidden="1" customHeight="1">
      <c r="B26" s="79"/>
      <c r="C26" s="81"/>
      <c r="D26" s="81"/>
      <c r="E26" s="81"/>
      <c r="F26" s="81"/>
      <c r="G26" s="90"/>
    </row>
    <row r="27" spans="2:7" ht="28.5" hidden="1" customHeight="1">
      <c r="B27" s="79" t="s">
        <v>832</v>
      </c>
      <c r="C27" s="81" t="s">
        <v>832</v>
      </c>
      <c r="D27" s="81" t="s">
        <v>832</v>
      </c>
      <c r="E27" s="81" t="s">
        <v>832</v>
      </c>
      <c r="F27" s="81" t="s">
        <v>832</v>
      </c>
      <c r="G27" s="90" t="s">
        <v>832</v>
      </c>
    </row>
    <row r="28" spans="2:7" ht="28.5" hidden="1" customHeight="1">
      <c r="B28" s="79" t="s">
        <v>832</v>
      </c>
      <c r="C28" s="81" t="s">
        <v>832</v>
      </c>
      <c r="D28" s="81" t="s">
        <v>832</v>
      </c>
      <c r="E28" s="81" t="s">
        <v>832</v>
      </c>
      <c r="F28" s="81" t="s">
        <v>832</v>
      </c>
      <c r="G28" s="90" t="s">
        <v>832</v>
      </c>
    </row>
    <row r="29" spans="2:7" ht="28.5" hidden="1" customHeight="1" thickBot="1">
      <c r="B29" s="84" t="s">
        <v>832</v>
      </c>
      <c r="C29" s="85" t="s">
        <v>832</v>
      </c>
      <c r="D29" s="85" t="s">
        <v>832</v>
      </c>
      <c r="E29" s="85" t="s">
        <v>832</v>
      </c>
      <c r="F29" s="85" t="s">
        <v>832</v>
      </c>
      <c r="G29" s="102" t="s">
        <v>832</v>
      </c>
    </row>
    <row r="30" spans="2:7" ht="28.5" customHeight="1" thickBot="1">
      <c r="B30" s="800" t="s">
        <v>7492</v>
      </c>
      <c r="C30" s="801"/>
      <c r="D30" s="801"/>
      <c r="E30" s="101">
        <f>SUM(E14:E27)</f>
        <v>18</v>
      </c>
      <c r="F30" s="805">
        <f>SUM(G14:G29)</f>
        <v>468</v>
      </c>
      <c r="G30" s="806"/>
    </row>
    <row r="31" spans="2:7" ht="27" customHeight="1" thickBot="1">
      <c r="B31" s="91"/>
      <c r="C31" s="91"/>
      <c r="D31" s="91"/>
      <c r="E31" s="91"/>
      <c r="F31" s="92"/>
      <c r="G31" s="92"/>
    </row>
    <row r="32" spans="2:7" ht="27" customHeight="1">
      <c r="B32" s="778" t="s">
        <v>7493</v>
      </c>
      <c r="C32" s="779"/>
      <c r="D32" s="779"/>
      <c r="E32" s="779"/>
      <c r="F32" s="779"/>
      <c r="G32" s="780"/>
    </row>
    <row r="33" spans="2:7" ht="27" customHeight="1">
      <c r="B33" s="781" t="str">
        <f>IF(VLOOKUP(G11,견적!C:L,10,0)=0,"",VLOOKUP(G11,견적!C:L,10,0))</f>
        <v/>
      </c>
      <c r="C33" s="782"/>
      <c r="D33" s="782"/>
      <c r="E33" s="782"/>
      <c r="F33" s="782"/>
      <c r="G33" s="783"/>
    </row>
    <row r="34" spans="2:7" ht="27" customHeight="1">
      <c r="B34" s="784"/>
      <c r="C34" s="782"/>
      <c r="D34" s="782"/>
      <c r="E34" s="782"/>
      <c r="F34" s="782"/>
      <c r="G34" s="783"/>
    </row>
    <row r="35" spans="2:7" ht="52.5" customHeight="1" thickBot="1">
      <c r="B35" s="785"/>
      <c r="C35" s="786"/>
      <c r="D35" s="786"/>
      <c r="E35" s="786"/>
      <c r="F35" s="786"/>
      <c r="G35" s="787"/>
    </row>
    <row r="36" spans="2:7" ht="27" customHeight="1">
      <c r="B36" s="91"/>
      <c r="C36" s="91"/>
      <c r="D36" s="91"/>
      <c r="F36" s="93"/>
      <c r="G36" s="93"/>
    </row>
    <row r="37" spans="2:7" ht="20.25" customHeight="1">
      <c r="B37" s="94" t="s">
        <v>7494</v>
      </c>
      <c r="C37" s="94"/>
      <c r="D37" s="94"/>
      <c r="E37" s="95" t="s">
        <v>7495</v>
      </c>
      <c r="F37" s="96"/>
      <c r="G37" s="96"/>
    </row>
    <row r="38" spans="2:7" ht="20.25" customHeight="1">
      <c r="B38" s="94" t="s">
        <v>7496</v>
      </c>
      <c r="C38" s="94"/>
      <c r="D38" s="97"/>
      <c r="E38" s="96"/>
      <c r="F38" s="96"/>
      <c r="G38" s="96"/>
    </row>
    <row r="39" spans="2:7" ht="20.25" customHeight="1">
      <c r="B39" s="94" t="s">
        <v>7497</v>
      </c>
      <c r="C39" s="94"/>
      <c r="D39" s="98"/>
      <c r="E39" s="99"/>
    </row>
    <row r="40" spans="2:7" ht="20.25" customHeight="1">
      <c r="B40" s="94" t="s">
        <v>7498</v>
      </c>
      <c r="C40" s="94"/>
      <c r="D40" s="98"/>
      <c r="E40" s="95"/>
    </row>
    <row r="41" spans="2:7" ht="20.25" customHeight="1">
      <c r="B41" s="94" t="s">
        <v>7499</v>
      </c>
      <c r="C41" s="94"/>
      <c r="D41" s="98"/>
    </row>
  </sheetData>
  <mergeCells count="13">
    <mergeCell ref="B33:G35"/>
    <mergeCell ref="B8:D8"/>
    <mergeCell ref="B9:D9"/>
    <mergeCell ref="B10:D11"/>
    <mergeCell ref="E10:F10"/>
    <mergeCell ref="E11:F11"/>
    <mergeCell ref="B30:D30"/>
    <mergeCell ref="F30:G30"/>
    <mergeCell ref="B7:D7"/>
    <mergeCell ref="B3:G5"/>
    <mergeCell ref="B6:D6"/>
    <mergeCell ref="E6:G6"/>
    <mergeCell ref="B32:G32"/>
  </mergeCells>
  <phoneticPr fontId="18" type="noConversion"/>
  <dataValidations count="1">
    <dataValidation type="list" allowBlank="1" showInputMessage="1" showErrorMessage="1" sqref="G11" xr:uid="{D91BC1BF-6A1B-42BF-BFC7-D2C5686D2FE8}">
      <formula1>INDIRECT("tbl_견적[문서번호]")</formula1>
    </dataValidation>
  </dataValidations>
  <printOptions horizontalCentered="1"/>
  <pageMargins left="0.23622047244094491" right="0.23622047244094491" top="0.62992125984251968" bottom="0.19685039370078741" header="0" footer="0"/>
  <pageSetup paperSize="9" scale="81" orientation="portrait" r:id="rId1"/>
  <headerFooter>
    <oddHeader>&amp;L&amp;G&amp;C&amp;"-,굵게"&amp;10#810, Hanwha Biz Metro 1-cha, 242, Ditital-ro, Guro-gu, Seou, Korea (Zip:08394)
Phone: 82-2-857-3888, Fax: 82-70-7614-3871 Email: sales@coxcamera.com www.coxcamera.com&amp;R&amp;G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F8AD-6A84-4C97-AAEC-E682DC0D2C45}">
  <sheetPr codeName="Sheet14"/>
  <dimension ref="A1:AA7"/>
  <sheetViews>
    <sheetView workbookViewId="0">
      <selection activeCell="E21" sqref="E21"/>
    </sheetView>
  </sheetViews>
  <sheetFormatPr defaultRowHeight="16.5"/>
  <sheetData>
    <row r="1" spans="1:27">
      <c r="A1" s="706" t="s">
        <v>9252</v>
      </c>
      <c r="B1" s="506"/>
      <c r="C1" s="507"/>
      <c r="D1" s="610"/>
      <c r="E1" s="610"/>
      <c r="F1" s="610"/>
      <c r="G1" s="610"/>
      <c r="H1" s="610"/>
      <c r="I1" s="648"/>
      <c r="J1" s="648"/>
      <c r="K1" s="648"/>
      <c r="L1" s="649"/>
      <c r="M1" s="650"/>
      <c r="N1" s="648"/>
      <c r="O1" s="650"/>
      <c r="P1" s="610"/>
      <c r="Q1" s="651"/>
      <c r="R1" s="651"/>
      <c r="S1" s="510"/>
      <c r="T1" s="510"/>
      <c r="U1" s="610"/>
      <c r="V1" s="610"/>
      <c r="W1" s="510"/>
      <c r="X1" s="510"/>
      <c r="Y1" s="510"/>
      <c r="Z1" s="510"/>
      <c r="AA1" s="510"/>
    </row>
    <row r="2" spans="1:27" ht="66">
      <c r="A2" s="424" t="s">
        <v>7587</v>
      </c>
      <c r="B2" s="654" t="s">
        <v>7540</v>
      </c>
      <c r="C2" s="430" t="s">
        <v>7541</v>
      </c>
      <c r="D2" s="427" t="s">
        <v>6</v>
      </c>
      <c r="E2" s="427" t="s">
        <v>7955</v>
      </c>
      <c r="F2" s="427" t="s">
        <v>0</v>
      </c>
      <c r="G2" s="427" t="s">
        <v>7542</v>
      </c>
      <c r="H2" s="428" t="s">
        <v>1</v>
      </c>
      <c r="I2" s="655" t="s">
        <v>47</v>
      </c>
      <c r="J2" s="656" t="s">
        <v>2</v>
      </c>
      <c r="K2" s="656" t="s">
        <v>7</v>
      </c>
      <c r="L2" s="429" t="s">
        <v>48</v>
      </c>
      <c r="M2" s="430" t="s">
        <v>8</v>
      </c>
      <c r="N2" s="656" t="s">
        <v>8307</v>
      </c>
      <c r="O2" s="430" t="s">
        <v>5</v>
      </c>
      <c r="P2" s="657" t="s">
        <v>119</v>
      </c>
      <c r="Q2" s="658" t="s">
        <v>188</v>
      </c>
      <c r="R2" s="658" t="s">
        <v>8867</v>
      </c>
      <c r="S2" s="659" t="s">
        <v>190</v>
      </c>
      <c r="T2" s="659" t="s">
        <v>189</v>
      </c>
      <c r="U2" s="427" t="s">
        <v>11</v>
      </c>
      <c r="V2" s="427" t="s">
        <v>10</v>
      </c>
      <c r="W2" s="659" t="s">
        <v>205</v>
      </c>
      <c r="X2" s="659" t="s">
        <v>206</v>
      </c>
      <c r="Y2" s="659" t="s">
        <v>207</v>
      </c>
      <c r="Z2" s="659" t="s">
        <v>208</v>
      </c>
      <c r="AA2" s="434" t="s">
        <v>8577</v>
      </c>
    </row>
    <row r="3" spans="1:27">
      <c r="A3" s="557"/>
      <c r="B3" s="491"/>
      <c r="C3" s="100" t="str">
        <f>"KR"&amp;TEXT(tbl_발주대기_국내[[#This Row],[발주일]],"yymmdd")&amp;"-"&amp;TEXT(tbl_발주대기_국내[[#This Row],[일렬번호]],"00")</f>
        <v>KR000100-00</v>
      </c>
      <c r="D3" s="138" t="s">
        <v>245</v>
      </c>
      <c r="E3" s="144" t="s">
        <v>9196</v>
      </c>
      <c r="F3" s="144" t="s">
        <v>9197</v>
      </c>
      <c r="G3" s="144" t="s">
        <v>9198</v>
      </c>
      <c r="H3" s="144">
        <v>23</v>
      </c>
      <c r="I3" s="638">
        <v>18000000</v>
      </c>
      <c r="J3" s="496">
        <f>I3*H3</f>
        <v>414000000</v>
      </c>
      <c r="K3" s="496">
        <f>J3*1.1</f>
        <v>455400000.00000006</v>
      </c>
      <c r="L3" s="481"/>
      <c r="M3" s="135"/>
      <c r="N3" s="496"/>
      <c r="O3" s="135"/>
      <c r="P3" s="144"/>
      <c r="Q3" s="639"/>
      <c r="R3" s="639"/>
      <c r="S3" s="652"/>
      <c r="T3" s="652"/>
      <c r="U3" s="652"/>
      <c r="V3" s="652"/>
      <c r="W3" s="652"/>
      <c r="X3" s="652"/>
      <c r="Y3" s="652"/>
      <c r="Z3" s="652"/>
      <c r="AA3" s="660"/>
    </row>
    <row r="4" spans="1:27">
      <c r="A4" s="557"/>
      <c r="B4" s="491"/>
      <c r="C4" s="100" t="str">
        <f>"KR"&amp;TEXT(tbl_발주대기_국내[[#This Row],[발주일]],"yymmdd")&amp;"-"&amp;TEXT(tbl_발주대기_국내[[#This Row],[일렬번호]],"00")</f>
        <v>KR000100-00</v>
      </c>
      <c r="D4" s="138" t="s">
        <v>245</v>
      </c>
      <c r="E4" s="144" t="s">
        <v>8119</v>
      </c>
      <c r="F4" s="144" t="s">
        <v>148</v>
      </c>
      <c r="G4" s="144" t="s">
        <v>9199</v>
      </c>
      <c r="H4" s="144">
        <v>4</v>
      </c>
      <c r="I4" s="638">
        <v>2803000</v>
      </c>
      <c r="J4" s="496">
        <f>I4*H4</f>
        <v>11212000</v>
      </c>
      <c r="K4" s="496">
        <f>J4*1.1</f>
        <v>12333200.000000002</v>
      </c>
      <c r="L4" s="481"/>
      <c r="M4" s="135"/>
      <c r="N4" s="496"/>
      <c r="O4" s="135"/>
      <c r="P4" s="144"/>
      <c r="Q4" s="639"/>
      <c r="R4" s="639"/>
      <c r="S4" s="652"/>
      <c r="T4" s="652"/>
      <c r="U4" s="652"/>
      <c r="V4" s="652"/>
      <c r="W4" s="652"/>
      <c r="X4" s="652"/>
      <c r="Y4" s="652"/>
      <c r="Z4" s="652"/>
      <c r="AA4" s="660"/>
    </row>
    <row r="5" spans="1:27">
      <c r="A5" s="557"/>
      <c r="B5" s="491"/>
      <c r="C5" s="100" t="str">
        <f>"KR"&amp;TEXT(tbl_발주대기_국내[[#This Row],[발주일]],"yymmdd")&amp;"-"&amp;TEXT(tbl_발주대기_국내[[#This Row],[일렬번호]],"00")</f>
        <v>KR000100-00</v>
      </c>
      <c r="D5" s="144" t="s">
        <v>7640</v>
      </c>
      <c r="E5" s="144" t="s">
        <v>7572</v>
      </c>
      <c r="F5" s="144" t="s">
        <v>9202</v>
      </c>
      <c r="G5" s="144"/>
      <c r="H5" s="144">
        <v>4</v>
      </c>
      <c r="I5" s="638">
        <v>74000000</v>
      </c>
      <c r="J5" s="496">
        <f>I5*H5</f>
        <v>296000000</v>
      </c>
      <c r="K5" s="496">
        <f>J5*1.1</f>
        <v>325600000</v>
      </c>
      <c r="L5" s="481"/>
      <c r="M5" s="135"/>
      <c r="N5" s="496"/>
      <c r="O5" s="135"/>
      <c r="P5" s="144"/>
      <c r="Q5" s="639"/>
      <c r="R5" s="639"/>
      <c r="S5" s="652"/>
      <c r="T5" s="652"/>
      <c r="U5" s="652"/>
      <c r="V5" s="652"/>
      <c r="W5" s="652"/>
      <c r="X5" s="652"/>
      <c r="Y5" s="652"/>
      <c r="Z5" s="652"/>
      <c r="AA5" s="660"/>
    </row>
    <row r="6" spans="1:27">
      <c r="A6" s="557"/>
      <c r="B6" s="491"/>
      <c r="C6" s="135"/>
      <c r="D6" s="574" t="s">
        <v>9215</v>
      </c>
      <c r="E6" s="144"/>
      <c r="F6" s="144" t="s">
        <v>9250</v>
      </c>
      <c r="G6" s="144" t="s">
        <v>9251</v>
      </c>
      <c r="H6" s="144">
        <v>1</v>
      </c>
      <c r="I6" s="638">
        <v>8000000</v>
      </c>
      <c r="J6" s="496">
        <f>I6*H6</f>
        <v>8000000</v>
      </c>
      <c r="K6" s="496">
        <f>J6*1.1</f>
        <v>8800000</v>
      </c>
      <c r="L6" s="481"/>
      <c r="M6" s="135"/>
      <c r="N6" s="496">
        <v>23100000</v>
      </c>
      <c r="O6" s="135">
        <v>45978</v>
      </c>
      <c r="P6" s="144"/>
      <c r="Q6" s="639"/>
      <c r="R6" s="639"/>
      <c r="S6" s="652"/>
      <c r="T6" s="652"/>
      <c r="U6" s="652"/>
      <c r="V6" s="652"/>
      <c r="W6" s="652"/>
      <c r="X6" s="652"/>
      <c r="Y6" s="652"/>
      <c r="Z6" s="652"/>
      <c r="AA6" s="660"/>
    </row>
    <row r="7" spans="1:27">
      <c r="A7" s="564"/>
      <c r="B7" s="573"/>
      <c r="C7" s="572"/>
      <c r="D7" s="677" t="s">
        <v>9253</v>
      </c>
      <c r="E7" s="677"/>
      <c r="F7" s="677" t="s">
        <v>9254</v>
      </c>
      <c r="G7" s="677" t="s">
        <v>9255</v>
      </c>
      <c r="H7" s="677">
        <v>2</v>
      </c>
      <c r="I7" s="689">
        <v>9000000</v>
      </c>
      <c r="J7" s="496">
        <f>I7*H7</f>
        <v>18000000</v>
      </c>
      <c r="K7" s="496">
        <f>J7*1.1</f>
        <v>19800000</v>
      </c>
      <c r="L7" s="609"/>
      <c r="M7" s="572"/>
      <c r="N7" s="653"/>
      <c r="O7" s="572"/>
      <c r="P7" s="677"/>
      <c r="Q7" s="690"/>
      <c r="R7" s="690"/>
      <c r="S7" s="691"/>
      <c r="T7" s="691"/>
      <c r="U7" s="691"/>
      <c r="V7" s="691"/>
      <c r="W7" s="691"/>
      <c r="X7" s="691"/>
      <c r="Y7" s="691"/>
      <c r="Z7" s="691"/>
      <c r="AA7" s="678"/>
    </row>
  </sheetData>
  <phoneticPr fontId="18" type="noConversion"/>
  <conditionalFormatting sqref="H1:H5">
    <cfRule type="expression" dxfId="22" priority="1">
      <formula>$T1="카메라"</formula>
    </cfRule>
  </conditionalFormatting>
  <dataValidations count="1">
    <dataValidation type="list" allowBlank="1" showInputMessage="1" showErrorMessage="1" sqref="D3:D6 D1" xr:uid="{0A8321C7-0C52-4088-BCB0-201964723DB9}">
      <formula1>INDIRECT("업체db[업체명]")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  <pageSetUpPr fitToPage="1"/>
  </sheetPr>
  <dimension ref="A1:AA241"/>
  <sheetViews>
    <sheetView showGridLines="0" topLeftCell="B1" zoomScaleNormal="100" workbookViewId="0">
      <pane ySplit="1" topLeftCell="A238" activePane="bottomLeft" state="frozen"/>
      <selection pane="bottomLeft" activeCell="J242" sqref="A242:XFD242"/>
    </sheetView>
  </sheetViews>
  <sheetFormatPr defaultRowHeight="16.5"/>
  <cols>
    <col min="1" max="1" width="11.75" style="134" customWidth="1"/>
    <col min="2" max="2" width="10.25" style="506" customWidth="1"/>
    <col min="3" max="3" width="14.375" style="134" customWidth="1"/>
    <col min="4" max="4" width="25.5" style="1" bestFit="1" customWidth="1"/>
    <col min="5" max="5" width="13.75" style="1" customWidth="1"/>
    <col min="6" max="6" width="32.125" style="1" bestFit="1" customWidth="1"/>
    <col min="7" max="7" width="32.875" style="1" bestFit="1" customWidth="1"/>
    <col min="8" max="8" width="9.5" style="1" bestFit="1" customWidth="1"/>
    <col min="9" max="9" width="13.5" style="142" customWidth="1"/>
    <col min="10" max="10" width="14.625" style="646" customWidth="1"/>
    <col min="11" max="11" width="20.375" style="646" customWidth="1"/>
    <col min="12" max="12" width="15.25" style="647" customWidth="1"/>
    <col min="13" max="13" width="11.75" style="134" customWidth="1"/>
    <col min="14" max="14" width="15.25" style="646" customWidth="1"/>
    <col min="15" max="15" width="23.375" style="134" customWidth="1"/>
    <col min="16" max="16" width="20.125" style="1" customWidth="1"/>
    <col min="17" max="17" width="18.75" style="2" customWidth="1"/>
    <col min="18" max="18" width="18.75" style="2" hidden="1" customWidth="1"/>
    <col min="19" max="19" width="9.375" hidden="1" customWidth="1"/>
    <col min="20" max="20" width="13" hidden="1" customWidth="1"/>
    <col min="21" max="21" width="19" hidden="1" customWidth="1"/>
    <col min="22" max="22" width="10" hidden="1" customWidth="1"/>
    <col min="23" max="23" width="9.375" hidden="1" customWidth="1"/>
    <col min="24" max="24" width="15.125" hidden="1" customWidth="1"/>
    <col min="25" max="25" width="9.75" hidden="1" customWidth="1"/>
    <col min="26" max="26" width="7.625" hidden="1" customWidth="1"/>
    <col min="27" max="27" width="18.125" bestFit="1" customWidth="1"/>
  </cols>
  <sheetData>
    <row r="1" spans="1:27" ht="32.25" customHeight="1">
      <c r="A1" s="620" t="s">
        <v>7587</v>
      </c>
      <c r="B1" s="621" t="s">
        <v>7540</v>
      </c>
      <c r="C1" s="622" t="s">
        <v>7541</v>
      </c>
      <c r="D1" s="623" t="s">
        <v>6</v>
      </c>
      <c r="E1" s="623" t="s">
        <v>7955</v>
      </c>
      <c r="F1" s="623" t="s">
        <v>0</v>
      </c>
      <c r="G1" s="623" t="s">
        <v>7542</v>
      </c>
      <c r="H1" s="624" t="s">
        <v>1</v>
      </c>
      <c r="I1" s="625" t="s">
        <v>47</v>
      </c>
      <c r="J1" s="626" t="s">
        <v>2</v>
      </c>
      <c r="K1" s="626" t="s">
        <v>7</v>
      </c>
      <c r="L1" s="136" t="s">
        <v>48</v>
      </c>
      <c r="M1" s="622" t="s">
        <v>9309</v>
      </c>
      <c r="N1" s="137" t="s">
        <v>8307</v>
      </c>
      <c r="O1" s="627" t="s">
        <v>5</v>
      </c>
      <c r="P1" s="628" t="s">
        <v>119</v>
      </c>
      <c r="Q1" s="629" t="s">
        <v>188</v>
      </c>
      <c r="R1" s="630" t="s">
        <v>8867</v>
      </c>
      <c r="S1" t="s">
        <v>190</v>
      </c>
      <c r="T1" t="s">
        <v>189</v>
      </c>
      <c r="U1" s="623" t="s">
        <v>11</v>
      </c>
      <c r="V1" s="623" t="s">
        <v>10</v>
      </c>
      <c r="W1" t="s">
        <v>205</v>
      </c>
      <c r="X1" t="s">
        <v>206</v>
      </c>
      <c r="Y1" t="s">
        <v>207</v>
      </c>
      <c r="Z1" t="s">
        <v>208</v>
      </c>
      <c r="AA1" t="s">
        <v>8577</v>
      </c>
    </row>
    <row r="2" spans="1:27">
      <c r="A2" s="135">
        <v>45300</v>
      </c>
      <c r="B2" s="491">
        <v>1</v>
      </c>
      <c r="C2" s="100" t="s">
        <v>8003</v>
      </c>
      <c r="D2" s="138" t="s">
        <v>139</v>
      </c>
      <c r="E2" s="138" t="s">
        <v>7574</v>
      </c>
      <c r="F2" s="138" t="s">
        <v>144</v>
      </c>
      <c r="G2" s="138" t="s">
        <v>7551</v>
      </c>
      <c r="H2" s="138">
        <v>87</v>
      </c>
      <c r="I2" s="631">
        <v>5000</v>
      </c>
      <c r="J2" s="457">
        <f t="shared" ref="J2:J65" si="0">H2*I2</f>
        <v>435000</v>
      </c>
      <c r="K2" s="457">
        <f>tbl_국내[[#This Row],[금액]]*1.1</f>
        <v>478500.00000000006</v>
      </c>
      <c r="L2" s="458">
        <v>45298</v>
      </c>
      <c r="M2" s="141">
        <v>45299</v>
      </c>
      <c r="N2" s="457">
        <v>478500</v>
      </c>
      <c r="O2" s="141">
        <v>45309</v>
      </c>
      <c r="P2" s="141">
        <v>45300</v>
      </c>
      <c r="Q2" s="616"/>
      <c r="R2" s="616">
        <f>YEAR(tbl_국내[[#This Row],[계산서
발행일/구매확정일]])</f>
        <v>2024</v>
      </c>
      <c r="S2" s="617">
        <f>IF(국내!$P2="",0,MONTH(국내!$P2))</f>
        <v>1</v>
      </c>
      <c r="T2" s="617" t="str">
        <f>IFERROR(VLOOKUP($F2,product[],6,0),"error")</f>
        <v>error</v>
      </c>
      <c r="U2" s="138"/>
      <c r="V2" s="138"/>
      <c r="W2" s="617" t="str">
        <f>IF($T2="카메라",VLOOKUP($F2,드롭다운!$A:$F,2,0),"")</f>
        <v/>
      </c>
      <c r="X2" s="617" t="str">
        <f>IF($T2="카메라",VLOOKUP($F2,드롭다운!$A:$F,3,0),"")</f>
        <v/>
      </c>
      <c r="Y2" s="617" t="str">
        <f>IF($T2="카메라",VLOOKUP($F2,드롭다운!$A:$F,4,0),"")</f>
        <v/>
      </c>
      <c r="Z2" s="617" t="str">
        <f>IF($T2="카메라",VLOOKUP($F2,드롭다운!$A:$F,5,0),"")</f>
        <v/>
      </c>
      <c r="AA2" s="632"/>
    </row>
    <row r="3" spans="1:27">
      <c r="A3" s="135">
        <v>45306</v>
      </c>
      <c r="B3" s="491">
        <v>2</v>
      </c>
      <c r="C3" s="100" t="s">
        <v>8315</v>
      </c>
      <c r="D3" s="138" t="s">
        <v>128</v>
      </c>
      <c r="E3" s="138" t="s">
        <v>7575</v>
      </c>
      <c r="F3" s="138" t="s">
        <v>121</v>
      </c>
      <c r="G3" s="138" t="s">
        <v>7551</v>
      </c>
      <c r="H3" s="138">
        <v>8</v>
      </c>
      <c r="I3" s="631">
        <v>564000</v>
      </c>
      <c r="J3" s="457">
        <f t="shared" si="0"/>
        <v>4512000</v>
      </c>
      <c r="K3" s="457">
        <f>tbl_국내[[#This Row],[금액]]*1.1</f>
        <v>4963200</v>
      </c>
      <c r="L3" s="458">
        <v>45304</v>
      </c>
      <c r="M3" s="141">
        <v>45305</v>
      </c>
      <c r="N3" s="457" t="s">
        <v>172</v>
      </c>
      <c r="O3" s="141" t="s">
        <v>172</v>
      </c>
      <c r="P3" s="141">
        <v>45306</v>
      </c>
      <c r="Q3" s="616"/>
      <c r="R3" s="616">
        <f>YEAR(tbl_국내[[#This Row],[계산서
발행일/구매확정일]])</f>
        <v>2024</v>
      </c>
      <c r="S3" s="617">
        <f>IF(국내!$P3="",0,MONTH(국내!$P3))</f>
        <v>1</v>
      </c>
      <c r="T3" s="617" t="str">
        <f>IFERROR(VLOOKUP($F3,product[],6,0),"error")</f>
        <v>error</v>
      </c>
      <c r="U3" s="138"/>
      <c r="V3" s="138"/>
      <c r="W3" s="617" t="str">
        <f>IF($T3="카메라",VLOOKUP($F3,드롭다운!$A:$F,2,0),"")</f>
        <v/>
      </c>
      <c r="X3" s="617" t="str">
        <f>IF($T3="카메라",VLOOKUP($F3,드롭다운!$A:$F,3,0),"")</f>
        <v/>
      </c>
      <c r="Y3" s="617" t="str">
        <f>IF($T3="카메라",VLOOKUP($F3,드롭다운!$A:$F,4,0),"")</f>
        <v/>
      </c>
      <c r="Z3" s="617" t="str">
        <f>IF($T3="카메라",VLOOKUP($F3,드롭다운!$A:$F,5,0),"")</f>
        <v/>
      </c>
      <c r="AA3" s="617"/>
    </row>
    <row r="4" spans="1:27">
      <c r="A4" s="135">
        <v>45314</v>
      </c>
      <c r="B4" s="491">
        <v>3</v>
      </c>
      <c r="C4" s="100" t="s">
        <v>8316</v>
      </c>
      <c r="D4" s="138" t="s">
        <v>127</v>
      </c>
      <c r="E4" s="138" t="s">
        <v>7576</v>
      </c>
      <c r="F4" s="138" t="s">
        <v>108</v>
      </c>
      <c r="G4" s="138" t="s">
        <v>7551</v>
      </c>
      <c r="H4" s="138">
        <v>3</v>
      </c>
      <c r="I4" s="631">
        <v>500000</v>
      </c>
      <c r="J4" s="457">
        <f t="shared" si="0"/>
        <v>1500000</v>
      </c>
      <c r="K4" s="457">
        <f>tbl_국내[[#This Row],[금액]]*1.1</f>
        <v>1650000.0000000002</v>
      </c>
      <c r="L4" s="458">
        <v>45312</v>
      </c>
      <c r="M4" s="141">
        <v>45313</v>
      </c>
      <c r="N4" s="457">
        <v>1650000</v>
      </c>
      <c r="O4" s="141">
        <v>45322</v>
      </c>
      <c r="P4" s="141">
        <v>45314</v>
      </c>
      <c r="Q4" s="616"/>
      <c r="R4" s="616">
        <f>YEAR(tbl_국내[[#This Row],[계산서
발행일/구매확정일]])</f>
        <v>2024</v>
      </c>
      <c r="S4" s="617">
        <f>IF(국내!$P4="",0,MONTH(국내!$P4))</f>
        <v>1</v>
      </c>
      <c r="T4" s="617" t="str">
        <f>IFERROR(VLOOKUP($F4,product[],6,0),"error")</f>
        <v>error</v>
      </c>
      <c r="U4" s="138"/>
      <c r="V4" s="138"/>
      <c r="W4" s="617" t="str">
        <f>IF($T4="카메라",VLOOKUP($F4,드롭다운!$A:$F,2,0),"")</f>
        <v/>
      </c>
      <c r="X4" s="617" t="str">
        <f>IF($T4="카메라",VLOOKUP($F4,드롭다운!$A:$F,3,0),"")</f>
        <v/>
      </c>
      <c r="Y4" s="617" t="str">
        <f>IF($T4="카메라",VLOOKUP($F4,드롭다운!$A:$F,4,0),"")</f>
        <v/>
      </c>
      <c r="Z4" s="617" t="str">
        <f>IF($T4="카메라",VLOOKUP($F4,드롭다운!$A:$F,5,0),"")</f>
        <v/>
      </c>
      <c r="AA4" s="617"/>
    </row>
    <row r="5" spans="1:27">
      <c r="A5" s="135">
        <v>45322</v>
      </c>
      <c r="B5" s="491">
        <v>4</v>
      </c>
      <c r="C5" s="100" t="s">
        <v>8317</v>
      </c>
      <c r="D5" s="138" t="s">
        <v>120</v>
      </c>
      <c r="E5" s="138" t="s">
        <v>7576</v>
      </c>
      <c r="F5" s="138" t="s">
        <v>108</v>
      </c>
      <c r="G5" s="138" t="s">
        <v>7551</v>
      </c>
      <c r="H5" s="138">
        <v>1</v>
      </c>
      <c r="I5" s="631">
        <v>150000</v>
      </c>
      <c r="J5" s="457">
        <f t="shared" si="0"/>
        <v>150000</v>
      </c>
      <c r="K5" s="457">
        <f>tbl_국내[[#This Row],[금액]]*1.1</f>
        <v>165000</v>
      </c>
      <c r="L5" s="458">
        <v>45320</v>
      </c>
      <c r="M5" s="141">
        <v>45321</v>
      </c>
      <c r="N5" s="457">
        <v>165000</v>
      </c>
      <c r="O5" s="141">
        <v>45138</v>
      </c>
      <c r="P5" s="141">
        <v>45322</v>
      </c>
      <c r="Q5" s="616"/>
      <c r="R5" s="616">
        <f>YEAR(tbl_국내[[#This Row],[계산서
발행일/구매확정일]])</f>
        <v>2024</v>
      </c>
      <c r="S5" s="617">
        <f>IF(국내!$P5="",0,MONTH(국내!$P5))</f>
        <v>1</v>
      </c>
      <c r="T5" s="617" t="str">
        <f>IFERROR(VLOOKUP($F5,product[],6,0),"error")</f>
        <v>error</v>
      </c>
      <c r="U5" s="138"/>
      <c r="V5" s="138"/>
      <c r="W5" s="617" t="str">
        <f>IF($T5="카메라",VLOOKUP($F5,드롭다운!$A:$F,2,0),"")</f>
        <v/>
      </c>
      <c r="X5" s="617" t="str">
        <f>IF($T5="카메라",VLOOKUP($F5,드롭다운!$A:$F,3,0),"")</f>
        <v/>
      </c>
      <c r="Y5" s="617" t="str">
        <f>IF($T5="카메라",VLOOKUP($F5,드롭다운!$A:$F,4,0),"")</f>
        <v/>
      </c>
      <c r="Z5" s="617" t="str">
        <f>IF($T5="카메라",VLOOKUP($F5,드롭다운!$A:$F,5,0),"")</f>
        <v/>
      </c>
      <c r="AA5" s="617"/>
    </row>
    <row r="6" spans="1:27">
      <c r="A6" s="135">
        <v>45327</v>
      </c>
      <c r="B6" s="491">
        <v>1</v>
      </c>
      <c r="C6" s="100" t="s">
        <v>8318</v>
      </c>
      <c r="D6" s="138" t="s">
        <v>128</v>
      </c>
      <c r="E6" s="138" t="s">
        <v>7572</v>
      </c>
      <c r="F6" s="138" t="s">
        <v>113</v>
      </c>
      <c r="G6" s="138" t="s">
        <v>7553</v>
      </c>
      <c r="H6" s="138">
        <v>8</v>
      </c>
      <c r="I6" s="631">
        <v>4806000</v>
      </c>
      <c r="J6" s="457">
        <f t="shared" si="0"/>
        <v>38448000</v>
      </c>
      <c r="K6" s="457">
        <f>tbl_국내[[#This Row],[금액]]*1.1</f>
        <v>42292800</v>
      </c>
      <c r="L6" s="458">
        <v>45325</v>
      </c>
      <c r="M6" s="141">
        <v>45326</v>
      </c>
      <c r="N6" s="457" t="s">
        <v>172</v>
      </c>
      <c r="O6" s="141" t="s">
        <v>172</v>
      </c>
      <c r="P6" s="141">
        <v>45327</v>
      </c>
      <c r="Q6" s="616"/>
      <c r="R6" s="616">
        <f>YEAR(tbl_국내[[#This Row],[계산서
발행일/구매확정일]])</f>
        <v>2024</v>
      </c>
      <c r="S6" s="617">
        <f>IF(국내!$P6="",0,MONTH(국내!$P6))</f>
        <v>2</v>
      </c>
      <c r="T6" s="617" t="str">
        <f>IFERROR(VLOOKUP($F6,product[],6,0),"error")</f>
        <v>카메라</v>
      </c>
      <c r="U6" s="138"/>
      <c r="V6" s="138"/>
      <c r="W6" s="617" t="str">
        <f>IF($T6="카메라",VLOOKUP($F6,드롭다운!$A:$F,2,0),"")</f>
        <v>VGA</v>
      </c>
      <c r="X6" s="617" t="str">
        <f>IF($T6="카메라",VLOOKUP($F6,드롭다운!$A:$F,3,0),"")</f>
        <v>Security</v>
      </c>
      <c r="Y6" s="617" t="str">
        <f>IF($T6="카메라",VLOOKUP($F6,드롭다운!$A:$F,4,0),"")</f>
        <v>Network</v>
      </c>
      <c r="Z6" s="617">
        <f>IF($T6="카메라",VLOOKUP($F6,드롭다운!$A:$F,5,0),"")</f>
        <v>17</v>
      </c>
      <c r="AA6" s="617"/>
    </row>
    <row r="7" spans="1:27">
      <c r="A7" s="135">
        <v>45329</v>
      </c>
      <c r="B7" s="491">
        <v>2</v>
      </c>
      <c r="C7" s="100" t="s">
        <v>8319</v>
      </c>
      <c r="D7" s="138" t="s">
        <v>128</v>
      </c>
      <c r="E7" s="138" t="s">
        <v>7572</v>
      </c>
      <c r="F7" s="138" t="s">
        <v>103</v>
      </c>
      <c r="G7" s="138" t="s">
        <v>7523</v>
      </c>
      <c r="H7" s="138">
        <v>1</v>
      </c>
      <c r="I7" s="631">
        <v>4222800</v>
      </c>
      <c r="J7" s="457">
        <f t="shared" si="0"/>
        <v>4222800</v>
      </c>
      <c r="K7" s="457">
        <f>tbl_국내[[#This Row],[금액]]*1.1</f>
        <v>4645080</v>
      </c>
      <c r="L7" s="458">
        <v>45327</v>
      </c>
      <c r="M7" s="141">
        <v>45328</v>
      </c>
      <c r="N7" s="457" t="s">
        <v>172</v>
      </c>
      <c r="O7" s="141" t="s">
        <v>172</v>
      </c>
      <c r="P7" s="141">
        <v>45329</v>
      </c>
      <c r="Q7" s="616"/>
      <c r="R7" s="616">
        <f>YEAR(tbl_국내[[#This Row],[계산서
발행일/구매확정일]])</f>
        <v>2024</v>
      </c>
      <c r="S7" s="617">
        <f>IF(국내!$P7="",0,MONTH(국내!$P7))</f>
        <v>2</v>
      </c>
      <c r="T7" s="617" t="str">
        <f>IFERROR(VLOOKUP($F7,product[],6,0),"error")</f>
        <v>카메라</v>
      </c>
      <c r="U7" s="138"/>
      <c r="V7" s="138"/>
      <c r="W7" s="617" t="str">
        <f>IF($T7="카메라",VLOOKUP($F7,드롭다운!$A:$F,2,0),"")</f>
        <v>VGA</v>
      </c>
      <c r="X7" s="617" t="str">
        <f>IF($T7="카메라",VLOOKUP($F7,드롭다운!$A:$F,3,0),"")</f>
        <v>Radiometric</v>
      </c>
      <c r="Y7" s="617" t="str">
        <f>IF($T7="카메라",VLOOKUP($F7,드롭다운!$A:$F,4,0),"")</f>
        <v>Network</v>
      </c>
      <c r="Z7" s="617">
        <f>IF($T7="카메라",VLOOKUP($F7,드롭다운!$A:$F,5,0),"")</f>
        <v>17</v>
      </c>
      <c r="AA7" s="617"/>
    </row>
    <row r="8" spans="1:27">
      <c r="A8" s="135">
        <v>45341</v>
      </c>
      <c r="B8" s="491">
        <v>3</v>
      </c>
      <c r="C8" s="100" t="s">
        <v>8320</v>
      </c>
      <c r="D8" s="138" t="s">
        <v>140</v>
      </c>
      <c r="E8" s="138" t="s">
        <v>7576</v>
      </c>
      <c r="F8" s="138" t="s">
        <v>108</v>
      </c>
      <c r="G8" s="138" t="s">
        <v>7551</v>
      </c>
      <c r="H8" s="138">
        <v>1</v>
      </c>
      <c r="I8" s="631">
        <v>100000</v>
      </c>
      <c r="J8" s="457">
        <f t="shared" si="0"/>
        <v>100000</v>
      </c>
      <c r="K8" s="457">
        <f>tbl_국내[[#This Row],[금액]]*1.1</f>
        <v>110000.00000000001</v>
      </c>
      <c r="L8" s="458">
        <v>45339</v>
      </c>
      <c r="M8" s="141">
        <v>45340</v>
      </c>
      <c r="N8" s="457">
        <v>110000</v>
      </c>
      <c r="O8" s="141">
        <v>45341</v>
      </c>
      <c r="P8" s="141">
        <v>45341</v>
      </c>
      <c r="Q8" s="616"/>
      <c r="R8" s="616">
        <f>YEAR(tbl_국내[[#This Row],[계산서
발행일/구매확정일]])</f>
        <v>2024</v>
      </c>
      <c r="S8" s="617">
        <f>IF(국내!$P8="",0,MONTH(국내!$P8))</f>
        <v>2</v>
      </c>
      <c r="T8" s="617" t="str">
        <f>IFERROR(VLOOKUP($F8,product[],6,0),"error")</f>
        <v>error</v>
      </c>
      <c r="U8" s="138"/>
      <c r="V8" s="138"/>
      <c r="W8" s="617" t="str">
        <f>IF($T8="카메라",VLOOKUP($F8,드롭다운!$A:$F,2,0),"")</f>
        <v/>
      </c>
      <c r="X8" s="617" t="str">
        <f>IF($T8="카메라",VLOOKUP($F8,드롭다운!$A:$F,3,0),"")</f>
        <v/>
      </c>
      <c r="Y8" s="617" t="str">
        <f>IF($T8="카메라",VLOOKUP($F8,드롭다운!$A:$F,4,0),"")</f>
        <v/>
      </c>
      <c r="Z8" s="617" t="str">
        <f>IF($T8="카메라",VLOOKUP($F8,드롭다운!$A:$F,5,0),"")</f>
        <v/>
      </c>
      <c r="AA8" s="617"/>
    </row>
    <row r="9" spans="1:27">
      <c r="A9" s="135">
        <v>45345</v>
      </c>
      <c r="B9" s="491">
        <v>4</v>
      </c>
      <c r="C9" s="100" t="s">
        <v>8321</v>
      </c>
      <c r="D9" s="138" t="s">
        <v>134</v>
      </c>
      <c r="E9" s="138" t="s">
        <v>7570</v>
      </c>
      <c r="F9" s="138" t="s">
        <v>51</v>
      </c>
      <c r="G9" s="138" t="s">
        <v>7551</v>
      </c>
      <c r="H9" s="138">
        <v>2</v>
      </c>
      <c r="I9" s="631">
        <v>628000</v>
      </c>
      <c r="J9" s="457">
        <f t="shared" si="0"/>
        <v>1256000</v>
      </c>
      <c r="K9" s="457">
        <f>tbl_국내[[#This Row],[금액]]*1.1</f>
        <v>1381600</v>
      </c>
      <c r="L9" s="458">
        <v>45343</v>
      </c>
      <c r="M9" s="141">
        <v>45344</v>
      </c>
      <c r="N9" s="457">
        <v>1711600</v>
      </c>
      <c r="O9" s="141">
        <v>45345</v>
      </c>
      <c r="P9" s="141">
        <v>45345</v>
      </c>
      <c r="Q9" s="616"/>
      <c r="R9" s="616">
        <f>YEAR(tbl_국내[[#This Row],[계산서
발행일/구매확정일]])</f>
        <v>2024</v>
      </c>
      <c r="S9" s="617">
        <f>IF(국내!$P9="",0,MONTH(국내!$P9))</f>
        <v>2</v>
      </c>
      <c r="T9" s="617" t="str">
        <f>IFERROR(VLOOKUP($F9,product[],6,0),"error")</f>
        <v>error</v>
      </c>
      <c r="U9" s="138"/>
      <c r="V9" s="138"/>
      <c r="W9" s="617" t="str">
        <f>IF($T9="카메라",VLOOKUP($F9,드롭다운!$A:$F,2,0),"")</f>
        <v/>
      </c>
      <c r="X9" s="617" t="str">
        <f>IF($T9="카메라",VLOOKUP($F9,드롭다운!$A:$F,3,0),"")</f>
        <v/>
      </c>
      <c r="Y9" s="617" t="str">
        <f>IF($T9="카메라",VLOOKUP($F9,드롭다운!$A:$F,4,0),"")</f>
        <v/>
      </c>
      <c r="Z9" s="617" t="str">
        <f>IF($T9="카메라",VLOOKUP($F9,드롭다운!$A:$F,5,0),"")</f>
        <v/>
      </c>
      <c r="AA9" s="617"/>
    </row>
    <row r="10" spans="1:27">
      <c r="A10" s="135">
        <v>45345</v>
      </c>
      <c r="B10" s="491">
        <v>4</v>
      </c>
      <c r="C10" s="100" t="s">
        <v>8321</v>
      </c>
      <c r="D10" s="138" t="s">
        <v>134</v>
      </c>
      <c r="E10" s="138" t="s">
        <v>7576</v>
      </c>
      <c r="F10" s="138" t="s">
        <v>135</v>
      </c>
      <c r="G10" s="138" t="s">
        <v>7551</v>
      </c>
      <c r="H10" s="138">
        <v>2</v>
      </c>
      <c r="I10" s="631">
        <v>150000</v>
      </c>
      <c r="J10" s="457">
        <f t="shared" si="0"/>
        <v>300000</v>
      </c>
      <c r="K10" s="457">
        <f>tbl_국내[[#This Row],[금액]]*1.1</f>
        <v>330000</v>
      </c>
      <c r="L10" s="458">
        <v>45343</v>
      </c>
      <c r="M10" s="141">
        <v>45344</v>
      </c>
      <c r="N10" s="457">
        <v>0</v>
      </c>
      <c r="O10" s="141">
        <v>45345</v>
      </c>
      <c r="P10" s="141">
        <v>45345</v>
      </c>
      <c r="Q10" s="616"/>
      <c r="R10" s="616">
        <f>YEAR(tbl_국내[[#This Row],[계산서
발행일/구매확정일]])</f>
        <v>2024</v>
      </c>
      <c r="S10" s="617">
        <f>IF(국내!$P10="",0,MONTH(국내!$P10))</f>
        <v>2</v>
      </c>
      <c r="T10" s="617" t="str">
        <f>IFERROR(VLOOKUP($F10,product[],6,0),"error")</f>
        <v>error</v>
      </c>
      <c r="U10" s="138"/>
      <c r="V10" s="138"/>
      <c r="W10" s="617" t="str">
        <f>IF($T10="카메라",VLOOKUP($F10,드롭다운!$A:$F,2,0),"")</f>
        <v/>
      </c>
      <c r="X10" s="617" t="str">
        <f>IF($T10="카메라",VLOOKUP($F10,드롭다운!$A:$F,3,0),"")</f>
        <v/>
      </c>
      <c r="Y10" s="617" t="str">
        <f>IF($T10="카메라",VLOOKUP($F10,드롭다운!$A:$F,4,0),"")</f>
        <v/>
      </c>
      <c r="Z10" s="617" t="str">
        <f>IF($T10="카메라",VLOOKUP($F10,드롭다운!$A:$F,5,0),"")</f>
        <v/>
      </c>
      <c r="AA10" s="617"/>
    </row>
    <row r="11" spans="1:27">
      <c r="A11" s="135">
        <v>45356</v>
      </c>
      <c r="B11" s="491">
        <v>1</v>
      </c>
      <c r="C11" s="100" t="s">
        <v>8322</v>
      </c>
      <c r="D11" s="138" t="s">
        <v>141</v>
      </c>
      <c r="E11" s="138" t="s">
        <v>7576</v>
      </c>
      <c r="F11" s="138" t="s">
        <v>108</v>
      </c>
      <c r="G11" s="138" t="s">
        <v>7551</v>
      </c>
      <c r="H11" s="138">
        <v>1</v>
      </c>
      <c r="I11" s="631">
        <v>500000</v>
      </c>
      <c r="J11" s="457">
        <f t="shared" si="0"/>
        <v>500000</v>
      </c>
      <c r="K11" s="457">
        <f>tbl_국내[[#This Row],[금액]]*1.1</f>
        <v>550000</v>
      </c>
      <c r="L11" s="458">
        <v>45354</v>
      </c>
      <c r="M11" s="141">
        <v>45355</v>
      </c>
      <c r="N11" s="457">
        <v>550000</v>
      </c>
      <c r="O11" s="141">
        <v>45359</v>
      </c>
      <c r="P11" s="141">
        <v>45356</v>
      </c>
      <c r="Q11" s="616"/>
      <c r="R11" s="616">
        <f>YEAR(tbl_국내[[#This Row],[계산서
발행일/구매확정일]])</f>
        <v>2024</v>
      </c>
      <c r="S11" s="617">
        <f>IF(국내!$P11="",0,MONTH(국내!$P11))</f>
        <v>3</v>
      </c>
      <c r="T11" s="617" t="str">
        <f>IFERROR(VLOOKUP($F11,product[],6,0),"error")</f>
        <v>error</v>
      </c>
      <c r="U11" s="138"/>
      <c r="V11" s="138"/>
      <c r="W11" s="617" t="str">
        <f>IF($T11="카메라",VLOOKUP($F11,드롭다운!$A:$F,2,0),"")</f>
        <v/>
      </c>
      <c r="X11" s="617" t="str">
        <f>IF($T11="카메라",VLOOKUP($F11,드롭다운!$A:$F,3,0),"")</f>
        <v/>
      </c>
      <c r="Y11" s="617" t="str">
        <f>IF($T11="카메라",VLOOKUP($F11,드롭다운!$A:$F,4,0),"")</f>
        <v/>
      </c>
      <c r="Z11" s="617" t="str">
        <f>IF($T11="카메라",VLOOKUP($F11,드롭다운!$A:$F,5,0),"")</f>
        <v/>
      </c>
      <c r="AA11" s="617"/>
    </row>
    <row r="12" spans="1:27">
      <c r="A12" s="135">
        <v>45358</v>
      </c>
      <c r="B12" s="491">
        <v>2</v>
      </c>
      <c r="C12" s="100" t="s">
        <v>8323</v>
      </c>
      <c r="D12" s="138" t="s">
        <v>142</v>
      </c>
      <c r="E12" s="138" t="s">
        <v>7576</v>
      </c>
      <c r="F12" s="138" t="s">
        <v>108</v>
      </c>
      <c r="G12" s="138" t="s">
        <v>7551</v>
      </c>
      <c r="H12" s="138">
        <v>1</v>
      </c>
      <c r="I12" s="631">
        <v>100000</v>
      </c>
      <c r="J12" s="457">
        <f t="shared" si="0"/>
        <v>100000</v>
      </c>
      <c r="K12" s="457">
        <f>tbl_국내[[#This Row],[금액]]*1.1</f>
        <v>110000.00000000001</v>
      </c>
      <c r="L12" s="458">
        <v>45356</v>
      </c>
      <c r="M12" s="141">
        <v>45357</v>
      </c>
      <c r="N12" s="457">
        <v>110000</v>
      </c>
      <c r="O12" s="141">
        <v>45391</v>
      </c>
      <c r="P12" s="141">
        <v>45358</v>
      </c>
      <c r="Q12" s="616"/>
      <c r="R12" s="616">
        <f>YEAR(tbl_국내[[#This Row],[계산서
발행일/구매확정일]])</f>
        <v>2024</v>
      </c>
      <c r="S12" s="617">
        <f>IF(국내!$P12="",0,MONTH(국내!$P12))</f>
        <v>3</v>
      </c>
      <c r="T12" s="617" t="str">
        <f>IFERROR(VLOOKUP($F12,product[],6,0),"error")</f>
        <v>error</v>
      </c>
      <c r="U12" s="138"/>
      <c r="V12" s="138"/>
      <c r="W12" s="617" t="str">
        <f>IF($T12="카메라",VLOOKUP($F12,드롭다운!$A:$F,2,0),"")</f>
        <v/>
      </c>
      <c r="X12" s="617" t="str">
        <f>IF($T12="카메라",VLOOKUP($F12,드롭다운!$A:$F,3,0),"")</f>
        <v/>
      </c>
      <c r="Y12" s="617" t="str">
        <f>IF($T12="카메라",VLOOKUP($F12,드롭다운!$A:$F,4,0),"")</f>
        <v/>
      </c>
      <c r="Z12" s="617" t="str">
        <f>IF($T12="카메라",VLOOKUP($F12,드롭다운!$A:$F,5,0),"")</f>
        <v/>
      </c>
      <c r="AA12" s="617"/>
    </row>
    <row r="13" spans="1:27">
      <c r="A13" s="135">
        <v>45359</v>
      </c>
      <c r="B13" s="491">
        <v>3</v>
      </c>
      <c r="C13" s="100" t="s">
        <v>8324</v>
      </c>
      <c r="D13" s="138" t="s">
        <v>132</v>
      </c>
      <c r="E13" s="138" t="s">
        <v>7576</v>
      </c>
      <c r="F13" s="138" t="s">
        <v>108</v>
      </c>
      <c r="G13" s="138" t="s">
        <v>7551</v>
      </c>
      <c r="H13" s="138">
        <v>1</v>
      </c>
      <c r="I13" s="631">
        <v>300000</v>
      </c>
      <c r="J13" s="457">
        <f t="shared" si="0"/>
        <v>300000</v>
      </c>
      <c r="K13" s="457">
        <f>tbl_국내[[#This Row],[금액]]*1.1</f>
        <v>330000</v>
      </c>
      <c r="L13" s="458">
        <v>45357</v>
      </c>
      <c r="M13" s="141">
        <v>45358</v>
      </c>
      <c r="N13" s="457">
        <v>330000</v>
      </c>
      <c r="O13" s="141">
        <v>45366</v>
      </c>
      <c r="P13" s="141">
        <v>45359</v>
      </c>
      <c r="Q13" s="616"/>
      <c r="R13" s="616">
        <f>YEAR(tbl_국내[[#This Row],[계산서
발행일/구매확정일]])</f>
        <v>2024</v>
      </c>
      <c r="S13" s="617">
        <f>IF(국내!$P13="",0,MONTH(국내!$P13))</f>
        <v>3</v>
      </c>
      <c r="T13" s="617" t="str">
        <f>IFERROR(VLOOKUP($F13,product[],6,0),"error")</f>
        <v>error</v>
      </c>
      <c r="U13" s="138"/>
      <c r="V13" s="138"/>
      <c r="W13" s="617" t="str">
        <f>IF($T13="카메라",VLOOKUP($F13,드롭다운!$A:$F,2,0),"")</f>
        <v/>
      </c>
      <c r="X13" s="617" t="str">
        <f>IF($T13="카메라",VLOOKUP($F13,드롭다운!$A:$F,3,0),"")</f>
        <v/>
      </c>
      <c r="Y13" s="617" t="str">
        <f>IF($T13="카메라",VLOOKUP($F13,드롭다운!$A:$F,4,0),"")</f>
        <v/>
      </c>
      <c r="Z13" s="617" t="str">
        <f>IF($T13="카메라",VLOOKUP($F13,드롭다운!$A:$F,5,0),"")</f>
        <v/>
      </c>
      <c r="AA13" s="617"/>
    </row>
    <row r="14" spans="1:27">
      <c r="A14" s="135">
        <v>45359</v>
      </c>
      <c r="B14" s="491">
        <v>4</v>
      </c>
      <c r="C14" s="100" t="s">
        <v>8325</v>
      </c>
      <c r="D14" s="138" t="s">
        <v>127</v>
      </c>
      <c r="E14" s="138" t="s">
        <v>7572</v>
      </c>
      <c r="F14" s="138" t="s">
        <v>149</v>
      </c>
      <c r="G14" s="138" t="s">
        <v>7515</v>
      </c>
      <c r="H14" s="138">
        <v>1</v>
      </c>
      <c r="I14" s="631">
        <v>2356000</v>
      </c>
      <c r="J14" s="457">
        <f t="shared" si="0"/>
        <v>2356000</v>
      </c>
      <c r="K14" s="457">
        <f>tbl_국내[[#This Row],[금액]]*1.1</f>
        <v>2591600</v>
      </c>
      <c r="L14" s="458">
        <v>45357</v>
      </c>
      <c r="M14" s="141">
        <v>45358</v>
      </c>
      <c r="N14" s="457">
        <v>2591600</v>
      </c>
      <c r="O14" s="141">
        <v>45366</v>
      </c>
      <c r="P14" s="141">
        <v>45359</v>
      </c>
      <c r="Q14" s="616"/>
      <c r="R14" s="616">
        <f>YEAR(tbl_국내[[#This Row],[계산서
발행일/구매확정일]])</f>
        <v>2024</v>
      </c>
      <c r="S14" s="617">
        <f>IF(국내!$P14="",0,MONTH(국내!$P14))</f>
        <v>3</v>
      </c>
      <c r="T14" s="617" t="str">
        <f>IFERROR(VLOOKUP($F14,product[],6,0),"error")</f>
        <v>카메라</v>
      </c>
      <c r="U14" s="138"/>
      <c r="V14" s="138"/>
      <c r="W14" s="617" t="str">
        <f>IF($T14="카메라",VLOOKUP($F14,드롭다운!$A:$F,2,0),"")</f>
        <v>QVGA</v>
      </c>
      <c r="X14" s="617" t="str">
        <f>IF($T14="카메라",VLOOKUP($F14,드롭다운!$A:$F,3,0),"")</f>
        <v>Radiometric</v>
      </c>
      <c r="Y14" s="617" t="str">
        <f>IF($T14="카메라",VLOOKUP($F14,드롭다운!$A:$F,4,0),"")</f>
        <v>Analogue</v>
      </c>
      <c r="Z14" s="617">
        <f>IF($T14="카메라",VLOOKUP($F14,드롭다운!$A:$F,5,0),"")</f>
        <v>12</v>
      </c>
      <c r="AA14" s="617"/>
    </row>
    <row r="15" spans="1:27">
      <c r="A15" s="135">
        <v>45365</v>
      </c>
      <c r="B15" s="491">
        <v>5</v>
      </c>
      <c r="C15" s="100" t="s">
        <v>8326</v>
      </c>
      <c r="D15" s="138" t="s">
        <v>143</v>
      </c>
      <c r="E15" s="138" t="s">
        <v>7576</v>
      </c>
      <c r="F15" s="138" t="s">
        <v>108</v>
      </c>
      <c r="G15" s="138" t="s">
        <v>7551</v>
      </c>
      <c r="H15" s="138">
        <v>1</v>
      </c>
      <c r="I15" s="631">
        <v>20000</v>
      </c>
      <c r="J15" s="457">
        <f t="shared" si="0"/>
        <v>20000</v>
      </c>
      <c r="K15" s="457">
        <f>tbl_국내[[#This Row],[금액]]*1.1</f>
        <v>22000</v>
      </c>
      <c r="L15" s="458">
        <v>45363</v>
      </c>
      <c r="M15" s="141">
        <v>45364</v>
      </c>
      <c r="N15" s="457">
        <v>721600</v>
      </c>
      <c r="O15" s="141">
        <v>45372</v>
      </c>
      <c r="P15" s="141">
        <v>45365</v>
      </c>
      <c r="Q15" s="616"/>
      <c r="R15" s="616">
        <f>YEAR(tbl_국내[[#This Row],[계산서
발행일/구매확정일]])</f>
        <v>2024</v>
      </c>
      <c r="S15" s="617">
        <f>IF(국내!$P15="",0,MONTH(국내!$P15))</f>
        <v>3</v>
      </c>
      <c r="T15" s="617" t="str">
        <f>IFERROR(VLOOKUP($F15,product[],6,0),"error")</f>
        <v>error</v>
      </c>
      <c r="U15" s="138"/>
      <c r="V15" s="138"/>
      <c r="W15" s="617" t="str">
        <f>IF($T15="카메라",VLOOKUP($F15,드롭다운!$A:$F,2,0),"")</f>
        <v/>
      </c>
      <c r="X15" s="617" t="str">
        <f>IF($T15="카메라",VLOOKUP($F15,드롭다운!$A:$F,3,0),"")</f>
        <v/>
      </c>
      <c r="Y15" s="617" t="str">
        <f>IF($T15="카메라",VLOOKUP($F15,드롭다운!$A:$F,4,0),"")</f>
        <v/>
      </c>
      <c r="Z15" s="617" t="str">
        <f>IF($T15="카메라",VLOOKUP($F15,드롭다운!$A:$F,5,0),"")</f>
        <v/>
      </c>
      <c r="AA15" s="617"/>
    </row>
    <row r="16" spans="1:27">
      <c r="A16" s="135">
        <v>45365</v>
      </c>
      <c r="B16" s="491">
        <v>5</v>
      </c>
      <c r="C16" s="100" t="s">
        <v>8326</v>
      </c>
      <c r="D16" s="138" t="s">
        <v>143</v>
      </c>
      <c r="E16" s="138" t="s">
        <v>7576</v>
      </c>
      <c r="F16" s="138" t="s">
        <v>108</v>
      </c>
      <c r="G16" s="138" t="s">
        <v>7551</v>
      </c>
      <c r="H16" s="138">
        <v>2</v>
      </c>
      <c r="I16" s="631">
        <v>118000</v>
      </c>
      <c r="J16" s="457">
        <f t="shared" si="0"/>
        <v>236000</v>
      </c>
      <c r="K16" s="457">
        <f>tbl_국내[[#This Row],[금액]]*1.1</f>
        <v>259600.00000000003</v>
      </c>
      <c r="L16" s="458">
        <v>45363</v>
      </c>
      <c r="M16" s="141">
        <v>45364</v>
      </c>
      <c r="N16" s="457">
        <v>0</v>
      </c>
      <c r="O16" s="141">
        <v>45372</v>
      </c>
      <c r="P16" s="141">
        <v>45365</v>
      </c>
      <c r="Q16" s="616"/>
      <c r="R16" s="616">
        <f>YEAR(tbl_국내[[#This Row],[계산서
발행일/구매확정일]])</f>
        <v>2024</v>
      </c>
      <c r="S16" s="617">
        <f>IF(국내!$P16="",0,MONTH(국내!$P16))</f>
        <v>3</v>
      </c>
      <c r="T16" s="617" t="str">
        <f>IFERROR(VLOOKUP($F16,product[],6,0),"error")</f>
        <v>error</v>
      </c>
      <c r="U16" s="138"/>
      <c r="V16" s="138"/>
      <c r="W16" s="617" t="str">
        <f>IF($T16="카메라",VLOOKUP($F16,드롭다운!$A:$F,2,0),"")</f>
        <v/>
      </c>
      <c r="X16" s="617" t="str">
        <f>IF($T16="카메라",VLOOKUP($F16,드롭다운!$A:$F,3,0),"")</f>
        <v/>
      </c>
      <c r="Y16" s="617" t="str">
        <f>IF($T16="카메라",VLOOKUP($F16,드롭다운!$A:$F,4,0),"")</f>
        <v/>
      </c>
      <c r="Z16" s="617" t="str">
        <f>IF($T16="카메라",VLOOKUP($F16,드롭다운!$A:$F,5,0),"")</f>
        <v/>
      </c>
      <c r="AA16" s="617"/>
    </row>
    <row r="17" spans="1:27">
      <c r="A17" s="135">
        <v>45365</v>
      </c>
      <c r="B17" s="491">
        <v>5</v>
      </c>
      <c r="C17" s="100" t="s">
        <v>8326</v>
      </c>
      <c r="D17" s="138" t="s">
        <v>143</v>
      </c>
      <c r="E17" s="138" t="s">
        <v>7576</v>
      </c>
      <c r="F17" s="138" t="s">
        <v>108</v>
      </c>
      <c r="G17" s="138" t="s">
        <v>7551</v>
      </c>
      <c r="H17" s="138">
        <v>1</v>
      </c>
      <c r="I17" s="631">
        <v>400000</v>
      </c>
      <c r="J17" s="457">
        <f t="shared" si="0"/>
        <v>400000</v>
      </c>
      <c r="K17" s="457">
        <f>tbl_국내[[#This Row],[금액]]*1.1</f>
        <v>440000.00000000006</v>
      </c>
      <c r="L17" s="458">
        <v>45363</v>
      </c>
      <c r="M17" s="141">
        <v>45364</v>
      </c>
      <c r="N17" s="457">
        <v>0</v>
      </c>
      <c r="O17" s="141">
        <v>45372</v>
      </c>
      <c r="P17" s="141">
        <v>45365</v>
      </c>
      <c r="Q17" s="616"/>
      <c r="R17" s="616">
        <f>YEAR(tbl_국내[[#This Row],[계산서
발행일/구매확정일]])</f>
        <v>2024</v>
      </c>
      <c r="S17" s="617">
        <f>IF(국내!$P17="",0,MONTH(국내!$P17))</f>
        <v>3</v>
      </c>
      <c r="T17" s="617" t="str">
        <f>IFERROR(VLOOKUP($F17,product[],6,0),"error")</f>
        <v>error</v>
      </c>
      <c r="U17" s="138"/>
      <c r="V17" s="138"/>
      <c r="W17" s="617" t="str">
        <f>IF($T17="카메라",VLOOKUP($F17,드롭다운!$A:$F,2,0),"")</f>
        <v/>
      </c>
      <c r="X17" s="617" t="str">
        <f>IF($T17="카메라",VLOOKUP($F17,드롭다운!$A:$F,3,0),"")</f>
        <v/>
      </c>
      <c r="Y17" s="617" t="str">
        <f>IF($T17="카메라",VLOOKUP($F17,드롭다운!$A:$F,4,0),"")</f>
        <v/>
      </c>
      <c r="Z17" s="617" t="str">
        <f>IF($T17="카메라",VLOOKUP($F17,드롭다운!$A:$F,5,0),"")</f>
        <v/>
      </c>
      <c r="AA17" s="617"/>
    </row>
    <row r="18" spans="1:27">
      <c r="A18" s="135">
        <v>45366</v>
      </c>
      <c r="B18" s="491">
        <v>6</v>
      </c>
      <c r="C18" s="100" t="s">
        <v>8327</v>
      </c>
      <c r="D18" s="138" t="s">
        <v>170</v>
      </c>
      <c r="E18" s="138" t="s">
        <v>7572</v>
      </c>
      <c r="F18" s="138" t="s">
        <v>148</v>
      </c>
      <c r="G18" s="138" t="s">
        <v>7553</v>
      </c>
      <c r="H18" s="138">
        <v>1</v>
      </c>
      <c r="I18" s="631">
        <v>4936000</v>
      </c>
      <c r="J18" s="457">
        <f t="shared" si="0"/>
        <v>4936000</v>
      </c>
      <c r="K18" s="457">
        <f>tbl_국내[[#This Row],[금액]]*1.1</f>
        <v>5429600</v>
      </c>
      <c r="L18" s="458">
        <v>45364</v>
      </c>
      <c r="M18" s="141">
        <v>45365</v>
      </c>
      <c r="N18" s="457">
        <v>5429600</v>
      </c>
      <c r="O18" s="141">
        <v>45363</v>
      </c>
      <c r="P18" s="141">
        <v>45366</v>
      </c>
      <c r="Q18" s="616"/>
      <c r="R18" s="616">
        <f>YEAR(tbl_국내[[#This Row],[계산서
발행일/구매확정일]])</f>
        <v>2024</v>
      </c>
      <c r="S18" s="617">
        <f>IF(국내!$P18="",0,MONTH(국내!$P18))</f>
        <v>3</v>
      </c>
      <c r="T18" s="617" t="str">
        <f>IFERROR(VLOOKUP($F18,product[],6,0),"error")</f>
        <v>카메라</v>
      </c>
      <c r="U18" s="138"/>
      <c r="V18" s="138"/>
      <c r="W18" s="617" t="str">
        <f>IF($T18="카메라",VLOOKUP($F18,드롭다운!$A:$F,2,0),"")</f>
        <v>VGA</v>
      </c>
      <c r="X18" s="617" t="str">
        <f>IF($T18="카메라",VLOOKUP($F18,드롭다운!$A:$F,3,0),"")</f>
        <v>Security</v>
      </c>
      <c r="Y18" s="617" t="str">
        <f>IF($T18="카메라",VLOOKUP($F18,드롭다운!$A:$F,4,0),"")</f>
        <v>Analogue</v>
      </c>
      <c r="Z18" s="617">
        <f>IF($T18="카메라",VLOOKUP($F18,드롭다운!$A:$F,5,0),"")</f>
        <v>17</v>
      </c>
      <c r="AA18" s="617"/>
    </row>
    <row r="19" spans="1:27">
      <c r="A19" s="135">
        <v>45366</v>
      </c>
      <c r="B19" s="491">
        <v>7</v>
      </c>
      <c r="C19" s="100" t="s">
        <v>8328</v>
      </c>
      <c r="D19" s="138" t="s">
        <v>8300</v>
      </c>
      <c r="E19" s="138" t="s">
        <v>7572</v>
      </c>
      <c r="F19" s="138" t="s">
        <v>148</v>
      </c>
      <c r="G19" s="138" t="s">
        <v>7553</v>
      </c>
      <c r="H19" s="138">
        <v>1</v>
      </c>
      <c r="I19" s="631">
        <v>4936000</v>
      </c>
      <c r="J19" s="457">
        <f t="shared" si="0"/>
        <v>4936000</v>
      </c>
      <c r="K19" s="457">
        <f>tbl_국내[[#This Row],[금액]]*1.1</f>
        <v>5429600</v>
      </c>
      <c r="L19" s="458">
        <v>45364</v>
      </c>
      <c r="M19" s="141">
        <v>45365</v>
      </c>
      <c r="N19" s="457">
        <v>5429600</v>
      </c>
      <c r="O19" s="141" t="s">
        <v>171</v>
      </c>
      <c r="P19" s="141">
        <v>45366</v>
      </c>
      <c r="Q19" s="616" t="s">
        <v>191</v>
      </c>
      <c r="R19" s="616">
        <f>YEAR(tbl_국내[[#This Row],[계산서
발행일/구매확정일]])</f>
        <v>2024</v>
      </c>
      <c r="S19" s="617">
        <f>IF(국내!$P19="",0,MONTH(국내!$P19))</f>
        <v>3</v>
      </c>
      <c r="T19" s="617" t="str">
        <f>IFERROR(VLOOKUP($F19,product[],6,0),"error")</f>
        <v>카메라</v>
      </c>
      <c r="U19" s="138"/>
      <c r="V19" s="138"/>
      <c r="W19" s="617" t="str">
        <f>IF($T19="카메라",VLOOKUP($F19,드롭다운!$A:$F,2,0),"")</f>
        <v>VGA</v>
      </c>
      <c r="X19" s="617" t="str">
        <f>IF($T19="카메라",VLOOKUP($F19,드롭다운!$A:$F,3,0),"")</f>
        <v>Security</v>
      </c>
      <c r="Y19" s="617" t="str">
        <f>IF($T19="카메라",VLOOKUP($F19,드롭다운!$A:$F,4,0),"")</f>
        <v>Analogue</v>
      </c>
      <c r="Z19" s="617">
        <f>IF($T19="카메라",VLOOKUP($F19,드롭다운!$A:$F,5,0),"")</f>
        <v>17</v>
      </c>
      <c r="AA19" s="617"/>
    </row>
    <row r="20" spans="1:27">
      <c r="A20" s="135">
        <v>45366</v>
      </c>
      <c r="B20" s="491">
        <v>8</v>
      </c>
      <c r="C20" s="100" t="s">
        <v>8329</v>
      </c>
      <c r="D20" s="138" t="s">
        <v>129</v>
      </c>
      <c r="E20" s="138" t="s">
        <v>7572</v>
      </c>
      <c r="F20" s="138" t="s">
        <v>146</v>
      </c>
      <c r="G20" s="138" t="s">
        <v>7551</v>
      </c>
      <c r="H20" s="138">
        <v>1</v>
      </c>
      <c r="I20" s="631">
        <v>3627000</v>
      </c>
      <c r="J20" s="457">
        <f t="shared" si="0"/>
        <v>3627000</v>
      </c>
      <c r="K20" s="457">
        <f>tbl_국내[[#This Row],[금액]]*1.1</f>
        <v>3989700.0000000005</v>
      </c>
      <c r="L20" s="458">
        <v>45364</v>
      </c>
      <c r="M20" s="141">
        <v>45365</v>
      </c>
      <c r="N20" s="457">
        <v>11894850</v>
      </c>
      <c r="O20" s="141">
        <v>45370</v>
      </c>
      <c r="P20" s="141">
        <v>45366</v>
      </c>
      <c r="Q20" s="616"/>
      <c r="R20" s="616">
        <f>YEAR(tbl_국내[[#This Row],[계산서
발행일/구매확정일]])</f>
        <v>2024</v>
      </c>
      <c r="S20" s="617">
        <f>IF(국내!$P20="",0,MONTH(국내!$P20))</f>
        <v>3</v>
      </c>
      <c r="T20" s="617" t="str">
        <f>IFERROR(VLOOKUP($F20,product[],6,0),"error")</f>
        <v>카메라</v>
      </c>
      <c r="U20" s="138"/>
      <c r="V20" s="138"/>
      <c r="W20" s="617" t="str">
        <f>IF($T20="카메라",VLOOKUP($F20,드롭다운!$A:$F,2,0),"")</f>
        <v>VGA</v>
      </c>
      <c r="X20" s="617" t="str">
        <f>IF($T20="카메라",VLOOKUP($F20,드롭다운!$A:$F,3,0),"")</f>
        <v>Security</v>
      </c>
      <c r="Y20" s="617" t="str">
        <f>IF($T20="카메라",VLOOKUP($F20,드롭다운!$A:$F,4,0),"")</f>
        <v>Network</v>
      </c>
      <c r="Z20" s="617">
        <f>IF($T20="카메라",VLOOKUP($F20,드롭다운!$A:$F,5,0),"")</f>
        <v>12</v>
      </c>
      <c r="AA20" s="617"/>
    </row>
    <row r="21" spans="1:27">
      <c r="A21" s="135">
        <v>45366</v>
      </c>
      <c r="B21" s="491">
        <v>8</v>
      </c>
      <c r="C21" s="100" t="s">
        <v>8329</v>
      </c>
      <c r="D21" s="138" t="s">
        <v>129</v>
      </c>
      <c r="E21" s="138" t="s">
        <v>7570</v>
      </c>
      <c r="F21" s="138" t="s">
        <v>145</v>
      </c>
      <c r="G21" s="138" t="s">
        <v>7551</v>
      </c>
      <c r="H21" s="138">
        <v>1</v>
      </c>
      <c r="I21" s="631">
        <v>18000000</v>
      </c>
      <c r="J21" s="457">
        <f t="shared" si="0"/>
        <v>18000000</v>
      </c>
      <c r="K21" s="457">
        <f>tbl_국내[[#This Row],[금액]]*1.1</f>
        <v>19800000</v>
      </c>
      <c r="L21" s="458">
        <v>45364</v>
      </c>
      <c r="M21" s="141">
        <v>45365</v>
      </c>
      <c r="N21" s="457">
        <v>11894850</v>
      </c>
      <c r="O21" s="141">
        <v>45303</v>
      </c>
      <c r="P21" s="141">
        <v>45366</v>
      </c>
      <c r="Q21" s="616"/>
      <c r="R21" s="616">
        <f>YEAR(tbl_국내[[#This Row],[계산서
발행일/구매확정일]])</f>
        <v>2024</v>
      </c>
      <c r="S21" s="617">
        <f>IF(국내!$P21="",0,MONTH(국내!$P21))</f>
        <v>3</v>
      </c>
      <c r="T21" s="617" t="str">
        <f>IFERROR(VLOOKUP($F21,product[],6,0),"error")</f>
        <v>error</v>
      </c>
      <c r="U21" s="138"/>
      <c r="V21" s="138"/>
      <c r="W21" s="617" t="str">
        <f>IF($T21="카메라",VLOOKUP($F21,드롭다운!$A:$F,2,0),"")</f>
        <v/>
      </c>
      <c r="X21" s="617" t="str">
        <f>IF($T21="카메라",VLOOKUP($F21,드롭다운!$A:$F,3,0),"")</f>
        <v/>
      </c>
      <c r="Y21" s="617" t="str">
        <f>IF($T21="카메라",VLOOKUP($F21,드롭다운!$A:$F,4,0),"")</f>
        <v/>
      </c>
      <c r="Z21" s="617" t="str">
        <f>IF($T21="카메라",VLOOKUP($F21,드롭다운!$A:$F,5,0),"")</f>
        <v/>
      </c>
      <c r="AA21" s="617"/>
    </row>
    <row r="22" spans="1:27">
      <c r="A22" s="135">
        <v>45371</v>
      </c>
      <c r="B22" s="491">
        <v>9</v>
      </c>
      <c r="C22" s="100" t="s">
        <v>8330</v>
      </c>
      <c r="D22" s="138" t="s">
        <v>128</v>
      </c>
      <c r="E22" s="138" t="s">
        <v>7575</v>
      </c>
      <c r="F22" s="138" t="s">
        <v>147</v>
      </c>
      <c r="G22" s="138" t="s">
        <v>7551</v>
      </c>
      <c r="H22" s="138">
        <v>2</v>
      </c>
      <c r="I22" s="631">
        <v>99000</v>
      </c>
      <c r="J22" s="457">
        <f t="shared" si="0"/>
        <v>198000</v>
      </c>
      <c r="K22" s="457">
        <f>tbl_국내[[#This Row],[금액]]*1.1</f>
        <v>217800.00000000003</v>
      </c>
      <c r="L22" s="458">
        <v>45369</v>
      </c>
      <c r="M22" s="141">
        <v>45370</v>
      </c>
      <c r="N22" s="457" t="s">
        <v>172</v>
      </c>
      <c r="O22" s="141" t="s">
        <v>172</v>
      </c>
      <c r="P22" s="141">
        <v>45371</v>
      </c>
      <c r="Q22" s="616"/>
      <c r="R22" s="616">
        <f>YEAR(tbl_국내[[#This Row],[계산서
발행일/구매확정일]])</f>
        <v>2024</v>
      </c>
      <c r="S22" s="617">
        <f>IF(국내!$P22="",0,MONTH(국내!$P22))</f>
        <v>3</v>
      </c>
      <c r="T22" s="617" t="str">
        <f>IFERROR(VLOOKUP($F22,product[],6,0),"error")</f>
        <v>error</v>
      </c>
      <c r="U22" s="138"/>
      <c r="V22" s="138"/>
      <c r="W22" s="617" t="str">
        <f>IF($T22="카메라",VLOOKUP($F22,드롭다운!$A:$F,2,0),"")</f>
        <v/>
      </c>
      <c r="X22" s="617" t="str">
        <f>IF($T22="카메라",VLOOKUP($F22,드롭다운!$A:$F,3,0),"")</f>
        <v/>
      </c>
      <c r="Y22" s="617" t="str">
        <f>IF($T22="카메라",VLOOKUP($F22,드롭다운!$A:$F,4,0),"")</f>
        <v/>
      </c>
      <c r="Z22" s="617" t="str">
        <f>IF($T22="카메라",VLOOKUP($F22,드롭다운!$A:$F,5,0),"")</f>
        <v/>
      </c>
      <c r="AA22" s="617"/>
    </row>
    <row r="23" spans="1:27">
      <c r="A23" s="135">
        <v>45379</v>
      </c>
      <c r="B23" s="491">
        <v>10</v>
      </c>
      <c r="C23" s="100" t="s">
        <v>8331</v>
      </c>
      <c r="D23" s="138" t="s">
        <v>8300</v>
      </c>
      <c r="E23" s="138" t="s">
        <v>7572</v>
      </c>
      <c r="F23" s="138" t="s">
        <v>169</v>
      </c>
      <c r="G23" s="138" t="s">
        <v>7553</v>
      </c>
      <c r="H23" s="138">
        <v>1</v>
      </c>
      <c r="I23" s="631">
        <v>4936000</v>
      </c>
      <c r="J23" s="457">
        <f t="shared" si="0"/>
        <v>4936000</v>
      </c>
      <c r="K23" s="457">
        <f>tbl_국내[[#This Row],[금액]]*1.1</f>
        <v>5429600</v>
      </c>
      <c r="L23" s="458">
        <v>45377</v>
      </c>
      <c r="M23" s="141">
        <v>45378</v>
      </c>
      <c r="N23" s="457">
        <v>5429600</v>
      </c>
      <c r="O23" s="141" t="s">
        <v>220</v>
      </c>
      <c r="P23" s="141">
        <v>45379</v>
      </c>
      <c r="Q23" s="616" t="s">
        <v>192</v>
      </c>
      <c r="R23" s="616">
        <f>YEAR(tbl_국내[[#This Row],[계산서
발행일/구매확정일]])</f>
        <v>2024</v>
      </c>
      <c r="S23" s="617">
        <f>IF(국내!$P23="",0,MONTH(국내!$P23))</f>
        <v>3</v>
      </c>
      <c r="T23" s="617" t="str">
        <f>IFERROR(VLOOKUP($F23,product[],6,0),"error")</f>
        <v>카메라</v>
      </c>
      <c r="U23" s="138"/>
      <c r="V23" s="138"/>
      <c r="W23" s="617" t="str">
        <f>IF($T23="카메라",VLOOKUP($F23,드롭다운!$A:$F,2,0),"")</f>
        <v>VGA</v>
      </c>
      <c r="X23" s="617" t="str">
        <f>IF($T23="카메라",VLOOKUP($F23,드롭다운!$A:$F,3,0),"")</f>
        <v>Security</v>
      </c>
      <c r="Y23" s="617" t="str">
        <f>IF($T23="카메라",VLOOKUP($F23,드롭다운!$A:$F,4,0),"")</f>
        <v>Analogue</v>
      </c>
      <c r="Z23" s="617">
        <f>IF($T23="카메라",VLOOKUP($F23,드롭다운!$A:$F,5,0),"")</f>
        <v>17</v>
      </c>
      <c r="AA23" s="617"/>
    </row>
    <row r="24" spans="1:27">
      <c r="A24" s="135">
        <v>45379</v>
      </c>
      <c r="B24" s="491">
        <v>11</v>
      </c>
      <c r="C24" s="100" t="s">
        <v>8332</v>
      </c>
      <c r="D24" s="138" t="s">
        <v>128</v>
      </c>
      <c r="E24" s="138" t="s">
        <v>7572</v>
      </c>
      <c r="F24" s="138" t="s">
        <v>103</v>
      </c>
      <c r="G24" s="138" t="s">
        <v>7523</v>
      </c>
      <c r="H24" s="138">
        <v>2</v>
      </c>
      <c r="I24" s="631">
        <v>4222800</v>
      </c>
      <c r="J24" s="457">
        <f t="shared" si="0"/>
        <v>8445600</v>
      </c>
      <c r="K24" s="457">
        <f>tbl_국내[[#This Row],[금액]]*1.1</f>
        <v>9290160</v>
      </c>
      <c r="L24" s="458">
        <v>45377</v>
      </c>
      <c r="M24" s="141">
        <v>45378</v>
      </c>
      <c r="N24" s="457" t="s">
        <v>172</v>
      </c>
      <c r="O24" s="141" t="s">
        <v>172</v>
      </c>
      <c r="P24" s="141">
        <v>45379</v>
      </c>
      <c r="Q24" s="616"/>
      <c r="R24" s="616">
        <f>YEAR(tbl_국내[[#This Row],[계산서
발행일/구매확정일]])</f>
        <v>2024</v>
      </c>
      <c r="S24" s="617">
        <f>IF(국내!$P24="",0,MONTH(국내!$P24))</f>
        <v>3</v>
      </c>
      <c r="T24" s="617" t="str">
        <f>IFERROR(VLOOKUP($F24,product[],6,0),"error")</f>
        <v>카메라</v>
      </c>
      <c r="U24" s="138"/>
      <c r="V24" s="138"/>
      <c r="W24" s="617" t="str">
        <f>IF($T24="카메라",VLOOKUP($F24,드롭다운!$A:$F,2,0),"")</f>
        <v>VGA</v>
      </c>
      <c r="X24" s="617" t="str">
        <f>IF($T24="카메라",VLOOKUP($F24,드롭다운!$A:$F,3,0),"")</f>
        <v>Radiometric</v>
      </c>
      <c r="Y24" s="617" t="str">
        <f>IF($T24="카메라",VLOOKUP($F24,드롭다운!$A:$F,4,0),"")</f>
        <v>Network</v>
      </c>
      <c r="Z24" s="617">
        <f>IF($T24="카메라",VLOOKUP($F24,드롭다운!$A:$F,5,0),"")</f>
        <v>17</v>
      </c>
      <c r="AA24" s="617"/>
    </row>
    <row r="25" spans="1:27">
      <c r="A25" s="135">
        <v>45382</v>
      </c>
      <c r="B25" s="491">
        <v>12</v>
      </c>
      <c r="C25" s="100" t="s">
        <v>8333</v>
      </c>
      <c r="D25" s="138" t="s">
        <v>167</v>
      </c>
      <c r="E25" s="138" t="s">
        <v>7573</v>
      </c>
      <c r="F25" s="138" t="s">
        <v>173</v>
      </c>
      <c r="G25" s="138" t="s">
        <v>7545</v>
      </c>
      <c r="H25" s="138">
        <v>87</v>
      </c>
      <c r="I25" s="631">
        <f>1840000*0.5</f>
        <v>920000</v>
      </c>
      <c r="J25" s="457">
        <f t="shared" si="0"/>
        <v>80040000</v>
      </c>
      <c r="K25" s="457">
        <f>tbl_국내[[#This Row],[금액]]*1.1</f>
        <v>88044000</v>
      </c>
      <c r="L25" s="458">
        <v>45377</v>
      </c>
      <c r="M25" s="141">
        <v>45378</v>
      </c>
      <c r="N25" s="457">
        <v>88044000</v>
      </c>
      <c r="O25" s="141">
        <v>45404</v>
      </c>
      <c r="P25" s="141">
        <v>45382</v>
      </c>
      <c r="Q25" s="616" t="s">
        <v>231</v>
      </c>
      <c r="R25" s="616">
        <f>YEAR(tbl_국내[[#This Row],[계산서
발행일/구매확정일]])</f>
        <v>2024</v>
      </c>
      <c r="S25" s="617">
        <f>IF(국내!$P25="",0,MONTH(국내!$P25))</f>
        <v>3</v>
      </c>
      <c r="T25" s="617" t="str">
        <f>IFERROR(VLOOKUP($F25,product[],6,0),"error")</f>
        <v>카메라</v>
      </c>
      <c r="U25" s="138"/>
      <c r="V25" s="138"/>
      <c r="W25" s="617" t="str">
        <f>IF($T25="카메라",VLOOKUP($F25,드롭다운!$A:$F,2,0),"")</f>
        <v>QVGA</v>
      </c>
      <c r="X25" s="617" t="str">
        <f>IF($T25="카메라",VLOOKUP($F25,드롭다운!$A:$F,3,0),"")</f>
        <v>Radiometric</v>
      </c>
      <c r="Y25" s="617" t="str">
        <f>IF($T25="카메라",VLOOKUP($F25,드롭다운!$A:$F,4,0),"")</f>
        <v>Network</v>
      </c>
      <c r="Z25" s="617">
        <f>IF($T25="카메라",VLOOKUP($F25,드롭다운!$A:$F,5,0),"")</f>
        <v>17</v>
      </c>
      <c r="AA25" s="617"/>
    </row>
    <row r="26" spans="1:27">
      <c r="A26" s="135">
        <v>45393</v>
      </c>
      <c r="B26" s="491">
        <v>1</v>
      </c>
      <c r="C26" s="100" t="s">
        <v>8334</v>
      </c>
      <c r="D26" s="138" t="s">
        <v>143</v>
      </c>
      <c r="E26" s="138" t="s">
        <v>7576</v>
      </c>
      <c r="F26" s="138" t="s">
        <v>108</v>
      </c>
      <c r="G26" s="138" t="s">
        <v>7551</v>
      </c>
      <c r="H26" s="138">
        <v>1</v>
      </c>
      <c r="I26" s="457">
        <v>150000</v>
      </c>
      <c r="J26" s="457">
        <f t="shared" si="0"/>
        <v>150000</v>
      </c>
      <c r="K26" s="457">
        <f>tbl_국내[[#This Row],[금액]]*1.1</f>
        <v>165000</v>
      </c>
      <c r="L26" s="458">
        <v>45392</v>
      </c>
      <c r="M26" s="141">
        <v>45392</v>
      </c>
      <c r="N26" s="457">
        <v>734800</v>
      </c>
      <c r="O26" s="141">
        <v>45461</v>
      </c>
      <c r="P26" s="141">
        <v>45393</v>
      </c>
      <c r="Q26" s="616"/>
      <c r="R26" s="616">
        <f>YEAR(tbl_국내[[#This Row],[계산서
발행일/구매확정일]])</f>
        <v>2024</v>
      </c>
      <c r="S26" s="617">
        <f>IF(국내!$P26="",0,MONTH(국내!$P26))</f>
        <v>4</v>
      </c>
      <c r="T26" s="617" t="str">
        <f>IFERROR(VLOOKUP($F26,product[],6,0),"error")</f>
        <v>error</v>
      </c>
      <c r="U26" s="138"/>
      <c r="V26" s="138"/>
      <c r="W26" s="617" t="str">
        <f>IF($T26="카메라",VLOOKUP($F26,드롭다운!$A:$F,2,0),"")</f>
        <v/>
      </c>
      <c r="X26" s="617" t="str">
        <f>IF($T26="카메라",VLOOKUP($F26,드롭다운!$A:$F,3,0),"")</f>
        <v/>
      </c>
      <c r="Y26" s="617" t="str">
        <f>IF($T26="카메라",VLOOKUP($F26,드롭다운!$A:$F,4,0),"")</f>
        <v/>
      </c>
      <c r="Z26" s="617" t="str">
        <f>IF($T26="카메라",VLOOKUP($F26,드롭다운!$A:$F,5,0),"")</f>
        <v/>
      </c>
      <c r="AA26" s="617"/>
    </row>
    <row r="27" spans="1:27">
      <c r="A27" s="135">
        <v>45393</v>
      </c>
      <c r="B27" s="491">
        <v>1</v>
      </c>
      <c r="C27" s="100" t="s">
        <v>8334</v>
      </c>
      <c r="D27" s="138" t="s">
        <v>143</v>
      </c>
      <c r="E27" s="138" t="s">
        <v>7576</v>
      </c>
      <c r="F27" s="138" t="s">
        <v>108</v>
      </c>
      <c r="G27" s="138" t="s">
        <v>7551</v>
      </c>
      <c r="H27" s="138">
        <v>1</v>
      </c>
      <c r="I27" s="457">
        <v>118000</v>
      </c>
      <c r="J27" s="457">
        <f t="shared" si="0"/>
        <v>118000</v>
      </c>
      <c r="K27" s="457">
        <f>tbl_국내[[#This Row],[금액]]*1.1</f>
        <v>129800.00000000001</v>
      </c>
      <c r="L27" s="458">
        <v>45392</v>
      </c>
      <c r="M27" s="141">
        <v>45392</v>
      </c>
      <c r="N27" s="457">
        <v>0</v>
      </c>
      <c r="O27" s="141">
        <v>45461</v>
      </c>
      <c r="P27" s="141">
        <v>45393</v>
      </c>
      <c r="Q27" s="616"/>
      <c r="R27" s="616">
        <f>YEAR(tbl_국내[[#This Row],[계산서
발행일/구매확정일]])</f>
        <v>2024</v>
      </c>
      <c r="S27" s="617">
        <f>IF(국내!$P27="",0,MONTH(국내!$P27))</f>
        <v>4</v>
      </c>
      <c r="T27" s="617" t="str">
        <f>IFERROR(VLOOKUP($F27,product[],6,0),"error")</f>
        <v>error</v>
      </c>
      <c r="U27" s="138"/>
      <c r="V27" s="138"/>
      <c r="W27" s="617" t="str">
        <f>IF($T27="카메라",VLOOKUP($F27,드롭다운!$A:$F,2,0),"")</f>
        <v/>
      </c>
      <c r="X27" s="617" t="str">
        <f>IF($T27="카메라",VLOOKUP($F27,드롭다운!$A:$F,3,0),"")</f>
        <v/>
      </c>
      <c r="Y27" s="617" t="str">
        <f>IF($T27="카메라",VLOOKUP($F27,드롭다운!$A:$F,4,0),"")</f>
        <v/>
      </c>
      <c r="Z27" s="617" t="str">
        <f>IF($T27="카메라",VLOOKUP($F27,드롭다운!$A:$F,5,0),"")</f>
        <v/>
      </c>
      <c r="AA27" s="617"/>
    </row>
    <row r="28" spans="1:27">
      <c r="A28" s="135">
        <v>45393</v>
      </c>
      <c r="B28" s="491">
        <v>1</v>
      </c>
      <c r="C28" s="100" t="s">
        <v>8334</v>
      </c>
      <c r="D28" s="138" t="s">
        <v>143</v>
      </c>
      <c r="E28" s="138" t="s">
        <v>7576</v>
      </c>
      <c r="F28" s="138" t="s">
        <v>178</v>
      </c>
      <c r="G28" s="138" t="s">
        <v>7551</v>
      </c>
      <c r="H28" s="138">
        <v>1</v>
      </c>
      <c r="I28" s="457">
        <v>400000</v>
      </c>
      <c r="J28" s="457">
        <f t="shared" si="0"/>
        <v>400000</v>
      </c>
      <c r="K28" s="457">
        <f>tbl_국내[[#This Row],[금액]]*1.1</f>
        <v>440000.00000000006</v>
      </c>
      <c r="L28" s="458">
        <v>45392</v>
      </c>
      <c r="M28" s="141">
        <v>45392</v>
      </c>
      <c r="N28" s="457">
        <v>0</v>
      </c>
      <c r="O28" s="141">
        <v>45461</v>
      </c>
      <c r="P28" s="141">
        <v>45393</v>
      </c>
      <c r="Q28" s="616"/>
      <c r="R28" s="616">
        <f>YEAR(tbl_국내[[#This Row],[계산서
발행일/구매확정일]])</f>
        <v>2024</v>
      </c>
      <c r="S28" s="617">
        <f>IF(국내!$P28="",0,MONTH(국내!$P28))</f>
        <v>4</v>
      </c>
      <c r="T28" s="617" t="str">
        <f>IFERROR(VLOOKUP($F28,product[],6,0),"error")</f>
        <v>error</v>
      </c>
      <c r="U28" s="138"/>
      <c r="V28" s="138"/>
      <c r="W28" s="617" t="str">
        <f>IF($T28="카메라",VLOOKUP($F28,드롭다운!$A:$F,2,0),"")</f>
        <v/>
      </c>
      <c r="X28" s="617" t="str">
        <f>IF($T28="카메라",VLOOKUP($F28,드롭다운!$A:$F,3,0),"")</f>
        <v/>
      </c>
      <c r="Y28" s="617" t="str">
        <f>IF($T28="카메라",VLOOKUP($F28,드롭다운!$A:$F,4,0),"")</f>
        <v/>
      </c>
      <c r="Z28" s="617" t="str">
        <f>IF($T28="카메라",VLOOKUP($F28,드롭다운!$A:$F,5,0),"")</f>
        <v/>
      </c>
      <c r="AA28" s="617"/>
    </row>
    <row r="29" spans="1:27">
      <c r="A29" s="135">
        <v>45394</v>
      </c>
      <c r="B29" s="491">
        <v>2</v>
      </c>
      <c r="C29" s="100" t="s">
        <v>8335</v>
      </c>
      <c r="D29" s="138" t="s">
        <v>142</v>
      </c>
      <c r="E29" s="138" t="s">
        <v>7576</v>
      </c>
      <c r="F29" s="138" t="s">
        <v>108</v>
      </c>
      <c r="G29" s="138" t="s">
        <v>7551</v>
      </c>
      <c r="H29" s="138">
        <v>1</v>
      </c>
      <c r="I29" s="457">
        <v>600000</v>
      </c>
      <c r="J29" s="457">
        <f t="shared" si="0"/>
        <v>600000</v>
      </c>
      <c r="K29" s="457">
        <f>tbl_국내[[#This Row],[금액]]*1.1</f>
        <v>660000</v>
      </c>
      <c r="L29" s="458">
        <v>45393</v>
      </c>
      <c r="M29" s="141">
        <v>45393</v>
      </c>
      <c r="N29" s="457">
        <v>660000</v>
      </c>
      <c r="O29" s="141">
        <v>45412</v>
      </c>
      <c r="P29" s="141">
        <v>45394</v>
      </c>
      <c r="Q29" s="616"/>
      <c r="R29" s="616">
        <f>YEAR(tbl_국내[[#This Row],[계산서
발행일/구매확정일]])</f>
        <v>2024</v>
      </c>
      <c r="S29" s="617">
        <f>IF(국내!$P29="",0,MONTH(국내!$P29))</f>
        <v>4</v>
      </c>
      <c r="T29" s="617" t="str">
        <f>IFERROR(VLOOKUP($F29,product[],6,0),"error")</f>
        <v>error</v>
      </c>
      <c r="U29" s="138"/>
      <c r="V29" s="138"/>
      <c r="W29" s="617" t="str">
        <f>IF($T29="카메라",VLOOKUP($F29,드롭다운!$A:$F,2,0),"")</f>
        <v/>
      </c>
      <c r="X29" s="617" t="str">
        <f>IF($T29="카메라",VLOOKUP($F29,드롭다운!$A:$F,3,0),"")</f>
        <v/>
      </c>
      <c r="Y29" s="617" t="str">
        <f>IF($T29="카메라",VLOOKUP($F29,드롭다운!$A:$F,4,0),"")</f>
        <v/>
      </c>
      <c r="Z29" s="617" t="str">
        <f>IF($T29="카메라",VLOOKUP($F29,드롭다운!$A:$F,5,0),"")</f>
        <v/>
      </c>
      <c r="AA29" s="617"/>
    </row>
    <row r="30" spans="1:27">
      <c r="A30" s="135">
        <v>45398</v>
      </c>
      <c r="B30" s="491">
        <v>3</v>
      </c>
      <c r="C30" s="100" t="s">
        <v>8336</v>
      </c>
      <c r="D30" s="138" t="s">
        <v>140</v>
      </c>
      <c r="E30" s="138" t="s">
        <v>7576</v>
      </c>
      <c r="F30" s="138" t="s">
        <v>108</v>
      </c>
      <c r="G30" s="138" t="s">
        <v>7551</v>
      </c>
      <c r="H30" s="138">
        <v>1</v>
      </c>
      <c r="I30" s="457">
        <v>500000</v>
      </c>
      <c r="J30" s="457">
        <f t="shared" si="0"/>
        <v>500000</v>
      </c>
      <c r="K30" s="457">
        <f>tbl_국내[[#This Row],[금액]]*1.1</f>
        <v>550000</v>
      </c>
      <c r="L30" s="458">
        <v>45397</v>
      </c>
      <c r="M30" s="141">
        <v>45397</v>
      </c>
      <c r="N30" s="457">
        <v>550000</v>
      </c>
      <c r="O30" s="141">
        <v>45399</v>
      </c>
      <c r="P30" s="141">
        <v>45398</v>
      </c>
      <c r="Q30" s="616"/>
      <c r="R30" s="616">
        <f>YEAR(tbl_국내[[#This Row],[계산서
발행일/구매확정일]])</f>
        <v>2024</v>
      </c>
      <c r="S30" s="617">
        <f>IF(국내!$P30="",0,MONTH(국내!$P30))</f>
        <v>4</v>
      </c>
      <c r="T30" s="617" t="str">
        <f>IFERROR(VLOOKUP($F30,product[],6,0),"error")</f>
        <v>error</v>
      </c>
      <c r="U30" s="138"/>
      <c r="V30" s="138"/>
      <c r="W30" s="617" t="str">
        <f>IF($T30="카메라",VLOOKUP($F30,드롭다운!$A:$F,2,0),"")</f>
        <v/>
      </c>
      <c r="X30" s="617" t="str">
        <f>IF($T30="카메라",VLOOKUP($F30,드롭다운!$A:$F,3,0),"")</f>
        <v/>
      </c>
      <c r="Y30" s="617" t="str">
        <f>IF($T30="카메라",VLOOKUP($F30,드롭다운!$A:$F,4,0),"")</f>
        <v/>
      </c>
      <c r="Z30" s="617" t="str">
        <f>IF($T30="카메라",VLOOKUP($F30,드롭다운!$A:$F,5,0),"")</f>
        <v/>
      </c>
      <c r="AA30" s="617"/>
    </row>
    <row r="31" spans="1:27">
      <c r="A31" s="135">
        <v>45407</v>
      </c>
      <c r="B31" s="491">
        <v>4</v>
      </c>
      <c r="C31" s="100" t="s">
        <v>8337</v>
      </c>
      <c r="D31" s="138" t="s">
        <v>177</v>
      </c>
      <c r="E31" s="138" t="s">
        <v>7576</v>
      </c>
      <c r="F31" s="138" t="s">
        <v>108</v>
      </c>
      <c r="G31" s="138" t="s">
        <v>7551</v>
      </c>
      <c r="H31" s="138">
        <v>1</v>
      </c>
      <c r="I31" s="457">
        <v>500000</v>
      </c>
      <c r="J31" s="457">
        <f t="shared" si="0"/>
        <v>500000</v>
      </c>
      <c r="K31" s="457">
        <f>tbl_국내[[#This Row],[금액]]*1.1</f>
        <v>550000</v>
      </c>
      <c r="L31" s="458">
        <v>45406</v>
      </c>
      <c r="M31" s="141">
        <v>45406</v>
      </c>
      <c r="N31" s="457">
        <v>550000</v>
      </c>
      <c r="O31" s="141">
        <v>45411</v>
      </c>
      <c r="P31" s="141">
        <v>45407</v>
      </c>
      <c r="Q31" s="616"/>
      <c r="R31" s="616">
        <f>YEAR(tbl_국내[[#This Row],[계산서
발행일/구매확정일]])</f>
        <v>2024</v>
      </c>
      <c r="S31" s="617">
        <f>IF(국내!$P31="",0,MONTH(국내!$P31))</f>
        <v>4</v>
      </c>
      <c r="T31" s="617" t="str">
        <f>IFERROR(VLOOKUP($F31,product[],6,0),"error")</f>
        <v>error</v>
      </c>
      <c r="U31" s="138"/>
      <c r="V31" s="138"/>
      <c r="W31" s="617" t="str">
        <f>IF($T31="카메라",VLOOKUP($F31,드롭다운!$A:$F,2,0),"")</f>
        <v/>
      </c>
      <c r="X31" s="617" t="str">
        <f>IF($T31="카메라",VLOOKUP($F31,드롭다운!$A:$F,3,0),"")</f>
        <v/>
      </c>
      <c r="Y31" s="617" t="str">
        <f>IF($T31="카메라",VLOOKUP($F31,드롭다운!$A:$F,4,0),"")</f>
        <v/>
      </c>
      <c r="Z31" s="617" t="str">
        <f>IF($T31="카메라",VLOOKUP($F31,드롭다운!$A:$F,5,0),"")</f>
        <v/>
      </c>
      <c r="AA31" s="617"/>
    </row>
    <row r="32" spans="1:27">
      <c r="A32" s="135">
        <v>45412</v>
      </c>
      <c r="B32" s="491">
        <v>5</v>
      </c>
      <c r="C32" s="100" t="s">
        <v>8338</v>
      </c>
      <c r="D32" s="138" t="s">
        <v>120</v>
      </c>
      <c r="E32" s="138" t="s">
        <v>7576</v>
      </c>
      <c r="F32" s="138" t="s">
        <v>108</v>
      </c>
      <c r="G32" s="138" t="s">
        <v>7551</v>
      </c>
      <c r="H32" s="138">
        <v>1</v>
      </c>
      <c r="I32" s="457">
        <v>100000</v>
      </c>
      <c r="J32" s="457">
        <f t="shared" si="0"/>
        <v>100000</v>
      </c>
      <c r="K32" s="457">
        <f>tbl_국내[[#This Row],[금액]]*1.1</f>
        <v>110000.00000000001</v>
      </c>
      <c r="L32" s="458">
        <v>45411</v>
      </c>
      <c r="M32" s="141">
        <v>45411</v>
      </c>
      <c r="N32" s="457">
        <v>110000</v>
      </c>
      <c r="O32" s="141">
        <v>45380</v>
      </c>
      <c r="P32" s="141">
        <v>45412</v>
      </c>
      <c r="Q32" s="616"/>
      <c r="R32" s="616">
        <f>YEAR(tbl_국내[[#This Row],[계산서
발행일/구매확정일]])</f>
        <v>2024</v>
      </c>
      <c r="S32" s="617">
        <f>IF(국내!$P32="",0,MONTH(국내!$P32))</f>
        <v>4</v>
      </c>
      <c r="T32" s="617" t="str">
        <f>IFERROR(VLOOKUP($F32,product[],6,0),"error")</f>
        <v>error</v>
      </c>
      <c r="U32" s="138"/>
      <c r="V32" s="138"/>
      <c r="W32" s="617" t="str">
        <f>IF($T32="카메라",VLOOKUP($F32,드롭다운!$A:$F,2,0),"")</f>
        <v/>
      </c>
      <c r="X32" s="617" t="str">
        <f>IF($T32="카메라",VLOOKUP($F32,드롭다운!$A:$F,3,0),"")</f>
        <v/>
      </c>
      <c r="Y32" s="617" t="str">
        <f>IF($T32="카메라",VLOOKUP($F32,드롭다운!$A:$F,4,0),"")</f>
        <v/>
      </c>
      <c r="Z32" s="617" t="str">
        <f>IF($T32="카메라",VLOOKUP($F32,드롭다운!$A:$F,5,0),"")</f>
        <v/>
      </c>
      <c r="AA32" s="617"/>
    </row>
    <row r="33" spans="1:27">
      <c r="A33" s="481">
        <v>45415</v>
      </c>
      <c r="B33" s="491">
        <v>1</v>
      </c>
      <c r="C33" s="100" t="s">
        <v>8339</v>
      </c>
      <c r="D33" s="633" t="s">
        <v>194</v>
      </c>
      <c r="E33" s="633" t="s">
        <v>7570</v>
      </c>
      <c r="F33" s="633" t="s">
        <v>195</v>
      </c>
      <c r="G33" s="138" t="s">
        <v>7551</v>
      </c>
      <c r="H33" s="634">
        <v>3</v>
      </c>
      <c r="I33" s="457">
        <v>684000</v>
      </c>
      <c r="J33" s="457">
        <f t="shared" si="0"/>
        <v>2052000</v>
      </c>
      <c r="K33" s="457">
        <f>tbl_국내[[#This Row],[금액]]*1.1</f>
        <v>2257200</v>
      </c>
      <c r="L33" s="458">
        <v>45414</v>
      </c>
      <c r="M33" s="141">
        <v>45414</v>
      </c>
      <c r="N33" s="457">
        <v>0</v>
      </c>
      <c r="O33" s="141">
        <v>45474</v>
      </c>
      <c r="P33" s="458">
        <v>45415</v>
      </c>
      <c r="Q33" s="616"/>
      <c r="R33" s="616">
        <f>YEAR(tbl_국내[[#This Row],[계산서
발행일/구매확정일]])</f>
        <v>2024</v>
      </c>
      <c r="S33" s="617">
        <f>IF(국내!$P33="",0,MONTH(국내!$P33))</f>
        <v>5</v>
      </c>
      <c r="T33" s="617" t="str">
        <f>IFERROR(VLOOKUP($F33,product[],6,0),"error")</f>
        <v>error</v>
      </c>
      <c r="U33" s="138"/>
      <c r="V33" s="138"/>
      <c r="W33" s="617" t="str">
        <f>IF($T33="카메라",VLOOKUP($F33,드롭다운!$A:$F,2,0),"")</f>
        <v/>
      </c>
      <c r="X33" s="617" t="str">
        <f>IF($T33="카메라",VLOOKUP($F33,드롭다운!$A:$F,3,0),"")</f>
        <v/>
      </c>
      <c r="Y33" s="617" t="str">
        <f>IF($T33="카메라",VLOOKUP($F33,드롭다운!$A:$F,4,0),"")</f>
        <v/>
      </c>
      <c r="Z33" s="617" t="str">
        <f>IF($T33="카메라",VLOOKUP($F33,드롭다운!$A:$F,5,0),"")</f>
        <v/>
      </c>
      <c r="AA33" s="617"/>
    </row>
    <row r="34" spans="1:27">
      <c r="A34" s="481">
        <v>45415</v>
      </c>
      <c r="B34" s="491">
        <v>1</v>
      </c>
      <c r="C34" s="100" t="s">
        <v>8339</v>
      </c>
      <c r="D34" s="633" t="s">
        <v>194</v>
      </c>
      <c r="E34" s="138" t="s">
        <v>7572</v>
      </c>
      <c r="F34" s="633" t="s">
        <v>123</v>
      </c>
      <c r="G34" s="138" t="s">
        <v>7551</v>
      </c>
      <c r="H34" s="634">
        <v>3</v>
      </c>
      <c r="I34" s="457">
        <v>3696000</v>
      </c>
      <c r="J34" s="457">
        <f t="shared" si="0"/>
        <v>11088000</v>
      </c>
      <c r="K34" s="457">
        <f>tbl_국내[[#This Row],[금액]]*1.1</f>
        <v>12196800.000000002</v>
      </c>
      <c r="L34" s="458">
        <v>45414</v>
      </c>
      <c r="M34" s="141">
        <v>45414</v>
      </c>
      <c r="N34" s="457">
        <v>0</v>
      </c>
      <c r="O34" s="141">
        <v>45474</v>
      </c>
      <c r="P34" s="458">
        <v>45415</v>
      </c>
      <c r="Q34" s="616"/>
      <c r="R34" s="616">
        <f>YEAR(tbl_국내[[#This Row],[계산서
발행일/구매확정일]])</f>
        <v>2024</v>
      </c>
      <c r="S34" s="617">
        <f>IF(국내!$P34="",0,MONTH(국내!$P34))</f>
        <v>5</v>
      </c>
      <c r="T34" s="617" t="str">
        <f>IFERROR(VLOOKUP($F34,product[],6,0),"error")</f>
        <v>카메라</v>
      </c>
      <c r="U34" s="138"/>
      <c r="V34" s="138"/>
      <c r="W34" s="617" t="str">
        <f>IF($T34="카메라",VLOOKUP($F34,드롭다운!$A:$F,2,0),"")</f>
        <v>VGA</v>
      </c>
      <c r="X34" s="617" t="str">
        <f>IF($T34="카메라",VLOOKUP($F34,드롭다운!$A:$F,3,0),"")</f>
        <v>Security</v>
      </c>
      <c r="Y34" s="617" t="str">
        <f>IF($T34="카메라",VLOOKUP($F34,드롭다운!$A:$F,4,0),"")</f>
        <v>Analogue</v>
      </c>
      <c r="Z34" s="617">
        <f>IF($T34="카메라",VLOOKUP($F34,드롭다운!$A:$F,5,0),"")</f>
        <v>17</v>
      </c>
      <c r="AA34" s="617"/>
    </row>
    <row r="35" spans="1:27">
      <c r="A35" s="481">
        <v>45415</v>
      </c>
      <c r="B35" s="491">
        <v>1</v>
      </c>
      <c r="C35" s="100" t="s">
        <v>8339</v>
      </c>
      <c r="D35" s="633" t="s">
        <v>194</v>
      </c>
      <c r="E35" s="138" t="s">
        <v>7575</v>
      </c>
      <c r="F35" s="633" t="s">
        <v>193</v>
      </c>
      <c r="G35" s="138" t="s">
        <v>7551</v>
      </c>
      <c r="H35" s="634">
        <v>6</v>
      </c>
      <c r="I35" s="457">
        <v>105000</v>
      </c>
      <c r="J35" s="457">
        <f t="shared" si="0"/>
        <v>630000</v>
      </c>
      <c r="K35" s="457">
        <f>tbl_국내[[#This Row],[금액]]*1.1</f>
        <v>693000</v>
      </c>
      <c r="L35" s="458">
        <v>45414</v>
      </c>
      <c r="M35" s="141">
        <v>45414</v>
      </c>
      <c r="N35" s="457">
        <v>15147000</v>
      </c>
      <c r="O35" s="141">
        <v>45474</v>
      </c>
      <c r="P35" s="458">
        <v>45415</v>
      </c>
      <c r="Q35" s="616"/>
      <c r="R35" s="616">
        <f>YEAR(tbl_국내[[#This Row],[계산서
발행일/구매확정일]])</f>
        <v>2024</v>
      </c>
      <c r="S35" s="617">
        <f>IF(국내!$P35="",0,MONTH(국내!$P35))</f>
        <v>5</v>
      </c>
      <c r="T35" s="617" t="str">
        <f>IFERROR(VLOOKUP($F35,product[],6,0),"error")</f>
        <v>error</v>
      </c>
      <c r="U35" s="138"/>
      <c r="V35" s="138"/>
      <c r="W35" s="617" t="str">
        <f>IF($T35="카메라",VLOOKUP($F35,드롭다운!$A:$F,2,0),"")</f>
        <v/>
      </c>
      <c r="X35" s="617" t="str">
        <f>IF($T35="카메라",VLOOKUP($F35,드롭다운!$A:$F,3,0),"")</f>
        <v/>
      </c>
      <c r="Y35" s="617" t="str">
        <f>IF($T35="카메라",VLOOKUP($F35,드롭다운!$A:$F,4,0),"")</f>
        <v/>
      </c>
      <c r="Z35" s="617" t="str">
        <f>IF($T35="카메라",VLOOKUP($F35,드롭다운!$A:$F,5,0),"")</f>
        <v/>
      </c>
      <c r="AA35" s="617"/>
    </row>
    <row r="36" spans="1:27">
      <c r="A36" s="481">
        <v>45415</v>
      </c>
      <c r="B36" s="491">
        <v>2</v>
      </c>
      <c r="C36" s="100" t="s">
        <v>8340</v>
      </c>
      <c r="D36" s="633" t="s">
        <v>142</v>
      </c>
      <c r="E36" s="138" t="s">
        <v>7576</v>
      </c>
      <c r="F36" s="633" t="s">
        <v>108</v>
      </c>
      <c r="G36" s="138" t="s">
        <v>7551</v>
      </c>
      <c r="H36" s="634">
        <v>1</v>
      </c>
      <c r="I36" s="457">
        <v>500000</v>
      </c>
      <c r="J36" s="457">
        <f t="shared" si="0"/>
        <v>500000</v>
      </c>
      <c r="K36" s="457">
        <f>tbl_국내[[#This Row],[금액]]*1.1</f>
        <v>550000</v>
      </c>
      <c r="L36" s="458">
        <v>45414</v>
      </c>
      <c r="M36" s="141">
        <v>45414</v>
      </c>
      <c r="N36" s="457">
        <v>550000</v>
      </c>
      <c r="O36" s="141">
        <v>45429</v>
      </c>
      <c r="P36" s="458">
        <v>45415</v>
      </c>
      <c r="Q36" s="616"/>
      <c r="R36" s="616">
        <f>YEAR(tbl_국내[[#This Row],[계산서
발행일/구매확정일]])</f>
        <v>2024</v>
      </c>
      <c r="S36" s="617">
        <f>IF(국내!$P36="",0,MONTH(국내!$P36))</f>
        <v>5</v>
      </c>
      <c r="T36" s="617" t="str">
        <f>IFERROR(VLOOKUP($F36,product[],6,0),"error")</f>
        <v>error</v>
      </c>
      <c r="U36" s="138"/>
      <c r="V36" s="138"/>
      <c r="W36" s="617" t="str">
        <f>IF($T36="카메라",VLOOKUP($F36,드롭다운!$A:$F,2,0),"")</f>
        <v/>
      </c>
      <c r="X36" s="617" t="str">
        <f>IF($T36="카메라",VLOOKUP($F36,드롭다운!$A:$F,3,0),"")</f>
        <v/>
      </c>
      <c r="Y36" s="617" t="str">
        <f>IF($T36="카메라",VLOOKUP($F36,드롭다운!$A:$F,4,0),"")</f>
        <v/>
      </c>
      <c r="Z36" s="617" t="str">
        <f>IF($T36="카메라",VLOOKUP($F36,드롭다운!$A:$F,5,0),"")</f>
        <v/>
      </c>
      <c r="AA36" s="617"/>
    </row>
    <row r="37" spans="1:27">
      <c r="A37" s="481">
        <v>45415</v>
      </c>
      <c r="B37" s="491">
        <v>3</v>
      </c>
      <c r="C37" s="100" t="s">
        <v>8341</v>
      </c>
      <c r="D37" s="633" t="s">
        <v>128</v>
      </c>
      <c r="E37" s="138" t="s">
        <v>7575</v>
      </c>
      <c r="F37" s="633" t="s">
        <v>193</v>
      </c>
      <c r="G37" s="138" t="s">
        <v>7551</v>
      </c>
      <c r="H37" s="634">
        <v>2</v>
      </c>
      <c r="I37" s="457">
        <v>105000</v>
      </c>
      <c r="J37" s="457">
        <f t="shared" si="0"/>
        <v>210000</v>
      </c>
      <c r="K37" s="457">
        <f>tbl_국내[[#This Row],[금액]]*1.1</f>
        <v>231000.00000000003</v>
      </c>
      <c r="L37" s="458">
        <v>45414</v>
      </c>
      <c r="M37" s="141">
        <v>45414</v>
      </c>
      <c r="N37" s="457" t="s">
        <v>172</v>
      </c>
      <c r="O37" s="141" t="s">
        <v>172</v>
      </c>
      <c r="P37" s="458">
        <v>45415</v>
      </c>
      <c r="Q37" s="616"/>
      <c r="R37" s="616">
        <f>YEAR(tbl_국내[[#This Row],[계산서
발행일/구매확정일]])</f>
        <v>2024</v>
      </c>
      <c r="S37" s="617">
        <f>IF(국내!$P37="",0,MONTH(국내!$P37))</f>
        <v>5</v>
      </c>
      <c r="T37" s="617" t="str">
        <f>IFERROR(VLOOKUP($F37,product[],6,0),"error")</f>
        <v>error</v>
      </c>
      <c r="U37" s="138"/>
      <c r="V37" s="138"/>
      <c r="W37" s="617" t="str">
        <f>IF($T37="카메라",VLOOKUP($F37,드롭다운!$A:$F,2,0),"")</f>
        <v/>
      </c>
      <c r="X37" s="617" t="str">
        <f>IF($T37="카메라",VLOOKUP($F37,드롭다운!$A:$F,3,0),"")</f>
        <v/>
      </c>
      <c r="Y37" s="617" t="str">
        <f>IF($T37="카메라",VLOOKUP($F37,드롭다운!$A:$F,4,0),"")</f>
        <v/>
      </c>
      <c r="Z37" s="617" t="str">
        <f>IF($T37="카메라",VLOOKUP($F37,드롭다운!$A:$F,5,0),"")</f>
        <v/>
      </c>
      <c r="AA37" s="617"/>
    </row>
    <row r="38" spans="1:27">
      <c r="A38" s="481">
        <v>45419</v>
      </c>
      <c r="B38" s="491">
        <v>4</v>
      </c>
      <c r="C38" s="100" t="s">
        <v>8342</v>
      </c>
      <c r="D38" s="633" t="s">
        <v>8302</v>
      </c>
      <c r="E38" s="138" t="s">
        <v>7572</v>
      </c>
      <c r="F38" s="633" t="s">
        <v>148</v>
      </c>
      <c r="G38" s="138" t="s">
        <v>7553</v>
      </c>
      <c r="H38" s="634">
        <v>1</v>
      </c>
      <c r="I38" s="457">
        <v>4936000</v>
      </c>
      <c r="J38" s="457">
        <f t="shared" si="0"/>
        <v>4936000</v>
      </c>
      <c r="K38" s="457">
        <f>tbl_국내[[#This Row],[금액]]*1.1</f>
        <v>5429600</v>
      </c>
      <c r="L38" s="458">
        <v>45418</v>
      </c>
      <c r="M38" s="141">
        <v>45418</v>
      </c>
      <c r="N38" s="457">
        <v>5429600</v>
      </c>
      <c r="O38" s="141">
        <v>45400</v>
      </c>
      <c r="P38" s="458">
        <v>45419</v>
      </c>
      <c r="Q38" s="616"/>
      <c r="R38" s="616">
        <f>YEAR(tbl_국내[[#This Row],[계산서
발행일/구매확정일]])</f>
        <v>2024</v>
      </c>
      <c r="S38" s="617">
        <f>IF(국내!$P38="",0,MONTH(국내!$P38))</f>
        <v>5</v>
      </c>
      <c r="T38" s="617" t="str">
        <f>IFERROR(VLOOKUP($F38,product[],6,0),"error")</f>
        <v>카메라</v>
      </c>
      <c r="U38" s="138"/>
      <c r="V38" s="138"/>
      <c r="W38" s="617" t="str">
        <f>IF($T38="카메라",VLOOKUP($F38,드롭다운!$A:$F,2,0),"")</f>
        <v>VGA</v>
      </c>
      <c r="X38" s="617" t="str">
        <f>IF($T38="카메라",VLOOKUP($F38,드롭다운!$A:$F,3,0),"")</f>
        <v>Security</v>
      </c>
      <c r="Y38" s="617" t="str">
        <f>IF($T38="카메라",VLOOKUP($F38,드롭다운!$A:$F,4,0),"")</f>
        <v>Analogue</v>
      </c>
      <c r="Z38" s="617">
        <f>IF($T38="카메라",VLOOKUP($F38,드롭다운!$A:$F,5,0),"")</f>
        <v>17</v>
      </c>
      <c r="AA38" s="617"/>
    </row>
    <row r="39" spans="1:27">
      <c r="A39" s="481">
        <v>45420</v>
      </c>
      <c r="B39" s="491">
        <v>5</v>
      </c>
      <c r="C39" s="100" t="s">
        <v>8343</v>
      </c>
      <c r="D39" s="633" t="s">
        <v>199</v>
      </c>
      <c r="E39" s="138" t="s">
        <v>7576</v>
      </c>
      <c r="F39" s="633" t="s">
        <v>108</v>
      </c>
      <c r="G39" s="138" t="s">
        <v>7551</v>
      </c>
      <c r="H39" s="634">
        <v>1</v>
      </c>
      <c r="I39" s="457">
        <v>1200000</v>
      </c>
      <c r="J39" s="457">
        <f t="shared" si="0"/>
        <v>1200000</v>
      </c>
      <c r="K39" s="457">
        <f>tbl_국내[[#This Row],[금액]]*1.1</f>
        <v>1320000</v>
      </c>
      <c r="L39" s="458">
        <v>45419</v>
      </c>
      <c r="M39" s="141">
        <v>45419</v>
      </c>
      <c r="N39" s="457">
        <v>1430000</v>
      </c>
      <c r="O39" s="141">
        <v>45469</v>
      </c>
      <c r="P39" s="458">
        <v>45420</v>
      </c>
      <c r="Q39" s="616"/>
      <c r="R39" s="616">
        <f>YEAR(tbl_국내[[#This Row],[계산서
발행일/구매확정일]])</f>
        <v>2024</v>
      </c>
      <c r="S39" s="617">
        <f>IF(국내!$P39="",0,MONTH(국내!$P39))</f>
        <v>5</v>
      </c>
      <c r="T39" s="617" t="str">
        <f>IFERROR(VLOOKUP($F39,product[],6,0),"error")</f>
        <v>error</v>
      </c>
      <c r="U39" s="138"/>
      <c r="V39" s="138"/>
      <c r="W39" s="617" t="str">
        <f>IF($T39="카메라",VLOOKUP($F39,드롭다운!$A:$F,2,0),"")</f>
        <v/>
      </c>
      <c r="X39" s="617" t="str">
        <f>IF($T39="카메라",VLOOKUP($F39,드롭다운!$A:$F,3,0),"")</f>
        <v/>
      </c>
      <c r="Y39" s="617" t="str">
        <f>IF($T39="카메라",VLOOKUP($F39,드롭다운!$A:$F,4,0),"")</f>
        <v/>
      </c>
      <c r="Z39" s="617" t="str">
        <f>IF($T39="카메라",VLOOKUP($F39,드롭다운!$A:$F,5,0),"")</f>
        <v/>
      </c>
      <c r="AA39" s="617"/>
    </row>
    <row r="40" spans="1:27">
      <c r="A40" s="481">
        <v>45420</v>
      </c>
      <c r="B40" s="491">
        <v>5</v>
      </c>
      <c r="C40" s="100" t="s">
        <v>8343</v>
      </c>
      <c r="D40" s="633" t="s">
        <v>199</v>
      </c>
      <c r="E40" s="138" t="s">
        <v>7576</v>
      </c>
      <c r="F40" s="633" t="s">
        <v>108</v>
      </c>
      <c r="G40" s="138" t="s">
        <v>7551</v>
      </c>
      <c r="H40" s="634">
        <v>1</v>
      </c>
      <c r="I40" s="457">
        <v>100000</v>
      </c>
      <c r="J40" s="457">
        <f t="shared" si="0"/>
        <v>100000</v>
      </c>
      <c r="K40" s="457">
        <f>tbl_국내[[#This Row],[금액]]*1.1</f>
        <v>110000.00000000001</v>
      </c>
      <c r="L40" s="458">
        <v>45419</v>
      </c>
      <c r="M40" s="141">
        <v>45419</v>
      </c>
      <c r="N40" s="457">
        <v>0</v>
      </c>
      <c r="O40" s="141">
        <v>45469</v>
      </c>
      <c r="P40" s="458">
        <v>45420</v>
      </c>
      <c r="Q40" s="616"/>
      <c r="R40" s="616">
        <f>YEAR(tbl_국내[[#This Row],[계산서
발행일/구매확정일]])</f>
        <v>2024</v>
      </c>
      <c r="S40" s="617">
        <f>IF(국내!$P40="",0,MONTH(국내!$P40))</f>
        <v>5</v>
      </c>
      <c r="T40" s="617" t="str">
        <f>IFERROR(VLOOKUP($F40,product[],6,0),"error")</f>
        <v>error</v>
      </c>
      <c r="U40" s="138"/>
      <c r="V40" s="138"/>
      <c r="W40" s="617" t="str">
        <f>IF($T40="카메라",VLOOKUP($F40,드롭다운!$A:$F,2,0),"")</f>
        <v/>
      </c>
      <c r="X40" s="617" t="str">
        <f>IF($T40="카메라",VLOOKUP($F40,드롭다운!$A:$F,3,0),"")</f>
        <v/>
      </c>
      <c r="Y40" s="617" t="str">
        <f>IF($T40="카메라",VLOOKUP($F40,드롭다운!$A:$F,4,0),"")</f>
        <v/>
      </c>
      <c r="Z40" s="617" t="str">
        <f>IF($T40="카메라",VLOOKUP($F40,드롭다운!$A:$F,5,0),"")</f>
        <v/>
      </c>
      <c r="AA40" s="617"/>
    </row>
    <row r="41" spans="1:27">
      <c r="A41" s="481">
        <v>45420</v>
      </c>
      <c r="B41" s="491">
        <v>6</v>
      </c>
      <c r="C41" s="100" t="s">
        <v>8344</v>
      </c>
      <c r="D41" s="633" t="s">
        <v>200</v>
      </c>
      <c r="E41" s="138" t="s">
        <v>7572</v>
      </c>
      <c r="F41" s="633" t="s">
        <v>123</v>
      </c>
      <c r="G41" s="138" t="s">
        <v>7551</v>
      </c>
      <c r="H41" s="634">
        <v>1</v>
      </c>
      <c r="I41" s="457">
        <v>2988000</v>
      </c>
      <c r="J41" s="457">
        <f t="shared" si="0"/>
        <v>2988000</v>
      </c>
      <c r="K41" s="457">
        <f>tbl_국내[[#This Row],[금액]]*1.1</f>
        <v>3286800.0000000005</v>
      </c>
      <c r="L41" s="458">
        <v>45419</v>
      </c>
      <c r="M41" s="141">
        <v>45419</v>
      </c>
      <c r="N41" s="457">
        <v>3286800</v>
      </c>
      <c r="O41" s="141">
        <v>45421</v>
      </c>
      <c r="P41" s="458">
        <v>45420</v>
      </c>
      <c r="Q41" s="616"/>
      <c r="R41" s="616">
        <f>YEAR(tbl_국내[[#This Row],[계산서
발행일/구매확정일]])</f>
        <v>2024</v>
      </c>
      <c r="S41" s="617">
        <f>IF(국내!$P41="",0,MONTH(국내!$P41))</f>
        <v>5</v>
      </c>
      <c r="T41" s="617" t="str">
        <f>IFERROR(VLOOKUP($F41,product[],6,0),"error")</f>
        <v>카메라</v>
      </c>
      <c r="U41" s="138"/>
      <c r="V41" s="138"/>
      <c r="W41" s="617" t="str">
        <f>IF($T41="카메라",VLOOKUP($F41,드롭다운!$A:$F,2,0),"")</f>
        <v>VGA</v>
      </c>
      <c r="X41" s="617" t="str">
        <f>IF($T41="카메라",VLOOKUP($F41,드롭다운!$A:$F,3,0),"")</f>
        <v>Security</v>
      </c>
      <c r="Y41" s="617" t="str">
        <f>IF($T41="카메라",VLOOKUP($F41,드롭다운!$A:$F,4,0),"")</f>
        <v>Analogue</v>
      </c>
      <c r="Z41" s="617">
        <f>IF($T41="카메라",VLOOKUP($F41,드롭다운!$A:$F,5,0),"")</f>
        <v>17</v>
      </c>
      <c r="AA41" s="617"/>
    </row>
    <row r="42" spans="1:27">
      <c r="A42" s="481">
        <v>45420</v>
      </c>
      <c r="B42" s="491">
        <v>7</v>
      </c>
      <c r="C42" s="100" t="s">
        <v>8345</v>
      </c>
      <c r="D42" s="633" t="s">
        <v>8303</v>
      </c>
      <c r="E42" s="633" t="s">
        <v>7571</v>
      </c>
      <c r="F42" s="633" t="s">
        <v>197</v>
      </c>
      <c r="G42" s="138" t="s">
        <v>7551</v>
      </c>
      <c r="H42" s="634">
        <v>1</v>
      </c>
      <c r="I42" s="457">
        <v>300000</v>
      </c>
      <c r="J42" s="457">
        <f t="shared" si="0"/>
        <v>300000</v>
      </c>
      <c r="K42" s="457">
        <f>tbl_국내[[#This Row],[금액]]*1.1</f>
        <v>330000</v>
      </c>
      <c r="L42" s="458">
        <v>45419</v>
      </c>
      <c r="M42" s="141">
        <v>45419</v>
      </c>
      <c r="N42" s="457">
        <v>330000</v>
      </c>
      <c r="O42" s="141">
        <v>45621</v>
      </c>
      <c r="P42" s="458">
        <v>45420</v>
      </c>
      <c r="Q42" s="616"/>
      <c r="R42" s="616">
        <f>YEAR(tbl_국내[[#This Row],[계산서
발행일/구매확정일]])</f>
        <v>2024</v>
      </c>
      <c r="S42" s="617">
        <f>IF(국내!$P42="",0,MONTH(국내!$P42))</f>
        <v>5</v>
      </c>
      <c r="T42" s="617" t="str">
        <f>IFERROR(VLOOKUP($F42,product[],6,0),"error")</f>
        <v>error</v>
      </c>
      <c r="U42" s="138"/>
      <c r="V42" s="138"/>
      <c r="W42" s="617" t="str">
        <f>IF($T42="카메라",VLOOKUP($F42,드롭다운!$A:$F,2,0),"")</f>
        <v/>
      </c>
      <c r="X42" s="617" t="str">
        <f>IF($T42="카메라",VLOOKUP($F42,드롭다운!$A:$F,3,0),"")</f>
        <v/>
      </c>
      <c r="Y42" s="617" t="str">
        <f>IF($T42="카메라",VLOOKUP($F42,드롭다운!$A:$F,4,0),"")</f>
        <v/>
      </c>
      <c r="Z42" s="617" t="str">
        <f>IF($T42="카메라",VLOOKUP($F42,드롭다운!$A:$F,5,0),"")</f>
        <v/>
      </c>
      <c r="AA42" s="617"/>
    </row>
    <row r="43" spans="1:27">
      <c r="A43" s="481">
        <v>45420</v>
      </c>
      <c r="B43" s="491">
        <v>8</v>
      </c>
      <c r="C43" s="100" t="s">
        <v>8346</v>
      </c>
      <c r="D43" s="633" t="s">
        <v>198</v>
      </c>
      <c r="E43" s="138" t="s">
        <v>7572</v>
      </c>
      <c r="F43" s="633" t="s">
        <v>50</v>
      </c>
      <c r="G43" s="138" t="s">
        <v>7515</v>
      </c>
      <c r="H43" s="634">
        <v>1</v>
      </c>
      <c r="I43" s="457">
        <v>2910000</v>
      </c>
      <c r="J43" s="457">
        <f t="shared" si="0"/>
        <v>2910000</v>
      </c>
      <c r="K43" s="457">
        <f>tbl_국내[[#This Row],[금액]]*1.1</f>
        <v>3201000.0000000005</v>
      </c>
      <c r="L43" s="458">
        <v>45419</v>
      </c>
      <c r="M43" s="141">
        <v>45419</v>
      </c>
      <c r="N43" s="457">
        <v>0</v>
      </c>
      <c r="O43" s="141">
        <v>45425</v>
      </c>
      <c r="P43" s="458">
        <v>45420</v>
      </c>
      <c r="Q43" s="616"/>
      <c r="R43" s="616">
        <f>YEAR(tbl_국내[[#This Row],[계산서
발행일/구매확정일]])</f>
        <v>2024</v>
      </c>
      <c r="S43" s="617">
        <f>IF(국내!$P43="",0,MONTH(국내!$P43))</f>
        <v>5</v>
      </c>
      <c r="T43" s="617" t="str">
        <f>IFERROR(VLOOKUP($F43,product[],6,0),"error")</f>
        <v>카메라</v>
      </c>
      <c r="U43" s="138"/>
      <c r="V43" s="138"/>
      <c r="W43" s="617" t="str">
        <f>IF($T43="카메라",VLOOKUP($F43,드롭다운!$A:$F,2,0),"")</f>
        <v>QVGA</v>
      </c>
      <c r="X43" s="617" t="str">
        <f>IF($T43="카메라",VLOOKUP($F43,드롭다운!$A:$F,3,0),"")</f>
        <v>Radiometric</v>
      </c>
      <c r="Y43" s="617" t="str">
        <f>IF($T43="카메라",VLOOKUP($F43,드롭다운!$A:$F,4,0),"")</f>
        <v>Analogue</v>
      </c>
      <c r="Z43" s="617">
        <f>IF($T43="카메라",VLOOKUP($F43,드롭다운!$A:$F,5,0),"")</f>
        <v>17</v>
      </c>
      <c r="AA43" s="617"/>
    </row>
    <row r="44" spans="1:27">
      <c r="A44" s="481">
        <v>45420</v>
      </c>
      <c r="B44" s="491">
        <v>8</v>
      </c>
      <c r="C44" s="100" t="s">
        <v>8346</v>
      </c>
      <c r="D44" s="633" t="s">
        <v>198</v>
      </c>
      <c r="E44" s="138" t="s">
        <v>7572</v>
      </c>
      <c r="F44" s="633" t="s">
        <v>50</v>
      </c>
      <c r="G44" s="138" t="s">
        <v>7514</v>
      </c>
      <c r="H44" s="634">
        <v>1</v>
      </c>
      <c r="I44" s="457">
        <v>2636100</v>
      </c>
      <c r="J44" s="457">
        <f t="shared" si="0"/>
        <v>2636100</v>
      </c>
      <c r="K44" s="457">
        <f>tbl_국내[[#This Row],[금액]]*1.1</f>
        <v>2899710.0000000005</v>
      </c>
      <c r="L44" s="458">
        <v>45419</v>
      </c>
      <c r="M44" s="141">
        <v>45419</v>
      </c>
      <c r="N44" s="457">
        <v>0</v>
      </c>
      <c r="O44" s="141">
        <v>45425</v>
      </c>
      <c r="P44" s="458">
        <v>45420</v>
      </c>
      <c r="Q44" s="616"/>
      <c r="R44" s="616">
        <f>YEAR(tbl_국내[[#This Row],[계산서
발행일/구매확정일]])</f>
        <v>2024</v>
      </c>
      <c r="S44" s="617">
        <f>IF(국내!$P44="",0,MONTH(국내!$P44))</f>
        <v>5</v>
      </c>
      <c r="T44" s="617" t="str">
        <f>IFERROR(VLOOKUP($F44,product[],6,0),"error")</f>
        <v>카메라</v>
      </c>
      <c r="U44" s="138"/>
      <c r="V44" s="138"/>
      <c r="W44" s="617" t="str">
        <f>IF($T44="카메라",VLOOKUP($F44,드롭다운!$A:$F,2,0),"")</f>
        <v>QVGA</v>
      </c>
      <c r="X44" s="617" t="str">
        <f>IF($T44="카메라",VLOOKUP($F44,드롭다운!$A:$F,3,0),"")</f>
        <v>Radiometric</v>
      </c>
      <c r="Y44" s="617" t="str">
        <f>IF($T44="카메라",VLOOKUP($F44,드롭다운!$A:$F,4,0),"")</f>
        <v>Analogue</v>
      </c>
      <c r="Z44" s="617">
        <f>IF($T44="카메라",VLOOKUP($F44,드롭다운!$A:$F,5,0),"")</f>
        <v>17</v>
      </c>
      <c r="AA44" s="617"/>
    </row>
    <row r="45" spans="1:27">
      <c r="A45" s="481">
        <v>45420</v>
      </c>
      <c r="B45" s="491">
        <v>8</v>
      </c>
      <c r="C45" s="100" t="s">
        <v>8346</v>
      </c>
      <c r="D45" s="633" t="s">
        <v>198</v>
      </c>
      <c r="E45" s="138" t="s">
        <v>7575</v>
      </c>
      <c r="F45" s="633" t="s">
        <v>193</v>
      </c>
      <c r="G45" s="138" t="s">
        <v>7551</v>
      </c>
      <c r="H45" s="634">
        <v>2</v>
      </c>
      <c r="I45" s="457">
        <v>105000</v>
      </c>
      <c r="J45" s="457">
        <f t="shared" si="0"/>
        <v>210000</v>
      </c>
      <c r="K45" s="457">
        <f>tbl_국내[[#This Row],[금액]]*1.1</f>
        <v>231000.00000000003</v>
      </c>
      <c r="L45" s="458">
        <v>45419</v>
      </c>
      <c r="M45" s="141">
        <v>45419</v>
      </c>
      <c r="N45" s="457">
        <v>6331710</v>
      </c>
      <c r="O45" s="141">
        <v>45425</v>
      </c>
      <c r="P45" s="458">
        <v>45420</v>
      </c>
      <c r="Q45" s="616"/>
      <c r="R45" s="616">
        <f>YEAR(tbl_국내[[#This Row],[계산서
발행일/구매확정일]])</f>
        <v>2024</v>
      </c>
      <c r="S45" s="617">
        <f>IF(국내!$P45="",0,MONTH(국내!$P45))</f>
        <v>5</v>
      </c>
      <c r="T45" s="617" t="str">
        <f>IFERROR(VLOOKUP($F45,product[],6,0),"error")</f>
        <v>error</v>
      </c>
      <c r="U45" s="138"/>
      <c r="V45" s="138"/>
      <c r="W45" s="617" t="str">
        <f>IF($T45="카메라",VLOOKUP($F45,드롭다운!$A:$F,2,0),"")</f>
        <v/>
      </c>
      <c r="X45" s="617" t="str">
        <f>IF($T45="카메라",VLOOKUP($F45,드롭다운!$A:$F,3,0),"")</f>
        <v/>
      </c>
      <c r="Y45" s="617" t="str">
        <f>IF($T45="카메라",VLOOKUP($F45,드롭다운!$A:$F,4,0),"")</f>
        <v/>
      </c>
      <c r="Z45" s="617" t="str">
        <f>IF($T45="카메라",VLOOKUP($F45,드롭다운!$A:$F,5,0),"")</f>
        <v/>
      </c>
      <c r="AA45" s="617"/>
    </row>
    <row r="46" spans="1:27">
      <c r="A46" s="481">
        <v>45421</v>
      </c>
      <c r="B46" s="491">
        <v>9</v>
      </c>
      <c r="C46" s="100" t="s">
        <v>8347</v>
      </c>
      <c r="D46" s="633" t="s">
        <v>202</v>
      </c>
      <c r="E46" s="138" t="s">
        <v>7572</v>
      </c>
      <c r="F46" s="633" t="s">
        <v>122</v>
      </c>
      <c r="G46" s="138" t="s">
        <v>7554</v>
      </c>
      <c r="H46" s="634">
        <v>1</v>
      </c>
      <c r="I46" s="457">
        <v>16741980</v>
      </c>
      <c r="J46" s="457">
        <f t="shared" si="0"/>
        <v>16741980</v>
      </c>
      <c r="K46" s="457">
        <f>tbl_국내[[#This Row],[금액]]*1.1</f>
        <v>18416178</v>
      </c>
      <c r="L46" s="458">
        <v>45420</v>
      </c>
      <c r="M46" s="141">
        <v>45420</v>
      </c>
      <c r="N46" s="457">
        <v>18416178</v>
      </c>
      <c r="O46" s="141">
        <v>45428</v>
      </c>
      <c r="P46" s="458">
        <v>45421</v>
      </c>
      <c r="Q46" s="616"/>
      <c r="R46" s="616">
        <f>YEAR(tbl_국내[[#This Row],[계산서
발행일/구매확정일]])</f>
        <v>2024</v>
      </c>
      <c r="S46" s="617">
        <f>IF(국내!$P46="",0,MONTH(국내!$P46))</f>
        <v>5</v>
      </c>
      <c r="T46" s="617" t="str">
        <f>IFERROR(VLOOKUP($F46,product[],6,0),"error")</f>
        <v>카메라</v>
      </c>
      <c r="U46" s="138"/>
      <c r="V46" s="138"/>
      <c r="W46" s="617" t="str">
        <f>IF($T46="카메라",VLOOKUP($F46,드롭다운!$A:$F,2,0),"")</f>
        <v>VGA</v>
      </c>
      <c r="X46" s="617" t="str">
        <f>IF($T46="카메라",VLOOKUP($F46,드롭다운!$A:$F,3,0),"")</f>
        <v>Security</v>
      </c>
      <c r="Y46" s="617" t="str">
        <f>IF($T46="카메라",VLOOKUP($F46,드롭다운!$A:$F,4,0),"")</f>
        <v>Network</v>
      </c>
      <c r="Z46" s="617">
        <f>IF($T46="카메라",VLOOKUP($F46,드롭다운!$A:$F,5,0),"")</f>
        <v>12</v>
      </c>
      <c r="AA46" s="617"/>
    </row>
    <row r="47" spans="1:27">
      <c r="A47" s="481">
        <v>45421</v>
      </c>
      <c r="B47" s="491">
        <v>10</v>
      </c>
      <c r="C47" s="100" t="s">
        <v>8348</v>
      </c>
      <c r="D47" s="633" t="s">
        <v>201</v>
      </c>
      <c r="E47" s="138" t="s">
        <v>7576</v>
      </c>
      <c r="F47" s="633" t="s">
        <v>108</v>
      </c>
      <c r="G47" s="138" t="s">
        <v>7551</v>
      </c>
      <c r="H47" s="634">
        <v>1</v>
      </c>
      <c r="I47" s="457">
        <v>100000</v>
      </c>
      <c r="J47" s="457">
        <f t="shared" si="0"/>
        <v>100000</v>
      </c>
      <c r="K47" s="457">
        <f>tbl_국내[[#This Row],[금액]]*1.1</f>
        <v>110000.00000000001</v>
      </c>
      <c r="L47" s="458">
        <v>45420</v>
      </c>
      <c r="M47" s="141">
        <v>45420</v>
      </c>
      <c r="N47" s="457">
        <v>1430000</v>
      </c>
      <c r="O47" s="141">
        <v>45426</v>
      </c>
      <c r="P47" s="458">
        <v>45421</v>
      </c>
      <c r="Q47" s="616"/>
      <c r="R47" s="616">
        <f>YEAR(tbl_국내[[#This Row],[계산서
발행일/구매확정일]])</f>
        <v>2024</v>
      </c>
      <c r="S47" s="617">
        <f>IF(국내!$P47="",0,MONTH(국내!$P47))</f>
        <v>5</v>
      </c>
      <c r="T47" s="617" t="str">
        <f>IFERROR(VLOOKUP($F47,product[],6,0),"error")</f>
        <v>error</v>
      </c>
      <c r="U47" s="138"/>
      <c r="V47" s="138"/>
      <c r="W47" s="617" t="str">
        <f>IF($T47="카메라",VLOOKUP($F47,드롭다운!$A:$F,2,0),"")</f>
        <v/>
      </c>
      <c r="X47" s="617" t="str">
        <f>IF($T47="카메라",VLOOKUP($F47,드롭다운!$A:$F,3,0),"")</f>
        <v/>
      </c>
      <c r="Y47" s="617" t="str">
        <f>IF($T47="카메라",VLOOKUP($F47,드롭다운!$A:$F,4,0),"")</f>
        <v/>
      </c>
      <c r="Z47" s="617" t="str">
        <f>IF($T47="카메라",VLOOKUP($F47,드롭다운!$A:$F,5,0),"")</f>
        <v/>
      </c>
      <c r="AA47" s="617"/>
    </row>
    <row r="48" spans="1:27">
      <c r="A48" s="481">
        <v>45421</v>
      </c>
      <c r="B48" s="491">
        <v>10</v>
      </c>
      <c r="C48" s="100" t="s">
        <v>8348</v>
      </c>
      <c r="D48" s="633" t="s">
        <v>201</v>
      </c>
      <c r="E48" s="138" t="s">
        <v>7576</v>
      </c>
      <c r="F48" s="633" t="s">
        <v>108</v>
      </c>
      <c r="G48" s="138" t="s">
        <v>7551</v>
      </c>
      <c r="H48" s="634">
        <v>1</v>
      </c>
      <c r="I48" s="457">
        <v>1200000</v>
      </c>
      <c r="J48" s="457">
        <f t="shared" si="0"/>
        <v>1200000</v>
      </c>
      <c r="K48" s="457">
        <f>tbl_국내[[#This Row],[금액]]*1.1</f>
        <v>1320000</v>
      </c>
      <c r="L48" s="458">
        <v>45420</v>
      </c>
      <c r="M48" s="141">
        <v>45420</v>
      </c>
      <c r="N48" s="457">
        <v>0</v>
      </c>
      <c r="O48" s="141">
        <v>45426</v>
      </c>
      <c r="P48" s="458">
        <v>45421</v>
      </c>
      <c r="Q48" s="616"/>
      <c r="R48" s="616">
        <f>YEAR(tbl_국내[[#This Row],[계산서
발행일/구매확정일]])</f>
        <v>2024</v>
      </c>
      <c r="S48" s="617">
        <f>IF(국내!$P48="",0,MONTH(국내!$P48))</f>
        <v>5</v>
      </c>
      <c r="T48" s="617" t="str">
        <f>IFERROR(VLOOKUP($F48,product[],6,0),"error")</f>
        <v>error</v>
      </c>
      <c r="U48" s="138"/>
      <c r="V48" s="138"/>
      <c r="W48" s="617" t="str">
        <f>IF($T48="카메라",VLOOKUP($F48,드롭다운!$A:$F,2,0),"")</f>
        <v/>
      </c>
      <c r="X48" s="617" t="str">
        <f>IF($T48="카메라",VLOOKUP($F48,드롭다운!$A:$F,3,0),"")</f>
        <v/>
      </c>
      <c r="Y48" s="617" t="str">
        <f>IF($T48="카메라",VLOOKUP($F48,드롭다운!$A:$F,4,0),"")</f>
        <v/>
      </c>
      <c r="Z48" s="617" t="str">
        <f>IF($T48="카메라",VLOOKUP($F48,드롭다운!$A:$F,5,0),"")</f>
        <v/>
      </c>
      <c r="AA48" s="617"/>
    </row>
    <row r="49" spans="1:27">
      <c r="A49" s="481">
        <v>45429</v>
      </c>
      <c r="B49" s="491">
        <v>11</v>
      </c>
      <c r="C49" s="100" t="s">
        <v>8349</v>
      </c>
      <c r="D49" s="633" t="s">
        <v>204</v>
      </c>
      <c r="E49" s="138" t="s">
        <v>7572</v>
      </c>
      <c r="F49" s="633" t="s">
        <v>116</v>
      </c>
      <c r="G49" s="138" t="s">
        <v>7517</v>
      </c>
      <c r="H49" s="634">
        <v>2</v>
      </c>
      <c r="I49" s="457">
        <v>2058500</v>
      </c>
      <c r="J49" s="457">
        <f t="shared" si="0"/>
        <v>4117000</v>
      </c>
      <c r="K49" s="457">
        <f>tbl_국내[[#This Row],[금액]]*1.1</f>
        <v>4528700</v>
      </c>
      <c r="L49" s="458">
        <v>45428</v>
      </c>
      <c r="M49" s="141">
        <v>45428</v>
      </c>
      <c r="N49" s="457">
        <v>4528700</v>
      </c>
      <c r="O49" s="141" t="s">
        <v>221</v>
      </c>
      <c r="P49" s="458">
        <v>45429</v>
      </c>
      <c r="Q49" s="616"/>
      <c r="R49" s="616">
        <f>YEAR(tbl_국내[[#This Row],[계산서
발행일/구매확정일]])</f>
        <v>2024</v>
      </c>
      <c r="S49" s="617">
        <f>IF(국내!$P49="",0,MONTH(국내!$P49))</f>
        <v>5</v>
      </c>
      <c r="T49" s="617" t="str">
        <f>IFERROR(VLOOKUP($F49,product[],6,0),"error")</f>
        <v>카메라</v>
      </c>
      <c r="U49" s="138"/>
      <c r="V49" s="138"/>
      <c r="W49" s="617" t="str">
        <f>IF($T49="카메라",VLOOKUP($F49,드롭다운!$A:$F,2,0),"")</f>
        <v>QVGA</v>
      </c>
      <c r="X49" s="617" t="str">
        <f>IF($T49="카메라",VLOOKUP($F49,드롭다운!$A:$F,3,0),"")</f>
        <v>Radiometric</v>
      </c>
      <c r="Y49" s="617" t="str">
        <f>IF($T49="카메라",VLOOKUP($F49,드롭다운!$A:$F,4,0),"")</f>
        <v>Network</v>
      </c>
      <c r="Z49" s="617">
        <f>IF($T49="카메라",VLOOKUP($F49,드롭다운!$A:$F,5,0),"")</f>
        <v>17</v>
      </c>
      <c r="AA49" s="617"/>
    </row>
    <row r="50" spans="1:27">
      <c r="A50" s="481">
        <v>45429</v>
      </c>
      <c r="B50" s="491">
        <v>12</v>
      </c>
      <c r="C50" s="100" t="s">
        <v>8350</v>
      </c>
      <c r="D50" s="633" t="s">
        <v>203</v>
      </c>
      <c r="E50" s="138" t="s">
        <v>7576</v>
      </c>
      <c r="F50" s="633" t="s">
        <v>108</v>
      </c>
      <c r="G50" s="138" t="s">
        <v>7551</v>
      </c>
      <c r="H50" s="634">
        <v>1</v>
      </c>
      <c r="I50" s="457">
        <v>250000</v>
      </c>
      <c r="J50" s="457">
        <f t="shared" si="0"/>
        <v>250000</v>
      </c>
      <c r="K50" s="457">
        <f>tbl_국내[[#This Row],[금액]]*1.1</f>
        <v>275000</v>
      </c>
      <c r="L50" s="458">
        <v>45428</v>
      </c>
      <c r="M50" s="141">
        <v>45428</v>
      </c>
      <c r="N50" s="457">
        <v>275000</v>
      </c>
      <c r="O50" s="141">
        <v>45429</v>
      </c>
      <c r="P50" s="458">
        <v>45429</v>
      </c>
      <c r="Q50" s="616"/>
      <c r="R50" s="616">
        <f>YEAR(tbl_국내[[#This Row],[계산서
발행일/구매확정일]])</f>
        <v>2024</v>
      </c>
      <c r="S50" s="617">
        <f>IF(국내!$P50="",0,MONTH(국내!$P50))</f>
        <v>5</v>
      </c>
      <c r="T50" s="617" t="str">
        <f>IFERROR(VLOOKUP($F50,product[],6,0),"error")</f>
        <v>error</v>
      </c>
      <c r="U50" s="138"/>
      <c r="V50" s="138"/>
      <c r="W50" s="617" t="str">
        <f>IF($T50="카메라",VLOOKUP($F50,드롭다운!$A:$F,2,0),"")</f>
        <v/>
      </c>
      <c r="X50" s="617" t="str">
        <f>IF($T50="카메라",VLOOKUP($F50,드롭다운!$A:$F,3,0),"")</f>
        <v/>
      </c>
      <c r="Y50" s="617" t="str">
        <f>IF($T50="카메라",VLOOKUP($F50,드롭다운!$A:$F,4,0),"")</f>
        <v/>
      </c>
      <c r="Z50" s="617" t="str">
        <f>IF($T50="카메라",VLOOKUP($F50,드롭다운!$A:$F,5,0),"")</f>
        <v/>
      </c>
      <c r="AA50" s="617"/>
    </row>
    <row r="51" spans="1:27">
      <c r="A51" s="481">
        <v>45432</v>
      </c>
      <c r="B51" s="491">
        <v>13</v>
      </c>
      <c r="C51" s="100" t="s">
        <v>8351</v>
      </c>
      <c r="D51" s="633" t="s">
        <v>128</v>
      </c>
      <c r="E51" s="138" t="s">
        <v>7576</v>
      </c>
      <c r="F51" s="633" t="s">
        <v>108</v>
      </c>
      <c r="G51" s="138" t="s">
        <v>7551</v>
      </c>
      <c r="H51" s="634">
        <v>1</v>
      </c>
      <c r="I51" s="457">
        <v>1200000</v>
      </c>
      <c r="J51" s="457">
        <f t="shared" si="0"/>
        <v>1200000</v>
      </c>
      <c r="K51" s="457">
        <f>tbl_국내[[#This Row],[금액]]*1.1</f>
        <v>1320000</v>
      </c>
      <c r="L51" s="458">
        <v>45431</v>
      </c>
      <c r="M51" s="141">
        <v>45431</v>
      </c>
      <c r="N51" s="457" t="s">
        <v>172</v>
      </c>
      <c r="O51" s="141" t="s">
        <v>172</v>
      </c>
      <c r="P51" s="458">
        <v>45432</v>
      </c>
      <c r="Q51" s="616"/>
      <c r="R51" s="616">
        <f>YEAR(tbl_국내[[#This Row],[계산서
발행일/구매확정일]])</f>
        <v>2024</v>
      </c>
      <c r="S51" s="617">
        <f>IF(국내!$P51="",0,MONTH(국내!$P51))</f>
        <v>5</v>
      </c>
      <c r="T51" s="617" t="str">
        <f>IFERROR(VLOOKUP($F51,product[],6,0),"error")</f>
        <v>error</v>
      </c>
      <c r="U51" s="138"/>
      <c r="V51" s="138"/>
      <c r="W51" s="617" t="str">
        <f>IF($T51="카메라",VLOOKUP($F51,드롭다운!$A:$F,2,0),"")</f>
        <v/>
      </c>
      <c r="X51" s="617" t="str">
        <f>IF($T51="카메라",VLOOKUP($F51,드롭다운!$A:$F,3,0),"")</f>
        <v/>
      </c>
      <c r="Y51" s="617" t="str">
        <f>IF($T51="카메라",VLOOKUP($F51,드롭다운!$A:$F,4,0),"")</f>
        <v/>
      </c>
      <c r="Z51" s="617" t="str">
        <f>IF($T51="카메라",VLOOKUP($F51,드롭다운!$A:$F,5,0),"")</f>
        <v/>
      </c>
      <c r="AA51" s="617"/>
    </row>
    <row r="52" spans="1:27">
      <c r="A52" s="481">
        <v>45433</v>
      </c>
      <c r="B52" s="491">
        <v>14</v>
      </c>
      <c r="C52" s="100" t="s">
        <v>8352</v>
      </c>
      <c r="D52" s="633" t="s">
        <v>128</v>
      </c>
      <c r="E52" s="138" t="s">
        <v>7572</v>
      </c>
      <c r="F52" s="633" t="s">
        <v>103</v>
      </c>
      <c r="G52" s="138" t="s">
        <v>7523</v>
      </c>
      <c r="H52" s="634">
        <v>1</v>
      </c>
      <c r="I52" s="457">
        <v>4222800</v>
      </c>
      <c r="J52" s="457">
        <f t="shared" si="0"/>
        <v>4222800</v>
      </c>
      <c r="K52" s="457">
        <f>tbl_국내[[#This Row],[금액]]*1.1</f>
        <v>4645080</v>
      </c>
      <c r="L52" s="458">
        <v>45432</v>
      </c>
      <c r="M52" s="141">
        <v>45432</v>
      </c>
      <c r="N52" s="457" t="s">
        <v>172</v>
      </c>
      <c r="O52" s="141" t="s">
        <v>172</v>
      </c>
      <c r="P52" s="458">
        <v>45433</v>
      </c>
      <c r="Q52" s="616"/>
      <c r="R52" s="616">
        <f>YEAR(tbl_국내[[#This Row],[계산서
발행일/구매확정일]])</f>
        <v>2024</v>
      </c>
      <c r="S52" s="617">
        <f>IF(국내!$P52="",0,MONTH(국내!$P52))</f>
        <v>5</v>
      </c>
      <c r="T52" s="617" t="str">
        <f>IFERROR(VLOOKUP($F52,product[],6,0),"error")</f>
        <v>카메라</v>
      </c>
      <c r="U52" s="138"/>
      <c r="V52" s="138"/>
      <c r="W52" s="617" t="str">
        <f>IF($T52="카메라",VLOOKUP($F52,드롭다운!$A:$F,2,0),"")</f>
        <v>VGA</v>
      </c>
      <c r="X52" s="617" t="str">
        <f>IF($T52="카메라",VLOOKUP($F52,드롭다운!$A:$F,3,0),"")</f>
        <v>Radiometric</v>
      </c>
      <c r="Y52" s="617" t="str">
        <f>IF($T52="카메라",VLOOKUP($F52,드롭다운!$A:$F,4,0),"")</f>
        <v>Network</v>
      </c>
      <c r="Z52" s="617">
        <f>IF($T52="카메라",VLOOKUP($F52,드롭다운!$A:$F,5,0),"")</f>
        <v>17</v>
      </c>
      <c r="AA52" s="617"/>
    </row>
    <row r="53" spans="1:27">
      <c r="A53" s="481">
        <v>45433</v>
      </c>
      <c r="B53" s="491">
        <v>14</v>
      </c>
      <c r="C53" s="100" t="s">
        <v>8352</v>
      </c>
      <c r="D53" s="633" t="s">
        <v>128</v>
      </c>
      <c r="E53" s="138" t="s">
        <v>7572</v>
      </c>
      <c r="F53" s="633" t="s">
        <v>103</v>
      </c>
      <c r="G53" s="138" t="s">
        <v>7523</v>
      </c>
      <c r="H53" s="634">
        <v>2</v>
      </c>
      <c r="I53" s="457">
        <v>4222800</v>
      </c>
      <c r="J53" s="457">
        <f t="shared" si="0"/>
        <v>8445600</v>
      </c>
      <c r="K53" s="457">
        <f>tbl_국내[[#This Row],[금액]]*1.1</f>
        <v>9290160</v>
      </c>
      <c r="L53" s="458">
        <v>45432</v>
      </c>
      <c r="M53" s="141">
        <v>45432</v>
      </c>
      <c r="N53" s="457" t="s">
        <v>172</v>
      </c>
      <c r="O53" s="141" t="s">
        <v>172</v>
      </c>
      <c r="P53" s="458">
        <v>45433</v>
      </c>
      <c r="Q53" s="616"/>
      <c r="R53" s="616">
        <f>YEAR(tbl_국내[[#This Row],[계산서
발행일/구매확정일]])</f>
        <v>2024</v>
      </c>
      <c r="S53" s="617">
        <f>IF(국내!$P53="",0,MONTH(국내!$P53))</f>
        <v>5</v>
      </c>
      <c r="T53" s="617" t="str">
        <f>IFERROR(VLOOKUP($F53,product[],6,0),"error")</f>
        <v>카메라</v>
      </c>
      <c r="U53" s="138"/>
      <c r="V53" s="138"/>
      <c r="W53" s="617" t="str">
        <f>IF($T53="카메라",VLOOKUP($F53,드롭다운!$A:$F,2,0),"")</f>
        <v>VGA</v>
      </c>
      <c r="X53" s="617" t="str">
        <f>IF($T53="카메라",VLOOKUP($F53,드롭다운!$A:$F,3,0),"")</f>
        <v>Radiometric</v>
      </c>
      <c r="Y53" s="617" t="str">
        <f>IF($T53="카메라",VLOOKUP($F53,드롭다운!$A:$F,4,0),"")</f>
        <v>Network</v>
      </c>
      <c r="Z53" s="617">
        <f>IF($T53="카메라",VLOOKUP($F53,드롭다운!$A:$F,5,0),"")</f>
        <v>17</v>
      </c>
      <c r="AA53" s="617"/>
    </row>
    <row r="54" spans="1:27">
      <c r="A54" s="481">
        <v>45433</v>
      </c>
      <c r="B54" s="491">
        <v>14</v>
      </c>
      <c r="C54" s="100" t="s">
        <v>8352</v>
      </c>
      <c r="D54" s="633" t="s">
        <v>128</v>
      </c>
      <c r="E54" s="138" t="s">
        <v>7575</v>
      </c>
      <c r="F54" s="633" t="s">
        <v>193</v>
      </c>
      <c r="G54" s="138" t="s">
        <v>7551</v>
      </c>
      <c r="H54" s="634">
        <v>1</v>
      </c>
      <c r="I54" s="457">
        <v>105000</v>
      </c>
      <c r="J54" s="457">
        <f t="shared" si="0"/>
        <v>105000</v>
      </c>
      <c r="K54" s="457">
        <f>tbl_국내[[#This Row],[금액]]*1.1</f>
        <v>115500.00000000001</v>
      </c>
      <c r="L54" s="458">
        <v>45432</v>
      </c>
      <c r="M54" s="141">
        <v>45432</v>
      </c>
      <c r="N54" s="457" t="s">
        <v>172</v>
      </c>
      <c r="O54" s="141" t="s">
        <v>172</v>
      </c>
      <c r="P54" s="458">
        <v>45433</v>
      </c>
      <c r="Q54" s="616"/>
      <c r="R54" s="616">
        <f>YEAR(tbl_국내[[#This Row],[계산서
발행일/구매확정일]])</f>
        <v>2024</v>
      </c>
      <c r="S54" s="617">
        <f>IF(국내!$P54="",0,MONTH(국내!$P54))</f>
        <v>5</v>
      </c>
      <c r="T54" s="617" t="str">
        <f>IFERROR(VLOOKUP($F54,product[],6,0),"error")</f>
        <v>error</v>
      </c>
      <c r="U54" s="138"/>
      <c r="V54" s="138"/>
      <c r="W54" s="617" t="str">
        <f>IF($T54="카메라",VLOOKUP($F54,드롭다운!$A:$F,2,0),"")</f>
        <v/>
      </c>
      <c r="X54" s="617" t="str">
        <f>IF($T54="카메라",VLOOKUP($F54,드롭다운!$A:$F,3,0),"")</f>
        <v/>
      </c>
      <c r="Y54" s="617" t="str">
        <f>IF($T54="카메라",VLOOKUP($F54,드롭다운!$A:$F,4,0),"")</f>
        <v/>
      </c>
      <c r="Z54" s="617" t="str">
        <f>IF($T54="카메라",VLOOKUP($F54,드롭다운!$A:$F,5,0),"")</f>
        <v/>
      </c>
      <c r="AA54" s="617"/>
    </row>
    <row r="55" spans="1:27">
      <c r="A55" s="481">
        <v>45435</v>
      </c>
      <c r="B55" s="491">
        <v>15</v>
      </c>
      <c r="C55" s="100" t="s">
        <v>8353</v>
      </c>
      <c r="D55" s="633" t="s">
        <v>128</v>
      </c>
      <c r="E55" s="138" t="s">
        <v>7575</v>
      </c>
      <c r="F55" s="633" t="s">
        <v>193</v>
      </c>
      <c r="G55" s="138" t="s">
        <v>7551</v>
      </c>
      <c r="H55" s="634">
        <v>1</v>
      </c>
      <c r="I55" s="457">
        <v>105000</v>
      </c>
      <c r="J55" s="457">
        <f t="shared" si="0"/>
        <v>105000</v>
      </c>
      <c r="K55" s="457">
        <f>tbl_국내[[#This Row],[금액]]*1.1</f>
        <v>115500.00000000001</v>
      </c>
      <c r="L55" s="458">
        <v>45434</v>
      </c>
      <c r="M55" s="141">
        <v>45434</v>
      </c>
      <c r="N55" s="457" t="s">
        <v>172</v>
      </c>
      <c r="O55" s="141" t="s">
        <v>172</v>
      </c>
      <c r="P55" s="458">
        <v>45435</v>
      </c>
      <c r="Q55" s="616"/>
      <c r="R55" s="616">
        <f>YEAR(tbl_국내[[#This Row],[계산서
발행일/구매확정일]])</f>
        <v>2024</v>
      </c>
      <c r="S55" s="617">
        <f>IF(국내!$P55="",0,MONTH(국내!$P55))</f>
        <v>5</v>
      </c>
      <c r="T55" s="617" t="str">
        <f>IFERROR(VLOOKUP($F55,product[],6,0),"error")</f>
        <v>error</v>
      </c>
      <c r="U55" s="138"/>
      <c r="V55" s="138"/>
      <c r="W55" s="617" t="str">
        <f>IF($T55="카메라",VLOOKUP($F55,드롭다운!$A:$F,2,0),"")</f>
        <v/>
      </c>
      <c r="X55" s="617" t="str">
        <f>IF($T55="카메라",VLOOKUP($F55,드롭다운!$A:$F,3,0),"")</f>
        <v/>
      </c>
      <c r="Y55" s="617" t="str">
        <f>IF($T55="카메라",VLOOKUP($F55,드롭다운!$A:$F,4,0),"")</f>
        <v/>
      </c>
      <c r="Z55" s="617" t="str">
        <f>IF($T55="카메라",VLOOKUP($F55,드롭다운!$A:$F,5,0),"")</f>
        <v/>
      </c>
      <c r="AA55" s="617"/>
    </row>
    <row r="56" spans="1:27">
      <c r="A56" s="481">
        <v>45442</v>
      </c>
      <c r="B56" s="491">
        <v>16</v>
      </c>
      <c r="C56" s="100" t="s">
        <v>8354</v>
      </c>
      <c r="D56" s="633" t="s">
        <v>227</v>
      </c>
      <c r="E56" s="138" t="s">
        <v>7572</v>
      </c>
      <c r="F56" s="633" t="s">
        <v>226</v>
      </c>
      <c r="G56" s="138" t="s">
        <v>7547</v>
      </c>
      <c r="H56" s="634">
        <v>4</v>
      </c>
      <c r="I56" s="457">
        <v>2650000</v>
      </c>
      <c r="J56" s="457">
        <f t="shared" si="0"/>
        <v>10600000</v>
      </c>
      <c r="K56" s="457">
        <f>tbl_국내[[#This Row],[금액]]*1.1</f>
        <v>11660000.000000002</v>
      </c>
      <c r="L56" s="458">
        <v>45441</v>
      </c>
      <c r="M56" s="458">
        <v>45441</v>
      </c>
      <c r="N56" s="457">
        <v>11660000</v>
      </c>
      <c r="O56" s="141">
        <v>45443</v>
      </c>
      <c r="P56" s="458">
        <v>45442</v>
      </c>
      <c r="Q56" s="616"/>
      <c r="R56" s="616">
        <f>YEAR(tbl_국내[[#This Row],[계산서
발행일/구매확정일]])</f>
        <v>2024</v>
      </c>
      <c r="S56" s="617">
        <f>IF(국내!$P56="",0,MONTH(국내!$P56))</f>
        <v>5</v>
      </c>
      <c r="T56" s="617" t="str">
        <f>IFERROR(VLOOKUP($F56,product[],6,0),"error")</f>
        <v>카메라</v>
      </c>
      <c r="U56" s="138"/>
      <c r="V56" s="138"/>
      <c r="W56" s="617" t="str">
        <f>IF($T56="카메라",VLOOKUP($F56,드롭다운!$A:$F,2,0),"")</f>
        <v>QVGA</v>
      </c>
      <c r="X56" s="617" t="str">
        <f>IF($T56="카메라",VLOOKUP($F56,드롭다운!$A:$F,3,0),"")</f>
        <v>Radiometric</v>
      </c>
      <c r="Y56" s="617" t="str">
        <f>IF($T56="카메라",VLOOKUP($F56,드롭다운!$A:$F,4,0),"")</f>
        <v>Network</v>
      </c>
      <c r="Z56" s="617">
        <f>IF($T56="카메라",VLOOKUP($F56,드롭다운!$A:$F,5,0),"")</f>
        <v>17</v>
      </c>
      <c r="AA56" s="617"/>
    </row>
    <row r="57" spans="1:27">
      <c r="A57" s="481">
        <v>45443</v>
      </c>
      <c r="B57" s="491">
        <v>17</v>
      </c>
      <c r="C57" s="100" t="s">
        <v>8355</v>
      </c>
      <c r="D57" s="633" t="s">
        <v>228</v>
      </c>
      <c r="E57" s="633" t="s">
        <v>7573</v>
      </c>
      <c r="F57" s="633" t="s">
        <v>173</v>
      </c>
      <c r="G57" s="138" t="s">
        <v>7545</v>
      </c>
      <c r="H57" s="634">
        <v>87</v>
      </c>
      <c r="I57" s="457">
        <f>0.25*1840000</f>
        <v>460000</v>
      </c>
      <c r="J57" s="457">
        <f t="shared" si="0"/>
        <v>40020000</v>
      </c>
      <c r="K57" s="457">
        <f>tbl_국내[[#This Row],[금액]]*1.1</f>
        <v>44022000</v>
      </c>
      <c r="L57" s="458">
        <v>45441</v>
      </c>
      <c r="M57" s="458">
        <v>45441</v>
      </c>
      <c r="N57" s="457">
        <v>44022000</v>
      </c>
      <c r="O57" s="141">
        <v>45483</v>
      </c>
      <c r="P57" s="458">
        <v>45443</v>
      </c>
      <c r="Q57" s="616" t="s">
        <v>230</v>
      </c>
      <c r="R57" s="616">
        <f>YEAR(tbl_국내[[#This Row],[계산서
발행일/구매확정일]])</f>
        <v>2024</v>
      </c>
      <c r="S57" s="617">
        <f>IF(국내!$P57="",0,MONTH(국내!$P57))</f>
        <v>5</v>
      </c>
      <c r="T57" s="617" t="str">
        <f>IFERROR(VLOOKUP($F57,product[],6,0),"error")</f>
        <v>카메라</v>
      </c>
      <c r="U57" s="138"/>
      <c r="V57" s="138"/>
      <c r="W57" s="617" t="str">
        <f>IF($T57="카메라",VLOOKUP($F57,드롭다운!$A:$F,2,0),"")</f>
        <v>QVGA</v>
      </c>
      <c r="X57" s="617" t="str">
        <f>IF($T57="카메라",VLOOKUP($F57,드롭다운!$A:$F,3,0),"")</f>
        <v>Radiometric</v>
      </c>
      <c r="Y57" s="617" t="str">
        <f>IF($T57="카메라",VLOOKUP($F57,드롭다운!$A:$F,4,0),"")</f>
        <v>Network</v>
      </c>
      <c r="Z57" s="617">
        <f>IF($T57="카메라",VLOOKUP($F57,드롭다운!$A:$F,5,0),"")</f>
        <v>17</v>
      </c>
      <c r="AA57" s="617"/>
    </row>
    <row r="58" spans="1:27">
      <c r="A58" s="135">
        <v>45447</v>
      </c>
      <c r="B58" s="491">
        <v>1</v>
      </c>
      <c r="C58" s="100" t="s">
        <v>8356</v>
      </c>
      <c r="D58" s="138" t="s">
        <v>128</v>
      </c>
      <c r="E58" s="138" t="s">
        <v>7576</v>
      </c>
      <c r="F58" s="138" t="s">
        <v>108</v>
      </c>
      <c r="G58" s="138" t="s">
        <v>7551</v>
      </c>
      <c r="H58" s="138">
        <v>1</v>
      </c>
      <c r="I58" s="457">
        <v>250000</v>
      </c>
      <c r="J58" s="457">
        <f t="shared" si="0"/>
        <v>250000</v>
      </c>
      <c r="K58" s="457">
        <f>tbl_국내[[#This Row],[금액]]*1.1</f>
        <v>275000</v>
      </c>
      <c r="L58" s="458">
        <v>45446</v>
      </c>
      <c r="M58" s="141">
        <v>45446</v>
      </c>
      <c r="N58" s="457" t="s">
        <v>172</v>
      </c>
      <c r="O58" s="141" t="s">
        <v>172</v>
      </c>
      <c r="P58" s="141">
        <v>45447</v>
      </c>
      <c r="Q58" s="616"/>
      <c r="R58" s="616">
        <f>YEAR(tbl_국내[[#This Row],[계산서
발행일/구매확정일]])</f>
        <v>2024</v>
      </c>
      <c r="S58" s="617">
        <f>IF(국내!$P58="",0,MONTH(국내!$P58))</f>
        <v>6</v>
      </c>
      <c r="T58" s="617" t="str">
        <f>IFERROR(VLOOKUP($F58,product[],6,0),"error")</f>
        <v>error</v>
      </c>
      <c r="U58" s="138"/>
      <c r="V58" s="138"/>
      <c r="W58" s="617" t="str">
        <f>IF($T58="카메라",VLOOKUP($F58,드롭다운!$A:$F,2,0),"")</f>
        <v/>
      </c>
      <c r="X58" s="617" t="str">
        <f>IF($T58="카메라",VLOOKUP($F58,드롭다운!$A:$F,3,0),"")</f>
        <v/>
      </c>
      <c r="Y58" s="617" t="str">
        <f>IF($T58="카메라",VLOOKUP($F58,드롭다운!$A:$F,4,0),"")</f>
        <v/>
      </c>
      <c r="Z58" s="617" t="str">
        <f>IF($T58="카메라",VLOOKUP($F58,드롭다운!$A:$F,5,0),"")</f>
        <v/>
      </c>
      <c r="AA58" s="617"/>
    </row>
    <row r="59" spans="1:27">
      <c r="A59" s="135">
        <v>45448</v>
      </c>
      <c r="B59" s="491">
        <v>2</v>
      </c>
      <c r="C59" s="100" t="s">
        <v>8357</v>
      </c>
      <c r="D59" s="138" t="s">
        <v>233</v>
      </c>
      <c r="E59" s="138" t="s">
        <v>7576</v>
      </c>
      <c r="F59" s="138" t="s">
        <v>108</v>
      </c>
      <c r="G59" s="138" t="s">
        <v>7551</v>
      </c>
      <c r="H59" s="138">
        <v>1</v>
      </c>
      <c r="I59" s="457">
        <v>600000</v>
      </c>
      <c r="J59" s="457">
        <f t="shared" si="0"/>
        <v>600000</v>
      </c>
      <c r="K59" s="457">
        <f>tbl_국내[[#This Row],[금액]]*1.1</f>
        <v>660000</v>
      </c>
      <c r="L59" s="458">
        <v>45447</v>
      </c>
      <c r="M59" s="141">
        <v>45447</v>
      </c>
      <c r="N59" s="457">
        <v>660000</v>
      </c>
      <c r="O59" s="141">
        <v>45477</v>
      </c>
      <c r="P59" s="141">
        <v>45448</v>
      </c>
      <c r="Q59" s="616"/>
      <c r="R59" s="616">
        <f>YEAR(tbl_국내[[#This Row],[계산서
발행일/구매확정일]])</f>
        <v>2024</v>
      </c>
      <c r="S59" s="617">
        <f>IF(국내!$P59="",0,MONTH(국내!$P59))</f>
        <v>6</v>
      </c>
      <c r="T59" s="617" t="str">
        <f>IFERROR(VLOOKUP($F59,product[],6,0),"error")</f>
        <v>error</v>
      </c>
      <c r="U59" s="138"/>
      <c r="V59" s="138"/>
      <c r="W59" s="617" t="str">
        <f>IF($T59="카메라",VLOOKUP($F59,드롭다운!$A:$F,2,0),"")</f>
        <v/>
      </c>
      <c r="X59" s="617" t="str">
        <f>IF($T59="카메라",VLOOKUP($F59,드롭다운!$A:$F,3,0),"")</f>
        <v/>
      </c>
      <c r="Y59" s="617" t="str">
        <f>IF($T59="카메라",VLOOKUP($F59,드롭다운!$A:$F,4,0),"")</f>
        <v/>
      </c>
      <c r="Z59" s="617" t="str">
        <f>IF($T59="카메라",VLOOKUP($F59,드롭다운!$A:$F,5,0),"")</f>
        <v/>
      </c>
      <c r="AA59" s="617"/>
    </row>
    <row r="60" spans="1:27">
      <c r="A60" s="135">
        <v>45448</v>
      </c>
      <c r="B60" s="491">
        <v>3</v>
      </c>
      <c r="C60" s="100" t="s">
        <v>8358</v>
      </c>
      <c r="D60" s="138" t="s">
        <v>127</v>
      </c>
      <c r="E60" s="138" t="s">
        <v>7576</v>
      </c>
      <c r="F60" s="138" t="s">
        <v>108</v>
      </c>
      <c r="G60" s="138" t="s">
        <v>7551</v>
      </c>
      <c r="H60" s="138">
        <v>1</v>
      </c>
      <c r="I60" s="457">
        <v>500000</v>
      </c>
      <c r="J60" s="457">
        <f t="shared" si="0"/>
        <v>500000</v>
      </c>
      <c r="K60" s="457">
        <f>tbl_국내[[#This Row],[금액]]*1.1</f>
        <v>550000</v>
      </c>
      <c r="L60" s="458">
        <v>45447</v>
      </c>
      <c r="M60" s="141">
        <v>45447</v>
      </c>
      <c r="N60" s="457">
        <v>550000</v>
      </c>
      <c r="O60" s="141">
        <v>45460</v>
      </c>
      <c r="P60" s="141">
        <v>45448</v>
      </c>
      <c r="Q60" s="616"/>
      <c r="R60" s="616">
        <f>YEAR(tbl_국내[[#This Row],[계산서
발행일/구매확정일]])</f>
        <v>2024</v>
      </c>
      <c r="S60" s="617">
        <f>IF(국내!$P60="",0,MONTH(국내!$P60))</f>
        <v>6</v>
      </c>
      <c r="T60" s="617" t="str">
        <f>IFERROR(VLOOKUP($F60,product[],6,0),"error")</f>
        <v>error</v>
      </c>
      <c r="U60" s="138"/>
      <c r="V60" s="138"/>
      <c r="W60" s="617" t="str">
        <f>IF($T60="카메라",VLOOKUP($F60,드롭다운!$A:$F,2,0),"")</f>
        <v/>
      </c>
      <c r="X60" s="617" t="str">
        <f>IF($T60="카메라",VLOOKUP($F60,드롭다운!$A:$F,3,0),"")</f>
        <v/>
      </c>
      <c r="Y60" s="617" t="str">
        <f>IF($T60="카메라",VLOOKUP($F60,드롭다운!$A:$F,4,0),"")</f>
        <v/>
      </c>
      <c r="Z60" s="617" t="str">
        <f>IF($T60="카메라",VLOOKUP($F60,드롭다운!$A:$F,5,0),"")</f>
        <v/>
      </c>
      <c r="AA60" s="617"/>
    </row>
    <row r="61" spans="1:27">
      <c r="A61" s="135">
        <v>45454</v>
      </c>
      <c r="B61" s="491">
        <v>4</v>
      </c>
      <c r="C61" s="100" t="s">
        <v>8359</v>
      </c>
      <c r="D61" s="138" t="s">
        <v>234</v>
      </c>
      <c r="E61" s="138" t="s">
        <v>7572</v>
      </c>
      <c r="F61" s="138" t="s">
        <v>103</v>
      </c>
      <c r="G61" s="138" t="s">
        <v>7512</v>
      </c>
      <c r="H61" s="138">
        <v>1</v>
      </c>
      <c r="I61" s="457">
        <v>4447000</v>
      </c>
      <c r="J61" s="457">
        <f t="shared" si="0"/>
        <v>4447000</v>
      </c>
      <c r="K61" s="457">
        <f>tbl_국내[[#This Row],[금액]]*1.1</f>
        <v>4891700</v>
      </c>
      <c r="L61" s="458">
        <v>45453</v>
      </c>
      <c r="M61" s="141">
        <v>45453</v>
      </c>
      <c r="N61" s="457">
        <v>4891700</v>
      </c>
      <c r="O61" s="141">
        <v>45504</v>
      </c>
      <c r="P61" s="141">
        <v>45454</v>
      </c>
      <c r="Q61" s="616"/>
      <c r="R61" s="616">
        <f>YEAR(tbl_국내[[#This Row],[계산서
발행일/구매확정일]])</f>
        <v>2024</v>
      </c>
      <c r="S61" s="617">
        <f>IF(국내!$P61="",0,MONTH(국내!$P61))</f>
        <v>6</v>
      </c>
      <c r="T61" s="617" t="str">
        <f>IFERROR(VLOOKUP($F61,product[],6,0),"error")</f>
        <v>카메라</v>
      </c>
      <c r="U61" s="138"/>
      <c r="V61" s="138"/>
      <c r="W61" s="617" t="str">
        <f>IF($T61="카메라",VLOOKUP($F61,드롭다운!$A:$F,2,0),"")</f>
        <v>VGA</v>
      </c>
      <c r="X61" s="617" t="str">
        <f>IF($T61="카메라",VLOOKUP($F61,드롭다운!$A:$F,3,0),"")</f>
        <v>Radiometric</v>
      </c>
      <c r="Y61" s="617" t="str">
        <f>IF($T61="카메라",VLOOKUP($F61,드롭다운!$A:$F,4,0),"")</f>
        <v>Network</v>
      </c>
      <c r="Z61" s="617">
        <f>IF($T61="카메라",VLOOKUP($F61,드롭다운!$A:$F,5,0),"")</f>
        <v>17</v>
      </c>
      <c r="AA61" s="617"/>
    </row>
    <row r="62" spans="1:27">
      <c r="A62" s="135">
        <v>45461</v>
      </c>
      <c r="B62" s="491">
        <v>5</v>
      </c>
      <c r="C62" s="100" t="s">
        <v>8360</v>
      </c>
      <c r="D62" s="138" t="s">
        <v>142</v>
      </c>
      <c r="E62" s="138" t="s">
        <v>7576</v>
      </c>
      <c r="F62" s="138" t="s">
        <v>108</v>
      </c>
      <c r="G62" s="138" t="s">
        <v>7551</v>
      </c>
      <c r="H62" s="138">
        <v>1</v>
      </c>
      <c r="I62" s="457">
        <v>1000000</v>
      </c>
      <c r="J62" s="457">
        <f t="shared" si="0"/>
        <v>1000000</v>
      </c>
      <c r="K62" s="457">
        <f>tbl_국내[[#This Row],[금액]]*1.1</f>
        <v>1100000</v>
      </c>
      <c r="L62" s="458">
        <v>45460</v>
      </c>
      <c r="M62" s="141">
        <v>45460</v>
      </c>
      <c r="N62" s="457">
        <v>1100000</v>
      </c>
      <c r="O62" s="141">
        <v>45474</v>
      </c>
      <c r="P62" s="141">
        <v>45461</v>
      </c>
      <c r="Q62" s="616"/>
      <c r="R62" s="616">
        <f>YEAR(tbl_국내[[#This Row],[계산서
발행일/구매확정일]])</f>
        <v>2024</v>
      </c>
      <c r="S62" s="617">
        <f>IF(국내!$P62="",0,MONTH(국내!$P62))</f>
        <v>6</v>
      </c>
      <c r="T62" s="617" t="str">
        <f>IFERROR(VLOOKUP($F62,product[],6,0),"error")</f>
        <v>error</v>
      </c>
      <c r="U62" s="138"/>
      <c r="V62" s="138"/>
      <c r="W62" s="617" t="str">
        <f>IF($T62="카메라",VLOOKUP($F62,드롭다운!$A:$F,2,0),"")</f>
        <v/>
      </c>
      <c r="X62" s="617" t="str">
        <f>IF($T62="카메라",VLOOKUP($F62,드롭다운!$A:$F,3,0),"")</f>
        <v/>
      </c>
      <c r="Y62" s="617" t="str">
        <f>IF($T62="카메라",VLOOKUP($F62,드롭다운!$A:$F,4,0),"")</f>
        <v/>
      </c>
      <c r="Z62" s="617" t="str">
        <f>IF($T62="카메라",VLOOKUP($F62,드롭다운!$A:$F,5,0),"")</f>
        <v/>
      </c>
      <c r="AA62" s="617"/>
    </row>
    <row r="63" spans="1:27">
      <c r="A63" s="135">
        <v>45461</v>
      </c>
      <c r="B63" s="491">
        <v>5</v>
      </c>
      <c r="C63" s="100" t="s">
        <v>8360</v>
      </c>
      <c r="D63" s="138" t="s">
        <v>142</v>
      </c>
      <c r="E63" s="138" t="s">
        <v>7576</v>
      </c>
      <c r="F63" s="138" t="s">
        <v>108</v>
      </c>
      <c r="G63" s="138" t="s">
        <v>7551</v>
      </c>
      <c r="H63" s="138">
        <v>1</v>
      </c>
      <c r="I63" s="457">
        <v>250000</v>
      </c>
      <c r="J63" s="457">
        <f t="shared" si="0"/>
        <v>250000</v>
      </c>
      <c r="K63" s="457">
        <f>tbl_국내[[#This Row],[금액]]*1.1</f>
        <v>275000</v>
      </c>
      <c r="L63" s="458">
        <v>45460</v>
      </c>
      <c r="M63" s="141">
        <v>45460</v>
      </c>
      <c r="N63" s="457">
        <v>275000</v>
      </c>
      <c r="O63" s="141">
        <v>45474</v>
      </c>
      <c r="P63" s="141">
        <v>45461</v>
      </c>
      <c r="Q63" s="616"/>
      <c r="R63" s="616">
        <f>YEAR(tbl_국내[[#This Row],[계산서
발행일/구매확정일]])</f>
        <v>2024</v>
      </c>
      <c r="S63" s="617">
        <f>IF(국내!$P63="",0,MONTH(국내!$P63))</f>
        <v>6</v>
      </c>
      <c r="T63" s="617" t="str">
        <f>IFERROR(VLOOKUP($F63,product[],6,0),"error")</f>
        <v>error</v>
      </c>
      <c r="U63" s="138"/>
      <c r="V63" s="138"/>
      <c r="W63" s="617" t="str">
        <f>IF($T63="카메라",VLOOKUP($F63,드롭다운!$A:$F,2,0),"")</f>
        <v/>
      </c>
      <c r="X63" s="617" t="str">
        <f>IF($T63="카메라",VLOOKUP($F63,드롭다운!$A:$F,3,0),"")</f>
        <v/>
      </c>
      <c r="Y63" s="617" t="str">
        <f>IF($T63="카메라",VLOOKUP($F63,드롭다운!$A:$F,4,0),"")</f>
        <v/>
      </c>
      <c r="Z63" s="617" t="str">
        <f>IF($T63="카메라",VLOOKUP($F63,드롭다운!$A:$F,5,0),"")</f>
        <v/>
      </c>
      <c r="AA63" s="617"/>
    </row>
    <row r="64" spans="1:27">
      <c r="A64" s="135">
        <v>45461</v>
      </c>
      <c r="B64" s="491">
        <v>6</v>
      </c>
      <c r="C64" s="100" t="s">
        <v>8361</v>
      </c>
      <c r="D64" s="138" t="s">
        <v>127</v>
      </c>
      <c r="E64" s="138" t="s">
        <v>7572</v>
      </c>
      <c r="F64" s="138" t="s">
        <v>50</v>
      </c>
      <c r="G64" s="138" t="s">
        <v>7550</v>
      </c>
      <c r="H64" s="138">
        <v>1</v>
      </c>
      <c r="I64" s="457">
        <v>2416000</v>
      </c>
      <c r="J64" s="457">
        <f t="shared" si="0"/>
        <v>2416000</v>
      </c>
      <c r="K64" s="457">
        <f>tbl_국내[[#This Row],[금액]]*1.1</f>
        <v>2657600</v>
      </c>
      <c r="L64" s="458">
        <v>45460</v>
      </c>
      <c r="M64" s="141">
        <v>45460</v>
      </c>
      <c r="N64" s="457">
        <v>2657600</v>
      </c>
      <c r="O64" s="141">
        <v>45471</v>
      </c>
      <c r="P64" s="141">
        <v>45461</v>
      </c>
      <c r="Q64" s="616"/>
      <c r="R64" s="616">
        <f>YEAR(tbl_국내[[#This Row],[계산서
발행일/구매확정일]])</f>
        <v>2024</v>
      </c>
      <c r="S64" s="617">
        <f>IF(국내!$P64="",0,MONTH(국내!$P64))</f>
        <v>6</v>
      </c>
      <c r="T64" s="617" t="str">
        <f>IFERROR(VLOOKUP($F64,product[],6,0),"error")</f>
        <v>카메라</v>
      </c>
      <c r="U64" s="138"/>
      <c r="V64" s="138"/>
      <c r="W64" s="617" t="str">
        <f>IF($T64="카메라",VLOOKUP($F64,드롭다운!$A:$F,2,0),"")</f>
        <v>QVGA</v>
      </c>
      <c r="X64" s="617" t="str">
        <f>IF($T64="카메라",VLOOKUP($F64,드롭다운!$A:$F,3,0),"")</f>
        <v>Radiometric</v>
      </c>
      <c r="Y64" s="617" t="str">
        <f>IF($T64="카메라",VLOOKUP($F64,드롭다운!$A:$F,4,0),"")</f>
        <v>Analogue</v>
      </c>
      <c r="Z64" s="617">
        <f>IF($T64="카메라",VLOOKUP($F64,드롭다운!$A:$F,5,0),"")</f>
        <v>17</v>
      </c>
      <c r="AA64" s="617"/>
    </row>
    <row r="65" spans="1:27">
      <c r="A65" s="135">
        <v>45462</v>
      </c>
      <c r="B65" s="491">
        <v>7</v>
      </c>
      <c r="C65" s="100" t="s">
        <v>8362</v>
      </c>
      <c r="D65" s="138" t="s">
        <v>235</v>
      </c>
      <c r="E65" s="138" t="s">
        <v>7575</v>
      </c>
      <c r="F65" s="138" t="s">
        <v>193</v>
      </c>
      <c r="G65" s="138" t="s">
        <v>7551</v>
      </c>
      <c r="H65" s="138">
        <v>1</v>
      </c>
      <c r="I65" s="457"/>
      <c r="J65" s="457">
        <f t="shared" si="0"/>
        <v>0</v>
      </c>
      <c r="K65" s="457">
        <f>tbl_국내[[#This Row],[금액]]*1.1</f>
        <v>0</v>
      </c>
      <c r="L65" s="458">
        <v>45461</v>
      </c>
      <c r="M65" s="141">
        <v>45461</v>
      </c>
      <c r="N65" s="457">
        <v>4364800</v>
      </c>
      <c r="O65" s="141">
        <v>45471</v>
      </c>
      <c r="P65" s="141">
        <v>45462</v>
      </c>
      <c r="Q65" s="616"/>
      <c r="R65" s="616">
        <f>YEAR(tbl_국내[[#This Row],[계산서
발행일/구매확정일]])</f>
        <v>2024</v>
      </c>
      <c r="S65" s="617">
        <f>IF(국내!$P65="",0,MONTH(국내!$P65))</f>
        <v>6</v>
      </c>
      <c r="T65" s="617" t="str">
        <f>IFERROR(VLOOKUP($F65,product[],6,0),"error")</f>
        <v>error</v>
      </c>
      <c r="U65" s="138"/>
      <c r="V65" s="138"/>
      <c r="W65" s="617" t="str">
        <f>IF($T65="카메라",VLOOKUP($F65,드롭다운!$A:$F,2,0),"")</f>
        <v/>
      </c>
      <c r="X65" s="617" t="str">
        <f>IF($T65="카메라",VLOOKUP($F65,드롭다운!$A:$F,3,0),"")</f>
        <v/>
      </c>
      <c r="Y65" s="617" t="str">
        <f>IF($T65="카메라",VLOOKUP($F65,드롭다운!$A:$F,4,0),"")</f>
        <v/>
      </c>
      <c r="Z65" s="617" t="str">
        <f>IF($T65="카메라",VLOOKUP($F65,드롭다운!$A:$F,5,0),"")</f>
        <v/>
      </c>
      <c r="AA65" s="617"/>
    </row>
    <row r="66" spans="1:27">
      <c r="A66" s="135">
        <v>45462</v>
      </c>
      <c r="B66" s="491">
        <v>7</v>
      </c>
      <c r="C66" s="100" t="s">
        <v>8362</v>
      </c>
      <c r="D66" s="138" t="s">
        <v>235</v>
      </c>
      <c r="E66" s="138" t="s">
        <v>7574</v>
      </c>
      <c r="F66" s="138" t="s">
        <v>144</v>
      </c>
      <c r="G66" s="138" t="s">
        <v>7551</v>
      </c>
      <c r="H66" s="138">
        <v>1</v>
      </c>
      <c r="I66" s="457"/>
      <c r="J66" s="457">
        <f t="shared" ref="J66:J129" si="1">H66*I66</f>
        <v>0</v>
      </c>
      <c r="K66" s="457">
        <f>tbl_국내[[#This Row],[금액]]*1.1</f>
        <v>0</v>
      </c>
      <c r="L66" s="458">
        <v>45461</v>
      </c>
      <c r="M66" s="141">
        <v>45461</v>
      </c>
      <c r="N66" s="457">
        <v>0</v>
      </c>
      <c r="O66" s="141">
        <v>45471</v>
      </c>
      <c r="P66" s="141">
        <v>45462</v>
      </c>
      <c r="Q66" s="616"/>
      <c r="R66" s="616">
        <f>YEAR(tbl_국내[[#This Row],[계산서
발행일/구매확정일]])</f>
        <v>2024</v>
      </c>
      <c r="S66" s="617">
        <f>IF(국내!$P66="",0,MONTH(국내!$P66))</f>
        <v>6</v>
      </c>
      <c r="T66" s="617" t="str">
        <f>IFERROR(VLOOKUP($F66,product[],6,0),"error")</f>
        <v>error</v>
      </c>
      <c r="U66" s="138"/>
      <c r="V66" s="138"/>
      <c r="W66" s="617" t="str">
        <f>IF($T66="카메라",VLOOKUP($F66,드롭다운!$A:$F,2,0),"")</f>
        <v/>
      </c>
      <c r="X66" s="617" t="str">
        <f>IF($T66="카메라",VLOOKUP($F66,드롭다운!$A:$F,3,0),"")</f>
        <v/>
      </c>
      <c r="Y66" s="617" t="str">
        <f>IF($T66="카메라",VLOOKUP($F66,드롭다운!$A:$F,4,0),"")</f>
        <v/>
      </c>
      <c r="Z66" s="617" t="str">
        <f>IF($T66="카메라",VLOOKUP($F66,드롭다운!$A:$F,5,0),"")</f>
        <v/>
      </c>
      <c r="AA66" s="617"/>
    </row>
    <row r="67" spans="1:27">
      <c r="A67" s="135">
        <v>45462</v>
      </c>
      <c r="B67" s="491">
        <v>7</v>
      </c>
      <c r="C67" s="100" t="s">
        <v>8362</v>
      </c>
      <c r="D67" s="138" t="s">
        <v>235</v>
      </c>
      <c r="E67" s="138" t="s">
        <v>7572</v>
      </c>
      <c r="F67" s="138" t="s">
        <v>103</v>
      </c>
      <c r="G67" s="138" t="s">
        <v>7544</v>
      </c>
      <c r="H67" s="138">
        <v>1</v>
      </c>
      <c r="I67" s="457">
        <v>3968000</v>
      </c>
      <c r="J67" s="457">
        <f t="shared" si="1"/>
        <v>3968000</v>
      </c>
      <c r="K67" s="457">
        <f>tbl_국내[[#This Row],[금액]]*1.1</f>
        <v>4364800</v>
      </c>
      <c r="L67" s="458">
        <v>45461</v>
      </c>
      <c r="M67" s="141">
        <v>45461</v>
      </c>
      <c r="N67" s="457">
        <v>0</v>
      </c>
      <c r="O67" s="141">
        <v>45471</v>
      </c>
      <c r="P67" s="141">
        <v>45462</v>
      </c>
      <c r="Q67" s="616"/>
      <c r="R67" s="616">
        <f>YEAR(tbl_국내[[#This Row],[계산서
발행일/구매확정일]])</f>
        <v>2024</v>
      </c>
      <c r="S67" s="617">
        <f>IF(국내!$P67="",0,MONTH(국내!$P67))</f>
        <v>6</v>
      </c>
      <c r="T67" s="617" t="str">
        <f>IFERROR(VLOOKUP($F67,product[],6,0),"error")</f>
        <v>카메라</v>
      </c>
      <c r="U67" s="138"/>
      <c r="V67" s="138"/>
      <c r="W67" s="617" t="str">
        <f>IF($T67="카메라",VLOOKUP($F67,드롭다운!$A:$F,2,0),"")</f>
        <v>VGA</v>
      </c>
      <c r="X67" s="617" t="str">
        <f>IF($T67="카메라",VLOOKUP($F67,드롭다운!$A:$F,3,0),"")</f>
        <v>Radiometric</v>
      </c>
      <c r="Y67" s="617" t="str">
        <f>IF($T67="카메라",VLOOKUP($F67,드롭다운!$A:$F,4,0),"")</f>
        <v>Network</v>
      </c>
      <c r="Z67" s="617">
        <f>IF($T67="카메라",VLOOKUP($F67,드롭다운!$A:$F,5,0),"")</f>
        <v>17</v>
      </c>
      <c r="AA67" s="617"/>
    </row>
    <row r="68" spans="1:27">
      <c r="A68" s="135">
        <v>45467</v>
      </c>
      <c r="B68" s="491">
        <v>8</v>
      </c>
      <c r="C68" s="100" t="s">
        <v>8363</v>
      </c>
      <c r="D68" s="138" t="s">
        <v>238</v>
      </c>
      <c r="E68" s="138" t="s">
        <v>7572</v>
      </c>
      <c r="F68" s="138" t="s">
        <v>116</v>
      </c>
      <c r="G68" s="138" t="s">
        <v>7546</v>
      </c>
      <c r="H68" s="138">
        <v>2</v>
      </c>
      <c r="I68" s="457">
        <v>2780000</v>
      </c>
      <c r="J68" s="457">
        <f t="shared" si="1"/>
        <v>5560000</v>
      </c>
      <c r="K68" s="457">
        <f>tbl_국내[[#This Row],[금액]]*1.1</f>
        <v>6116000.0000000009</v>
      </c>
      <c r="L68" s="458">
        <v>45466</v>
      </c>
      <c r="M68" s="141">
        <v>45466</v>
      </c>
      <c r="N68" s="457">
        <v>6116000</v>
      </c>
      <c r="O68" s="141">
        <v>45468</v>
      </c>
      <c r="P68" s="141">
        <v>45467</v>
      </c>
      <c r="Q68" s="616"/>
      <c r="R68" s="616">
        <f>YEAR(tbl_국내[[#This Row],[계산서
발행일/구매확정일]])</f>
        <v>2024</v>
      </c>
      <c r="S68" s="617">
        <f>IF(국내!$P68="",0,MONTH(국내!$P68))</f>
        <v>6</v>
      </c>
      <c r="T68" s="617" t="str">
        <f>IFERROR(VLOOKUP($F68,product[],6,0),"error")</f>
        <v>카메라</v>
      </c>
      <c r="U68" s="138"/>
      <c r="V68" s="138"/>
      <c r="W68" s="617" t="str">
        <f>IF($T68="카메라",VLOOKUP($F68,드롭다운!$A:$F,2,0),"")</f>
        <v>QVGA</v>
      </c>
      <c r="X68" s="617" t="str">
        <f>IF($T68="카메라",VLOOKUP($F68,드롭다운!$A:$F,3,0),"")</f>
        <v>Radiometric</v>
      </c>
      <c r="Y68" s="617" t="str">
        <f>IF($T68="카메라",VLOOKUP($F68,드롭다운!$A:$F,4,0),"")</f>
        <v>Network</v>
      </c>
      <c r="Z68" s="617">
        <f>IF($T68="카메라",VLOOKUP($F68,드롭다운!$A:$F,5,0),"")</f>
        <v>17</v>
      </c>
      <c r="AA68" s="617"/>
    </row>
    <row r="69" spans="1:27">
      <c r="A69" s="135">
        <v>45467</v>
      </c>
      <c r="B69" s="491">
        <v>9</v>
      </c>
      <c r="C69" s="100" t="s">
        <v>8364</v>
      </c>
      <c r="D69" s="138" t="s">
        <v>236</v>
      </c>
      <c r="E69" s="138" t="s">
        <v>7571</v>
      </c>
      <c r="F69" s="138" t="s">
        <v>237</v>
      </c>
      <c r="G69" s="138" t="s">
        <v>7551</v>
      </c>
      <c r="H69" s="138">
        <v>3</v>
      </c>
      <c r="I69" s="457">
        <v>555640</v>
      </c>
      <c r="J69" s="457">
        <f t="shared" si="1"/>
        <v>1666920</v>
      </c>
      <c r="K69" s="457">
        <f>tbl_국내[[#This Row],[금액]]*1.1</f>
        <v>1833612.0000000002</v>
      </c>
      <c r="L69" s="458">
        <v>45466</v>
      </c>
      <c r="M69" s="141">
        <v>45466</v>
      </c>
      <c r="N69" s="457">
        <v>1833612</v>
      </c>
      <c r="O69" s="141">
        <v>45467</v>
      </c>
      <c r="P69" s="141">
        <v>45467</v>
      </c>
      <c r="Q69" s="616" t="s">
        <v>240</v>
      </c>
      <c r="R69" s="616">
        <f>YEAR(tbl_국내[[#This Row],[계산서
발행일/구매확정일]])</f>
        <v>2024</v>
      </c>
      <c r="S69" s="617">
        <f>IF(국내!$P69="",0,MONTH(국내!$P69))</f>
        <v>6</v>
      </c>
      <c r="T69" s="617" t="str">
        <f>IFERROR(VLOOKUP($F69,product[],6,0),"error")</f>
        <v>error</v>
      </c>
      <c r="U69" s="138"/>
      <c r="V69" s="138"/>
      <c r="W69" s="617" t="str">
        <f>IF($T69="카메라",VLOOKUP($F69,드롭다운!$A:$F,2,0),"")</f>
        <v/>
      </c>
      <c r="X69" s="617" t="str">
        <f>IF($T69="카메라",VLOOKUP($F69,드롭다운!$A:$F,3,0),"")</f>
        <v/>
      </c>
      <c r="Y69" s="617" t="str">
        <f>IF($T69="카메라",VLOOKUP($F69,드롭다운!$A:$F,4,0),"")</f>
        <v/>
      </c>
      <c r="Z69" s="617" t="str">
        <f>IF($T69="카메라",VLOOKUP($F69,드롭다운!$A:$F,5,0),"")</f>
        <v/>
      </c>
      <c r="AA69" s="617"/>
    </row>
    <row r="70" spans="1:27">
      <c r="A70" s="135">
        <v>45468</v>
      </c>
      <c r="B70" s="491">
        <v>10</v>
      </c>
      <c r="C70" s="100" t="s">
        <v>8365</v>
      </c>
      <c r="D70" s="138" t="s">
        <v>239</v>
      </c>
      <c r="E70" s="138" t="s">
        <v>7572</v>
      </c>
      <c r="F70" s="138" t="s">
        <v>103</v>
      </c>
      <c r="G70" s="138" t="s">
        <v>7526</v>
      </c>
      <c r="H70" s="138">
        <v>22</v>
      </c>
      <c r="I70" s="457">
        <v>4100000</v>
      </c>
      <c r="J70" s="457">
        <f t="shared" si="1"/>
        <v>90200000</v>
      </c>
      <c r="K70" s="457">
        <f>tbl_국내[[#This Row],[금액]]*1.1</f>
        <v>99220000.000000015</v>
      </c>
      <c r="L70" s="458">
        <v>45467</v>
      </c>
      <c r="M70" s="141">
        <v>45467</v>
      </c>
      <c r="N70" s="457">
        <f>50000000+25000000+24220000</f>
        <v>99220000</v>
      </c>
      <c r="O70" s="141" t="s">
        <v>8517</v>
      </c>
      <c r="P70" s="141">
        <v>45468</v>
      </c>
      <c r="Q70" s="616"/>
      <c r="R70" s="616">
        <f>YEAR(tbl_국내[[#This Row],[계산서
발행일/구매확정일]])</f>
        <v>2024</v>
      </c>
      <c r="S70" s="617">
        <f>IF(국내!$P70="",0,MONTH(국내!$P70))</f>
        <v>6</v>
      </c>
      <c r="T70" s="617" t="str">
        <f>IFERROR(VLOOKUP($F70,product[],6,0),"error")</f>
        <v>카메라</v>
      </c>
      <c r="U70" s="138"/>
      <c r="V70" s="138"/>
      <c r="W70" s="617" t="str">
        <f>IF($T70="카메라",VLOOKUP($F70,드롭다운!$A:$F,2,0),"")</f>
        <v>VGA</v>
      </c>
      <c r="X70" s="617" t="str">
        <f>IF($T70="카메라",VLOOKUP($F70,드롭다운!$A:$F,3,0),"")</f>
        <v>Radiometric</v>
      </c>
      <c r="Y70" s="617" t="str">
        <f>IF($T70="카메라",VLOOKUP($F70,드롭다운!$A:$F,4,0),"")</f>
        <v>Network</v>
      </c>
      <c r="Z70" s="617">
        <f>IF($T70="카메라",VLOOKUP($F70,드롭다운!$A:$F,5,0),"")</f>
        <v>17</v>
      </c>
      <c r="AA70" s="617"/>
    </row>
    <row r="71" spans="1:27">
      <c r="A71" s="135">
        <v>45474</v>
      </c>
      <c r="B71" s="491">
        <v>1</v>
      </c>
      <c r="C71" s="100" t="s">
        <v>8366</v>
      </c>
      <c r="D71" s="138" t="s">
        <v>245</v>
      </c>
      <c r="E71" s="138" t="s">
        <v>7576</v>
      </c>
      <c r="F71" s="138" t="s">
        <v>249</v>
      </c>
      <c r="G71" s="138" t="s">
        <v>7551</v>
      </c>
      <c r="H71" s="138">
        <v>1</v>
      </c>
      <c r="I71" s="457">
        <v>1772000</v>
      </c>
      <c r="J71" s="457">
        <f t="shared" si="1"/>
        <v>1772000</v>
      </c>
      <c r="K71" s="457">
        <f>tbl_국내[[#This Row],[금액]]*1.1</f>
        <v>1949200.0000000002</v>
      </c>
      <c r="L71" s="458">
        <v>45473</v>
      </c>
      <c r="M71" s="141">
        <v>45474</v>
      </c>
      <c r="N71" s="457">
        <v>1949200</v>
      </c>
      <c r="O71" s="141">
        <v>45492</v>
      </c>
      <c r="P71" s="141">
        <v>45474</v>
      </c>
      <c r="Q71" s="616"/>
      <c r="R71" s="616">
        <f>YEAR(tbl_국내[[#This Row],[계산서
발행일/구매확정일]])</f>
        <v>2024</v>
      </c>
      <c r="S71" s="617">
        <f>IF(국내!$P71="",0,MONTH(국내!$P71))</f>
        <v>7</v>
      </c>
      <c r="T71" s="617" t="str">
        <f>IFERROR(VLOOKUP($F71,product[],6,0),"error")</f>
        <v>error</v>
      </c>
      <c r="U71" s="138"/>
      <c r="V71" s="138"/>
      <c r="W71" s="617" t="str">
        <f>IF($T71="카메라",VLOOKUP($F71,드롭다운!$A:$F,2,0),"")</f>
        <v/>
      </c>
      <c r="X71" s="617" t="str">
        <f>IF($T71="카메라",VLOOKUP($F71,드롭다운!$A:$F,3,0),"")</f>
        <v/>
      </c>
      <c r="Y71" s="617" t="str">
        <f>IF($T71="카메라",VLOOKUP($F71,드롭다운!$A:$F,4,0),"")</f>
        <v/>
      </c>
      <c r="Z71" s="617" t="str">
        <f>IF($T71="카메라",VLOOKUP($F71,드롭다운!$A:$F,5,0),"")</f>
        <v/>
      </c>
      <c r="AA71" s="617"/>
    </row>
    <row r="72" spans="1:27">
      <c r="A72" s="679">
        <v>45481</v>
      </c>
      <c r="B72" s="680">
        <v>2</v>
      </c>
      <c r="C72" s="681" t="s">
        <v>8367</v>
      </c>
      <c r="D72" s="682" t="s">
        <v>246</v>
      </c>
      <c r="E72" s="682" t="s">
        <v>7570</v>
      </c>
      <c r="F72" s="682" t="s">
        <v>250</v>
      </c>
      <c r="G72" s="682" t="s">
        <v>7551</v>
      </c>
      <c r="H72" s="682">
        <v>1</v>
      </c>
      <c r="I72" s="683">
        <v>7205000</v>
      </c>
      <c r="J72" s="683">
        <f t="shared" si="1"/>
        <v>7205000</v>
      </c>
      <c r="K72" s="683">
        <f>tbl_국내[[#This Row],[금액]]*1.1</f>
        <v>7925500.0000000009</v>
      </c>
      <c r="L72" s="684">
        <v>45480</v>
      </c>
      <c r="M72" s="685">
        <v>45481</v>
      </c>
      <c r="N72" s="683">
        <v>720500</v>
      </c>
      <c r="O72" s="685">
        <v>45498</v>
      </c>
      <c r="P72" s="685">
        <v>45481</v>
      </c>
      <c r="Q72" s="686"/>
      <c r="R72" s="616">
        <f>YEAR(tbl_국내[[#This Row],[계산서
발행일/구매확정일]])</f>
        <v>2024</v>
      </c>
      <c r="S72" s="617">
        <f>IF(국내!$P72="",0,MONTH(국내!$P72))</f>
        <v>7</v>
      </c>
      <c r="T72" s="617" t="str">
        <f>IFERROR(VLOOKUP($F72,product[],6,0),"error")</f>
        <v>error</v>
      </c>
      <c r="U72" s="138"/>
      <c r="V72" s="138"/>
      <c r="W72" s="617" t="str">
        <f>IF($T72="카메라",VLOOKUP($F72,드롭다운!$A:$F,2,0),"")</f>
        <v/>
      </c>
      <c r="X72" s="617" t="str">
        <f>IF($T72="카메라",VLOOKUP($F72,드롭다운!$A:$F,3,0),"")</f>
        <v/>
      </c>
      <c r="Y72" s="617" t="str">
        <f>IF($T72="카메라",VLOOKUP($F72,드롭다운!$A:$F,4,0),"")</f>
        <v/>
      </c>
      <c r="Z72" s="617" t="str">
        <f>IF($T72="카메라",VLOOKUP($F72,드롭다운!$A:$F,5,0),"")</f>
        <v/>
      </c>
      <c r="AA72" s="632"/>
    </row>
    <row r="73" spans="1:27">
      <c r="A73" s="135">
        <v>45496</v>
      </c>
      <c r="B73" s="491">
        <v>3</v>
      </c>
      <c r="C73" s="100" t="s">
        <v>8368</v>
      </c>
      <c r="D73" s="138" t="s">
        <v>247</v>
      </c>
      <c r="E73" s="138" t="s">
        <v>7576</v>
      </c>
      <c r="F73" s="138" t="s">
        <v>108</v>
      </c>
      <c r="G73" s="138" t="s">
        <v>7551</v>
      </c>
      <c r="H73" s="138">
        <v>1</v>
      </c>
      <c r="I73" s="457">
        <v>100000</v>
      </c>
      <c r="J73" s="457">
        <f t="shared" si="1"/>
        <v>100000</v>
      </c>
      <c r="K73" s="457">
        <f>tbl_국내[[#This Row],[금액]]*1.1</f>
        <v>110000.00000000001</v>
      </c>
      <c r="L73" s="458">
        <v>45495</v>
      </c>
      <c r="M73" s="141">
        <v>45496</v>
      </c>
      <c r="N73" s="457">
        <v>110000</v>
      </c>
      <c r="O73" s="141">
        <v>45497</v>
      </c>
      <c r="P73" s="141">
        <v>45496</v>
      </c>
      <c r="Q73" s="616"/>
      <c r="R73" s="616">
        <f>YEAR(tbl_국내[[#This Row],[계산서
발행일/구매확정일]])</f>
        <v>2024</v>
      </c>
      <c r="S73" s="617">
        <f>IF(국내!$P73="",0,MONTH(국내!$P73))</f>
        <v>7</v>
      </c>
      <c r="T73" s="617" t="str">
        <f>IFERROR(VLOOKUP($F73,product[],6,0),"error")</f>
        <v>error</v>
      </c>
      <c r="U73" s="138"/>
      <c r="V73" s="138"/>
      <c r="W73" s="617" t="str">
        <f>IF($T73="카메라",VLOOKUP($F73,드롭다운!$A:$F,2,0),"")</f>
        <v/>
      </c>
      <c r="X73" s="617" t="str">
        <f>IF($T73="카메라",VLOOKUP($F73,드롭다운!$A:$F,3,0),"")</f>
        <v/>
      </c>
      <c r="Y73" s="617" t="str">
        <f>IF($T73="카메라",VLOOKUP($F73,드롭다운!$A:$F,4,0),"")</f>
        <v/>
      </c>
      <c r="Z73" s="617" t="str">
        <f>IF($T73="카메라",VLOOKUP($F73,드롭다운!$A:$F,5,0),"")</f>
        <v/>
      </c>
      <c r="AA73" s="617"/>
    </row>
    <row r="74" spans="1:27">
      <c r="A74" s="135">
        <v>45497</v>
      </c>
      <c r="B74" s="491">
        <v>4</v>
      </c>
      <c r="C74" s="100" t="s">
        <v>8369</v>
      </c>
      <c r="D74" s="138" t="s">
        <v>120</v>
      </c>
      <c r="E74" s="138" t="s">
        <v>7575</v>
      </c>
      <c r="F74" s="138" t="s">
        <v>8110</v>
      </c>
      <c r="G74" s="138" t="s">
        <v>7551</v>
      </c>
      <c r="H74" s="138">
        <v>1</v>
      </c>
      <c r="I74" s="457">
        <v>575000</v>
      </c>
      <c r="J74" s="457">
        <f t="shared" si="1"/>
        <v>575000</v>
      </c>
      <c r="K74" s="457">
        <f>tbl_국내[[#This Row],[금액]]*1.1</f>
        <v>632500</v>
      </c>
      <c r="L74" s="458">
        <v>45496</v>
      </c>
      <c r="M74" s="141">
        <v>45497</v>
      </c>
      <c r="N74" s="457">
        <v>632500</v>
      </c>
      <c r="O74" s="141">
        <v>45534</v>
      </c>
      <c r="P74" s="141">
        <v>45497</v>
      </c>
      <c r="Q74" s="616"/>
      <c r="R74" s="616">
        <f>YEAR(tbl_국내[[#This Row],[계산서
발행일/구매확정일]])</f>
        <v>2024</v>
      </c>
      <c r="S74" s="617">
        <f>IF(국내!$P74="",0,MONTH(국내!$P74))</f>
        <v>7</v>
      </c>
      <c r="T74" s="617" t="str">
        <f>IFERROR(VLOOKUP($F74,product[],6,0),"error")</f>
        <v>error</v>
      </c>
      <c r="U74" s="138"/>
      <c r="V74" s="138"/>
      <c r="W74" s="617" t="str">
        <f>IF($T74="카메라",VLOOKUP($F74,드롭다운!$A:$F,2,0),"")</f>
        <v/>
      </c>
      <c r="X74" s="617" t="str">
        <f>IF($T74="카메라",VLOOKUP($F74,드롭다운!$A:$F,3,0),"")</f>
        <v/>
      </c>
      <c r="Y74" s="617" t="str">
        <f>IF($T74="카메라",VLOOKUP($F74,드롭다운!$A:$F,4,0),"")</f>
        <v/>
      </c>
      <c r="Z74" s="617" t="str">
        <f>IF($T74="카메라",VLOOKUP($F74,드롭다운!$A:$F,5,0),"")</f>
        <v/>
      </c>
      <c r="AA74" s="617"/>
    </row>
    <row r="75" spans="1:27">
      <c r="A75" s="135">
        <v>45497</v>
      </c>
      <c r="B75" s="491">
        <v>5</v>
      </c>
      <c r="C75" s="100" t="s">
        <v>8370</v>
      </c>
      <c r="D75" s="138" t="s">
        <v>248</v>
      </c>
      <c r="E75" s="138" t="s">
        <v>7572</v>
      </c>
      <c r="F75" s="138" t="s">
        <v>251</v>
      </c>
      <c r="G75" s="138" t="s">
        <v>7551</v>
      </c>
      <c r="H75" s="138">
        <v>28</v>
      </c>
      <c r="I75" s="457">
        <v>4390000</v>
      </c>
      <c r="J75" s="457">
        <f t="shared" si="1"/>
        <v>122920000</v>
      </c>
      <c r="K75" s="457">
        <f>tbl_국내[[#This Row],[금액]]*1.1</f>
        <v>135212000</v>
      </c>
      <c r="L75" s="458">
        <v>45496</v>
      </c>
      <c r="M75" s="141">
        <v>45497</v>
      </c>
      <c r="N75" s="457">
        <v>135212000</v>
      </c>
      <c r="O75" s="141">
        <v>45503</v>
      </c>
      <c r="P75" s="141">
        <v>45497</v>
      </c>
      <c r="Q75" s="616"/>
      <c r="R75" s="616">
        <f>YEAR(tbl_국내[[#This Row],[계산서
발행일/구매확정일]])</f>
        <v>2024</v>
      </c>
      <c r="S75" s="617">
        <f>IF(국내!$P75="",0,MONTH(국내!$P75))</f>
        <v>7</v>
      </c>
      <c r="T75" s="617" t="str">
        <f>IFERROR(VLOOKUP($F75,product[],6,0),"error")</f>
        <v>카메라</v>
      </c>
      <c r="U75" s="138"/>
      <c r="V75" s="138"/>
      <c r="W75" s="617" t="str">
        <f>IF($T75="카메라",VLOOKUP($F75,드롭다운!$A:$F,2,0),"")</f>
        <v>VGA</v>
      </c>
      <c r="X75" s="617" t="str">
        <f>IF($T75="카메라",VLOOKUP($F75,드롭다운!$A:$F,3,0),"")</f>
        <v>Radiometric</v>
      </c>
      <c r="Y75" s="617" t="str">
        <f>IF($T75="카메라",VLOOKUP($F75,드롭다운!$A:$F,4,0),"")</f>
        <v>Network</v>
      </c>
      <c r="Z75" s="617">
        <f>IF($T75="카메라",VLOOKUP($F75,드롭다운!$A:$F,5,0),"")</f>
        <v>17</v>
      </c>
      <c r="AA75" s="617"/>
    </row>
    <row r="76" spans="1:27">
      <c r="A76" s="135">
        <v>45498</v>
      </c>
      <c r="B76" s="491">
        <v>6</v>
      </c>
      <c r="C76" s="100" t="s">
        <v>8371</v>
      </c>
      <c r="D76" s="138" t="s">
        <v>127</v>
      </c>
      <c r="E76" s="138" t="s">
        <v>7572</v>
      </c>
      <c r="F76" s="138" t="s">
        <v>252</v>
      </c>
      <c r="G76" s="138" t="s">
        <v>7549</v>
      </c>
      <c r="H76" s="138">
        <v>1</v>
      </c>
      <c r="I76" s="457">
        <v>2416000</v>
      </c>
      <c r="J76" s="457">
        <f t="shared" si="1"/>
        <v>2416000</v>
      </c>
      <c r="K76" s="457">
        <f>tbl_국내[[#This Row],[금액]]*1.1</f>
        <v>2657600</v>
      </c>
      <c r="L76" s="458">
        <v>45497</v>
      </c>
      <c r="M76" s="141">
        <v>45498</v>
      </c>
      <c r="N76" s="457">
        <v>2657600</v>
      </c>
      <c r="O76" s="141">
        <v>45504</v>
      </c>
      <c r="P76" s="141">
        <v>45498</v>
      </c>
      <c r="Q76" s="616"/>
      <c r="R76" s="616">
        <f>YEAR(tbl_국내[[#This Row],[계산서
발행일/구매확정일]])</f>
        <v>2024</v>
      </c>
      <c r="S76" s="617">
        <f>IF(국내!$P76="",0,MONTH(국내!$P76))</f>
        <v>7</v>
      </c>
      <c r="T76" s="617" t="str">
        <f>IFERROR(VLOOKUP($F76,product[],6,0),"error")</f>
        <v>카메라</v>
      </c>
      <c r="U76" s="138"/>
      <c r="V76" s="138"/>
      <c r="W76" s="617" t="str">
        <f>IF($T76="카메라",VLOOKUP($F76,드롭다운!$A:$F,2,0),"")</f>
        <v>QVGA</v>
      </c>
      <c r="X76" s="617" t="str">
        <f>IF($T76="카메라",VLOOKUP($F76,드롭다운!$A:$F,3,0),"")</f>
        <v>Radiometric</v>
      </c>
      <c r="Y76" s="617" t="str">
        <f>IF($T76="카메라",VLOOKUP($F76,드롭다운!$A:$F,4,0),"")</f>
        <v>Analogue</v>
      </c>
      <c r="Z76" s="617">
        <f>IF($T76="카메라",VLOOKUP($F76,드롭다운!$A:$F,5,0),"")</f>
        <v>17</v>
      </c>
      <c r="AA76" s="617"/>
    </row>
    <row r="77" spans="1:27">
      <c r="A77" s="135">
        <v>45510</v>
      </c>
      <c r="B77" s="491">
        <v>1</v>
      </c>
      <c r="C77" s="100" t="s">
        <v>8372</v>
      </c>
      <c r="D77" s="138" t="s">
        <v>253</v>
      </c>
      <c r="E77" s="138" t="s">
        <v>7572</v>
      </c>
      <c r="F77" s="138" t="s">
        <v>272</v>
      </c>
      <c r="G77" s="138" t="s">
        <v>7551</v>
      </c>
      <c r="H77" s="138">
        <v>1</v>
      </c>
      <c r="I77" s="457">
        <v>1500000</v>
      </c>
      <c r="J77" s="457">
        <f t="shared" si="1"/>
        <v>1500000</v>
      </c>
      <c r="K77" s="457">
        <f>tbl_국내[[#This Row],[금액]]*1.1</f>
        <v>1650000.0000000002</v>
      </c>
      <c r="L77" s="458">
        <v>45509</v>
      </c>
      <c r="M77" s="141">
        <v>45510</v>
      </c>
      <c r="N77" s="457">
        <v>3735600</v>
      </c>
      <c r="O77" s="141">
        <v>45511</v>
      </c>
      <c r="P77" s="141">
        <v>45510</v>
      </c>
      <c r="Q77" s="616" t="s">
        <v>283</v>
      </c>
      <c r="R77" s="616">
        <f>YEAR(tbl_국내[[#This Row],[계산서
발행일/구매확정일]])</f>
        <v>2024</v>
      </c>
      <c r="S77" s="617">
        <f>IF(국내!$P77="",0,MONTH(국내!$P77))</f>
        <v>8</v>
      </c>
      <c r="T77" s="617" t="str">
        <f>IFERROR(VLOOKUP($F77,product[],6,0),"error")</f>
        <v>카메라</v>
      </c>
      <c r="U77" s="138"/>
      <c r="V77" s="138"/>
      <c r="W77" s="617" t="str">
        <f>IF($T77="카메라",VLOOKUP($F77,드롭다운!$A:$F,2,0),"")</f>
        <v>QVGA</v>
      </c>
      <c r="X77" s="617" t="str">
        <f>IF($T77="카메라",VLOOKUP($F77,드롭다운!$A:$F,3,0),"")</f>
        <v>Fever screening</v>
      </c>
      <c r="Y77" s="617" t="str">
        <f>IF($T77="카메라",VLOOKUP($F77,드롭다운!$A:$F,4,0),"")</f>
        <v>Analogue</v>
      </c>
      <c r="Z77" s="617">
        <f>IF($T77="카메라",VLOOKUP($F77,드롭다운!$A:$F,5,0),"")</f>
        <v>17</v>
      </c>
      <c r="AA77" s="617"/>
    </row>
    <row r="78" spans="1:27">
      <c r="A78" s="135">
        <v>45510</v>
      </c>
      <c r="B78" s="491">
        <v>1</v>
      </c>
      <c r="C78" s="100" t="s">
        <v>8372</v>
      </c>
      <c r="D78" s="138" t="s">
        <v>253</v>
      </c>
      <c r="E78" s="138" t="s">
        <v>7572</v>
      </c>
      <c r="F78" s="138" t="s">
        <v>272</v>
      </c>
      <c r="G78" s="138" t="s">
        <v>7551</v>
      </c>
      <c r="H78" s="138">
        <v>2</v>
      </c>
      <c r="I78" s="457">
        <v>1500000</v>
      </c>
      <c r="J78" s="457">
        <f t="shared" si="1"/>
        <v>3000000</v>
      </c>
      <c r="K78" s="457">
        <f>tbl_국내[[#This Row],[금액]]*1.1</f>
        <v>3300000.0000000005</v>
      </c>
      <c r="L78" s="458">
        <v>45509</v>
      </c>
      <c r="M78" s="141">
        <v>45510</v>
      </c>
      <c r="N78" s="457">
        <v>0</v>
      </c>
      <c r="O78" s="141">
        <v>45511</v>
      </c>
      <c r="P78" s="141">
        <v>45510</v>
      </c>
      <c r="Q78" s="616"/>
      <c r="R78" s="616">
        <f>YEAR(tbl_국내[[#This Row],[계산서
발행일/구매확정일]])</f>
        <v>2024</v>
      </c>
      <c r="S78" s="617">
        <f>IF(국내!$P78="",0,MONTH(국내!$P78))</f>
        <v>8</v>
      </c>
      <c r="T78" s="617" t="str">
        <f>IFERROR(VLOOKUP($F78,product[],6,0),"error")</f>
        <v>카메라</v>
      </c>
      <c r="U78" s="138"/>
      <c r="V78" s="138"/>
      <c r="W78" s="617" t="str">
        <f>IF($T78="카메라",VLOOKUP($F78,드롭다운!$A:$F,2,0),"")</f>
        <v>QVGA</v>
      </c>
      <c r="X78" s="617" t="str">
        <f>IF($T78="카메라",VLOOKUP($F78,드롭다운!$A:$F,3,0),"")</f>
        <v>Fever screening</v>
      </c>
      <c r="Y78" s="617" t="str">
        <f>IF($T78="카메라",VLOOKUP($F78,드롭다운!$A:$F,4,0),"")</f>
        <v>Analogue</v>
      </c>
      <c r="Z78" s="617">
        <f>IF($T78="카메라",VLOOKUP($F78,드롭다운!$A:$F,5,0),"")</f>
        <v>17</v>
      </c>
      <c r="AA78" s="617"/>
    </row>
    <row r="79" spans="1:27">
      <c r="A79" s="135">
        <v>45510</v>
      </c>
      <c r="B79" s="491">
        <v>1</v>
      </c>
      <c r="C79" s="100" t="s">
        <v>8372</v>
      </c>
      <c r="D79" s="138" t="s">
        <v>253</v>
      </c>
      <c r="E79" s="138" t="s">
        <v>7570</v>
      </c>
      <c r="F79" s="138" t="s">
        <v>274</v>
      </c>
      <c r="G79" s="138" t="s">
        <v>7551</v>
      </c>
      <c r="H79" s="138">
        <v>1</v>
      </c>
      <c r="I79" s="457">
        <v>5292000</v>
      </c>
      <c r="J79" s="457">
        <f t="shared" si="1"/>
        <v>5292000</v>
      </c>
      <c r="K79" s="457">
        <f>tbl_국내[[#This Row],[금액]]*1.1</f>
        <v>5821200.0000000009</v>
      </c>
      <c r="L79" s="458">
        <v>45509</v>
      </c>
      <c r="M79" s="141">
        <v>45510</v>
      </c>
      <c r="N79" s="457">
        <v>0</v>
      </c>
      <c r="O79" s="141">
        <v>45511</v>
      </c>
      <c r="P79" s="141">
        <v>45510</v>
      </c>
      <c r="Q79" s="616"/>
      <c r="R79" s="616">
        <f>YEAR(tbl_국내[[#This Row],[계산서
발행일/구매확정일]])</f>
        <v>2024</v>
      </c>
      <c r="S79" s="617">
        <f>IF(국내!$P79="",0,MONTH(국내!$P79))</f>
        <v>8</v>
      </c>
      <c r="T79" s="617" t="str">
        <f>IFERROR(VLOOKUP($F79,product[],6,0),"error")</f>
        <v>error</v>
      </c>
      <c r="U79" s="138"/>
      <c r="V79" s="138"/>
      <c r="W79" s="617" t="str">
        <f>IF($T79="카메라",VLOOKUP($F79,드롭다운!$A:$F,2,0),"")</f>
        <v/>
      </c>
      <c r="X79" s="617" t="str">
        <f>IF($T79="카메라",VLOOKUP($F79,드롭다운!$A:$F,3,0),"")</f>
        <v/>
      </c>
      <c r="Y79" s="617" t="str">
        <f>IF($T79="카메라",VLOOKUP($F79,드롭다운!$A:$F,4,0),"")</f>
        <v/>
      </c>
      <c r="Z79" s="617" t="str">
        <f>IF($T79="카메라",VLOOKUP($F79,드롭다운!$A:$F,5,0),"")</f>
        <v/>
      </c>
      <c r="AA79" s="617"/>
    </row>
    <row r="80" spans="1:27">
      <c r="A80" s="135">
        <v>45510</v>
      </c>
      <c r="B80" s="491">
        <v>1</v>
      </c>
      <c r="C80" s="100" t="s">
        <v>8372</v>
      </c>
      <c r="D80" s="138" t="s">
        <v>253</v>
      </c>
      <c r="E80" s="138" t="s">
        <v>7569</v>
      </c>
      <c r="F80" s="138" t="s">
        <v>270</v>
      </c>
      <c r="G80" s="138" t="s">
        <v>7551</v>
      </c>
      <c r="H80" s="138">
        <v>1</v>
      </c>
      <c r="I80" s="457">
        <v>300000</v>
      </c>
      <c r="J80" s="457">
        <f t="shared" si="1"/>
        <v>300000</v>
      </c>
      <c r="K80" s="457">
        <f>tbl_국내[[#This Row],[금액]]*1.1</f>
        <v>330000</v>
      </c>
      <c r="L80" s="458">
        <v>45509</v>
      </c>
      <c r="M80" s="141">
        <v>45510</v>
      </c>
      <c r="N80" s="457">
        <v>4950000</v>
      </c>
      <c r="O80" s="141">
        <v>45511</v>
      </c>
      <c r="P80" s="141">
        <v>45510</v>
      </c>
      <c r="Q80" s="616"/>
      <c r="R80" s="616">
        <f>YEAR(tbl_국내[[#This Row],[계산서
발행일/구매확정일]])</f>
        <v>2024</v>
      </c>
      <c r="S80" s="617">
        <f>IF(국내!$P80="",0,MONTH(국내!$P80))</f>
        <v>8</v>
      </c>
      <c r="T80" s="617" t="str">
        <f>IFERROR(VLOOKUP($F80,product[],6,0),"error")</f>
        <v>error</v>
      </c>
      <c r="U80" s="138"/>
      <c r="V80" s="138"/>
      <c r="W80" s="617" t="str">
        <f>IF($T80="카메라",VLOOKUP($F80,드롭다운!$A:$F,2,0),"")</f>
        <v/>
      </c>
      <c r="X80" s="617" t="str">
        <f>IF($T80="카메라",VLOOKUP($F80,드롭다운!$A:$F,3,0),"")</f>
        <v/>
      </c>
      <c r="Y80" s="617" t="str">
        <f>IF($T80="카메라",VLOOKUP($F80,드롭다운!$A:$F,4,0),"")</f>
        <v/>
      </c>
      <c r="Z80" s="617" t="str">
        <f>IF($T80="카메라",VLOOKUP($F80,드롭다운!$A:$F,5,0),"")</f>
        <v/>
      </c>
      <c r="AA80" s="617"/>
    </row>
    <row r="81" spans="1:27">
      <c r="A81" s="135">
        <v>45510</v>
      </c>
      <c r="B81" s="491">
        <v>1</v>
      </c>
      <c r="C81" s="100" t="s">
        <v>8372</v>
      </c>
      <c r="D81" s="138" t="s">
        <v>253</v>
      </c>
      <c r="E81" s="138" t="s">
        <v>7569</v>
      </c>
      <c r="F81" s="138" t="s">
        <v>271</v>
      </c>
      <c r="G81" s="138" t="s">
        <v>7551</v>
      </c>
      <c r="H81" s="138">
        <v>2</v>
      </c>
      <c r="I81" s="457">
        <v>300000</v>
      </c>
      <c r="J81" s="457">
        <f t="shared" si="1"/>
        <v>600000</v>
      </c>
      <c r="K81" s="457">
        <f>tbl_국내[[#This Row],[금액]]*1.1</f>
        <v>660000</v>
      </c>
      <c r="L81" s="458">
        <v>45509</v>
      </c>
      <c r="M81" s="141">
        <v>45510</v>
      </c>
      <c r="N81" s="457">
        <v>0</v>
      </c>
      <c r="O81" s="141">
        <v>45511</v>
      </c>
      <c r="P81" s="141">
        <v>45510</v>
      </c>
      <c r="Q81" s="616"/>
      <c r="R81" s="616">
        <f>YEAR(tbl_국내[[#This Row],[계산서
발행일/구매확정일]])</f>
        <v>2024</v>
      </c>
      <c r="S81" s="617">
        <f>IF(국내!$P81="",0,MONTH(국내!$P81))</f>
        <v>8</v>
      </c>
      <c r="T81" s="617" t="str">
        <f>IFERROR(VLOOKUP($F81,product[],6,0),"error")</f>
        <v>error</v>
      </c>
      <c r="U81" s="138"/>
      <c r="V81" s="138"/>
      <c r="W81" s="617" t="str">
        <f>IF($T81="카메라",VLOOKUP($F81,드롭다운!$A:$F,2,0),"")</f>
        <v/>
      </c>
      <c r="X81" s="617" t="str">
        <f>IF($T81="카메라",VLOOKUP($F81,드롭다운!$A:$F,3,0),"")</f>
        <v/>
      </c>
      <c r="Y81" s="617" t="str">
        <f>IF($T81="카메라",VLOOKUP($F81,드롭다운!$A:$F,4,0),"")</f>
        <v/>
      </c>
      <c r="Z81" s="617" t="str">
        <f>IF($T81="카메라",VLOOKUP($F81,드롭다운!$A:$F,5,0),"")</f>
        <v/>
      </c>
      <c r="AA81" s="617"/>
    </row>
    <row r="82" spans="1:27">
      <c r="A82" s="135">
        <v>45510</v>
      </c>
      <c r="B82" s="491">
        <v>1</v>
      </c>
      <c r="C82" s="100" t="s">
        <v>8372</v>
      </c>
      <c r="D82" s="138" t="s">
        <v>253</v>
      </c>
      <c r="E82" s="138" t="s">
        <v>7570</v>
      </c>
      <c r="F82" s="138" t="s">
        <v>273</v>
      </c>
      <c r="G82" s="138" t="s">
        <v>7551</v>
      </c>
      <c r="H82" s="138">
        <v>2</v>
      </c>
      <c r="I82" s="457">
        <v>300000</v>
      </c>
      <c r="J82" s="457">
        <f t="shared" si="1"/>
        <v>600000</v>
      </c>
      <c r="K82" s="457">
        <f>tbl_국내[[#This Row],[금액]]*1.1</f>
        <v>660000</v>
      </c>
      <c r="L82" s="458">
        <v>45509</v>
      </c>
      <c r="M82" s="141">
        <v>45510</v>
      </c>
      <c r="N82" s="457">
        <v>0</v>
      </c>
      <c r="O82" s="141">
        <v>45511</v>
      </c>
      <c r="P82" s="141">
        <v>45510</v>
      </c>
      <c r="Q82" s="616"/>
      <c r="R82" s="616">
        <f>YEAR(tbl_국내[[#This Row],[계산서
발행일/구매확정일]])</f>
        <v>2024</v>
      </c>
      <c r="S82" s="617">
        <f>IF(국내!$P82="",0,MONTH(국내!$P82))</f>
        <v>8</v>
      </c>
      <c r="T82" s="617" t="str">
        <f>IFERROR(VLOOKUP($F82,product[],6,0),"error")</f>
        <v>error</v>
      </c>
      <c r="U82" s="138"/>
      <c r="V82" s="138"/>
      <c r="W82" s="617" t="str">
        <f>IF($T82="카메라",VLOOKUP($F82,드롭다운!$A:$F,2,0),"")</f>
        <v/>
      </c>
      <c r="X82" s="617" t="str">
        <f>IF($T82="카메라",VLOOKUP($F82,드롭다운!$A:$F,3,0),"")</f>
        <v/>
      </c>
      <c r="Y82" s="617" t="str">
        <f>IF($T82="카메라",VLOOKUP($F82,드롭다운!$A:$F,4,0),"")</f>
        <v/>
      </c>
      <c r="Z82" s="617" t="str">
        <f>IF($T82="카메라",VLOOKUP($F82,드롭다운!$A:$F,5,0),"")</f>
        <v/>
      </c>
      <c r="AA82" s="617"/>
    </row>
    <row r="83" spans="1:27">
      <c r="A83" s="135">
        <v>45510</v>
      </c>
      <c r="B83" s="491">
        <v>2</v>
      </c>
      <c r="C83" s="100" t="s">
        <v>8373</v>
      </c>
      <c r="D83" s="138" t="s">
        <v>269</v>
      </c>
      <c r="E83" s="138" t="s">
        <v>7571</v>
      </c>
      <c r="F83" s="138" t="s">
        <v>279</v>
      </c>
      <c r="G83" s="138" t="s">
        <v>7551</v>
      </c>
      <c r="H83" s="138">
        <v>1</v>
      </c>
      <c r="I83" s="457">
        <v>3200000</v>
      </c>
      <c r="J83" s="457">
        <f t="shared" si="1"/>
        <v>3200000</v>
      </c>
      <c r="K83" s="457">
        <f>tbl_국내[[#This Row],[금액]]*1.1</f>
        <v>3520000.0000000005</v>
      </c>
      <c r="L83" s="458">
        <v>45509</v>
      </c>
      <c r="M83" s="141">
        <v>45510</v>
      </c>
      <c r="N83" s="457">
        <v>3520000</v>
      </c>
      <c r="O83" s="141">
        <v>45544</v>
      </c>
      <c r="P83" s="141">
        <v>45510</v>
      </c>
      <c r="Q83" s="616"/>
      <c r="R83" s="616">
        <f>YEAR(tbl_국내[[#This Row],[계산서
발행일/구매확정일]])</f>
        <v>2024</v>
      </c>
      <c r="S83" s="617">
        <f>IF(국내!$P83="",0,MONTH(국내!$P83))</f>
        <v>8</v>
      </c>
      <c r="T83" s="617" t="str">
        <f>IFERROR(VLOOKUP($F83,product[],6,0),"error")</f>
        <v>error</v>
      </c>
      <c r="U83" s="138"/>
      <c r="V83" s="138"/>
      <c r="W83" s="617" t="str">
        <f>IF($T83="카메라",VLOOKUP($F83,드롭다운!$A:$F,2,0),"")</f>
        <v/>
      </c>
      <c r="X83" s="617" t="str">
        <f>IF($T83="카메라",VLOOKUP($F83,드롭다운!$A:$F,3,0),"")</f>
        <v/>
      </c>
      <c r="Y83" s="617" t="str">
        <f>IF($T83="카메라",VLOOKUP($F83,드롭다운!$A:$F,4,0),"")</f>
        <v/>
      </c>
      <c r="Z83" s="617" t="str">
        <f>IF($T83="카메라",VLOOKUP($F83,드롭다운!$A:$F,5,0),"")</f>
        <v/>
      </c>
      <c r="AA83" s="617"/>
    </row>
    <row r="84" spans="1:27">
      <c r="A84" s="135">
        <v>45518</v>
      </c>
      <c r="B84" s="491">
        <v>3</v>
      </c>
      <c r="C84" s="100" t="s">
        <v>8374</v>
      </c>
      <c r="D84" s="138" t="s">
        <v>269</v>
      </c>
      <c r="E84" s="138" t="s">
        <v>7571</v>
      </c>
      <c r="F84" s="138" t="s">
        <v>280</v>
      </c>
      <c r="G84" s="138" t="s">
        <v>7551</v>
      </c>
      <c r="H84" s="138">
        <v>2</v>
      </c>
      <c r="I84" s="457">
        <v>2660000</v>
      </c>
      <c r="J84" s="457">
        <f t="shared" si="1"/>
        <v>5320000</v>
      </c>
      <c r="K84" s="457">
        <f>tbl_국내[[#This Row],[금액]]*1.1</f>
        <v>5852000.0000000009</v>
      </c>
      <c r="L84" s="458">
        <v>45517</v>
      </c>
      <c r="M84" s="141">
        <v>45518</v>
      </c>
      <c r="N84" s="457">
        <v>5852000</v>
      </c>
      <c r="O84" s="141">
        <v>45541</v>
      </c>
      <c r="P84" s="141">
        <v>45518</v>
      </c>
      <c r="Q84" s="616"/>
      <c r="R84" s="616">
        <f>YEAR(tbl_국내[[#This Row],[계산서
발행일/구매확정일]])</f>
        <v>2024</v>
      </c>
      <c r="S84" s="617">
        <f>IF(국내!$P84="",0,MONTH(국내!$P84))</f>
        <v>8</v>
      </c>
      <c r="T84" s="617" t="str">
        <f>IFERROR(VLOOKUP($F84,product[],6,0),"error")</f>
        <v>error</v>
      </c>
      <c r="U84" s="138"/>
      <c r="V84" s="138"/>
      <c r="W84" s="617" t="str">
        <f>IF($T84="카메라",VLOOKUP($F84,드롭다운!$A:$F,2,0),"")</f>
        <v/>
      </c>
      <c r="X84" s="617" t="str">
        <f>IF($T84="카메라",VLOOKUP($F84,드롭다운!$A:$F,3,0),"")</f>
        <v/>
      </c>
      <c r="Y84" s="617" t="str">
        <f>IF($T84="카메라",VLOOKUP($F84,드롭다운!$A:$F,4,0),"")</f>
        <v/>
      </c>
      <c r="Z84" s="617" t="str">
        <f>IF($T84="카메라",VLOOKUP($F84,드롭다운!$A:$F,5,0),"")</f>
        <v/>
      </c>
      <c r="AA84" s="617"/>
    </row>
    <row r="85" spans="1:27">
      <c r="A85" s="135">
        <v>45518</v>
      </c>
      <c r="B85" s="491">
        <v>4</v>
      </c>
      <c r="C85" s="100" t="s">
        <v>8375</v>
      </c>
      <c r="D85" s="138" t="s">
        <v>203</v>
      </c>
      <c r="E85" s="138" t="s">
        <v>7576</v>
      </c>
      <c r="F85" s="138" t="s">
        <v>275</v>
      </c>
      <c r="G85" s="138" t="s">
        <v>7551</v>
      </c>
      <c r="H85" s="138">
        <v>1</v>
      </c>
      <c r="I85" s="457">
        <v>250000</v>
      </c>
      <c r="J85" s="457">
        <f t="shared" si="1"/>
        <v>250000</v>
      </c>
      <c r="K85" s="457">
        <f>tbl_국내[[#This Row],[금액]]*1.1</f>
        <v>275000</v>
      </c>
      <c r="L85" s="458">
        <v>45517</v>
      </c>
      <c r="M85" s="141">
        <v>45518</v>
      </c>
      <c r="N85" s="457">
        <v>275000</v>
      </c>
      <c r="O85" s="141">
        <v>45518</v>
      </c>
      <c r="P85" s="141">
        <v>45518</v>
      </c>
      <c r="Q85" s="616"/>
      <c r="R85" s="616">
        <f>YEAR(tbl_국내[[#This Row],[계산서
발행일/구매확정일]])</f>
        <v>2024</v>
      </c>
      <c r="S85" s="617">
        <f>IF(국내!$P85="",0,MONTH(국내!$P85))</f>
        <v>8</v>
      </c>
      <c r="T85" s="617" t="str">
        <f>IFERROR(VLOOKUP($F85,product[],6,0),"error")</f>
        <v>error</v>
      </c>
      <c r="U85" s="138"/>
      <c r="V85" s="138"/>
      <c r="W85" s="617" t="str">
        <f>IF($T85="카메라",VLOOKUP($F85,드롭다운!$A:$F,2,0),"")</f>
        <v/>
      </c>
      <c r="X85" s="617" t="str">
        <f>IF($T85="카메라",VLOOKUP($F85,드롭다운!$A:$F,3,0),"")</f>
        <v/>
      </c>
      <c r="Y85" s="617" t="str">
        <f>IF($T85="카메라",VLOOKUP($F85,드롭다운!$A:$F,4,0),"")</f>
        <v/>
      </c>
      <c r="Z85" s="617" t="str">
        <f>IF($T85="카메라",VLOOKUP($F85,드롭다운!$A:$F,5,0),"")</f>
        <v/>
      </c>
      <c r="AA85" s="617"/>
    </row>
    <row r="86" spans="1:27">
      <c r="A86" s="135">
        <v>45523</v>
      </c>
      <c r="B86" s="491">
        <v>5</v>
      </c>
      <c r="C86" s="100" t="s">
        <v>8376</v>
      </c>
      <c r="D86" s="138" t="s">
        <v>245</v>
      </c>
      <c r="E86" s="138" t="s">
        <v>7570</v>
      </c>
      <c r="F86" s="138" t="s">
        <v>276</v>
      </c>
      <c r="G86" s="138" t="s">
        <v>7551</v>
      </c>
      <c r="H86" s="138">
        <v>4</v>
      </c>
      <c r="I86" s="457">
        <v>18500000</v>
      </c>
      <c r="J86" s="457">
        <f t="shared" si="1"/>
        <v>74000000</v>
      </c>
      <c r="K86" s="457">
        <f>tbl_국내[[#This Row],[금액]]*1.1</f>
        <v>81400000</v>
      </c>
      <c r="L86" s="458">
        <v>45522</v>
      </c>
      <c r="M86" s="141">
        <v>45523</v>
      </c>
      <c r="N86" s="457">
        <v>81400000</v>
      </c>
      <c r="O86" s="141">
        <v>45545</v>
      </c>
      <c r="P86" s="141">
        <v>45523</v>
      </c>
      <c r="Q86" s="616"/>
      <c r="R86" s="616">
        <f>YEAR(tbl_국내[[#This Row],[계산서
발행일/구매확정일]])</f>
        <v>2024</v>
      </c>
      <c r="S86" s="617">
        <f>IF(국내!$P86="",0,MONTH(국내!$P86))</f>
        <v>8</v>
      </c>
      <c r="T86" s="617" t="str">
        <f>IFERROR(VLOOKUP($F86,product[],6,0),"error")</f>
        <v>error</v>
      </c>
      <c r="U86" s="138"/>
      <c r="V86" s="138"/>
      <c r="W86" s="617" t="str">
        <f>IF($T86="카메라",VLOOKUP($F86,드롭다운!$A:$F,2,0),"")</f>
        <v/>
      </c>
      <c r="X86" s="617" t="str">
        <f>IF($T86="카메라",VLOOKUP($F86,드롭다운!$A:$F,3,0),"")</f>
        <v/>
      </c>
      <c r="Y86" s="617" t="str">
        <f>IF($T86="카메라",VLOOKUP($F86,드롭다운!$A:$F,4,0),"")</f>
        <v/>
      </c>
      <c r="Z86" s="617" t="str">
        <f>IF($T86="카메라",VLOOKUP($F86,드롭다운!$A:$F,5,0),"")</f>
        <v/>
      </c>
      <c r="AA86" s="617"/>
    </row>
    <row r="87" spans="1:27">
      <c r="A87" s="679">
        <v>45530</v>
      </c>
      <c r="B87" s="680">
        <v>6</v>
      </c>
      <c r="C87" s="681" t="s">
        <v>8377</v>
      </c>
      <c r="D87" s="682" t="s">
        <v>199</v>
      </c>
      <c r="E87" s="682" t="s">
        <v>7572</v>
      </c>
      <c r="F87" s="682" t="s">
        <v>278</v>
      </c>
      <c r="G87" s="682" t="s">
        <v>7543</v>
      </c>
      <c r="H87" s="682">
        <v>1</v>
      </c>
      <c r="I87" s="683">
        <v>3914000</v>
      </c>
      <c r="J87" s="683">
        <f t="shared" si="1"/>
        <v>3914000</v>
      </c>
      <c r="K87" s="683">
        <f>tbl_국내[[#This Row],[금액]]*1.1</f>
        <v>4305400</v>
      </c>
      <c r="L87" s="684">
        <v>45529</v>
      </c>
      <c r="M87" s="685">
        <v>45530</v>
      </c>
      <c r="N87" s="683">
        <v>4305400</v>
      </c>
      <c r="O87" s="685">
        <v>45588</v>
      </c>
      <c r="P87" s="685">
        <v>45530</v>
      </c>
      <c r="Q87" s="686"/>
      <c r="R87" s="616">
        <f>YEAR(tbl_국내[[#This Row],[계산서
발행일/구매확정일]])</f>
        <v>2024</v>
      </c>
      <c r="S87" s="617">
        <f>IF(국내!$P87="",0,MONTH(국내!$P87))</f>
        <v>8</v>
      </c>
      <c r="T87" s="617" t="str">
        <f>IFERROR(VLOOKUP($F87,product[],6,0),"error")</f>
        <v>카메라</v>
      </c>
      <c r="U87" s="138"/>
      <c r="V87" s="138"/>
      <c r="W87" s="617" t="str">
        <f>IF($T87="카메라",VLOOKUP($F87,드롭다운!$A:$F,2,0),"")</f>
        <v>VGA</v>
      </c>
      <c r="X87" s="617" t="str">
        <f>IF($T87="카메라",VLOOKUP($F87,드롭다운!$A:$F,3,0),"")</f>
        <v>Radiometric</v>
      </c>
      <c r="Y87" s="617" t="str">
        <f>IF($T87="카메라",VLOOKUP($F87,드롭다운!$A:$F,4,0),"")</f>
        <v>Network</v>
      </c>
      <c r="Z87" s="617">
        <f>IF($T87="카메라",VLOOKUP($F87,드롭다운!$A:$F,5,0),"")</f>
        <v>17</v>
      </c>
      <c r="AA87" s="632"/>
    </row>
    <row r="88" spans="1:27">
      <c r="A88" s="135">
        <v>45530</v>
      </c>
      <c r="B88" s="491">
        <v>7</v>
      </c>
      <c r="C88" s="100" t="s">
        <v>8378</v>
      </c>
      <c r="D88" s="138" t="s">
        <v>142</v>
      </c>
      <c r="E88" s="138" t="s">
        <v>7576</v>
      </c>
      <c r="F88" s="138" t="s">
        <v>275</v>
      </c>
      <c r="G88" s="138" t="s">
        <v>7551</v>
      </c>
      <c r="H88" s="138">
        <v>1</v>
      </c>
      <c r="I88" s="457">
        <v>250000</v>
      </c>
      <c r="J88" s="457">
        <f t="shared" si="1"/>
        <v>250000</v>
      </c>
      <c r="K88" s="457">
        <f>tbl_국내[[#This Row],[금액]]*1.1</f>
        <v>275000</v>
      </c>
      <c r="L88" s="458">
        <v>45529</v>
      </c>
      <c r="M88" s="141">
        <v>45530</v>
      </c>
      <c r="N88" s="457">
        <v>275000</v>
      </c>
      <c r="O88" s="141">
        <v>45541</v>
      </c>
      <c r="P88" s="141">
        <v>45530</v>
      </c>
      <c r="Q88" s="616"/>
      <c r="R88" s="616">
        <f>YEAR(tbl_국내[[#This Row],[계산서
발행일/구매확정일]])</f>
        <v>2024</v>
      </c>
      <c r="S88" s="617">
        <f>IF(국내!$P88="",0,MONTH(국내!$P88))</f>
        <v>8</v>
      </c>
      <c r="T88" s="617" t="str">
        <f>IFERROR(VLOOKUP($F88,product[],6,0),"error")</f>
        <v>error</v>
      </c>
      <c r="U88" s="138"/>
      <c r="V88" s="138"/>
      <c r="W88" s="617" t="str">
        <f>IF($T88="카메라",VLOOKUP($F88,드롭다운!$A:$F,2,0),"")</f>
        <v/>
      </c>
      <c r="X88" s="617" t="str">
        <f>IF($T88="카메라",VLOOKUP($F88,드롭다운!$A:$F,3,0),"")</f>
        <v/>
      </c>
      <c r="Y88" s="617" t="str">
        <f>IF($T88="카메라",VLOOKUP($F88,드롭다운!$A:$F,4,0),"")</f>
        <v/>
      </c>
      <c r="Z88" s="617" t="str">
        <f>IF($T88="카메라",VLOOKUP($F88,드롭다운!$A:$F,5,0),"")</f>
        <v/>
      </c>
      <c r="AA88" s="617"/>
    </row>
    <row r="89" spans="1:27">
      <c r="A89" s="135">
        <v>45530</v>
      </c>
      <c r="B89" s="491">
        <v>8</v>
      </c>
      <c r="C89" s="100" t="s">
        <v>8379</v>
      </c>
      <c r="D89" s="138" t="s">
        <v>127</v>
      </c>
      <c r="E89" s="138" t="s">
        <v>7572</v>
      </c>
      <c r="F89" s="138" t="s">
        <v>277</v>
      </c>
      <c r="G89" s="138" t="s">
        <v>7549</v>
      </c>
      <c r="H89" s="138">
        <v>1</v>
      </c>
      <c r="I89" s="457">
        <v>2416000</v>
      </c>
      <c r="J89" s="457">
        <f t="shared" si="1"/>
        <v>2416000</v>
      </c>
      <c r="K89" s="457">
        <f>tbl_국내[[#This Row],[금액]]*1.1</f>
        <v>2657600</v>
      </c>
      <c r="L89" s="458">
        <v>45529</v>
      </c>
      <c r="M89" s="141">
        <v>45530</v>
      </c>
      <c r="N89" s="457">
        <v>2657600</v>
      </c>
      <c r="O89" s="141">
        <v>45534</v>
      </c>
      <c r="P89" s="141">
        <v>45530</v>
      </c>
      <c r="Q89" s="616"/>
      <c r="R89" s="616">
        <f>YEAR(tbl_국내[[#This Row],[계산서
발행일/구매확정일]])</f>
        <v>2024</v>
      </c>
      <c r="S89" s="617">
        <f>IF(국내!$P89="",0,MONTH(국내!$P89))</f>
        <v>8</v>
      </c>
      <c r="T89" s="617" t="str">
        <f>IFERROR(VLOOKUP($F89,product[],6,0),"error")</f>
        <v>카메라</v>
      </c>
      <c r="U89" s="138"/>
      <c r="V89" s="138"/>
      <c r="W89" s="617" t="str">
        <f>IF($T89="카메라",VLOOKUP($F89,드롭다운!$A:$F,2,0),"")</f>
        <v>QVGA</v>
      </c>
      <c r="X89" s="617" t="str">
        <f>IF($T89="카메라",VLOOKUP($F89,드롭다운!$A:$F,3,0),"")</f>
        <v>Radiometric</v>
      </c>
      <c r="Y89" s="617" t="str">
        <f>IF($T89="카메라",VLOOKUP($F89,드롭다운!$A:$F,4,0),"")</f>
        <v>Analogue</v>
      </c>
      <c r="Z89" s="617">
        <f>IF($T89="카메라",VLOOKUP($F89,드롭다운!$A:$F,5,0),"")</f>
        <v>17</v>
      </c>
      <c r="AA89" s="617"/>
    </row>
    <row r="90" spans="1:27">
      <c r="A90" s="135">
        <v>45531</v>
      </c>
      <c r="B90" s="491">
        <v>9</v>
      </c>
      <c r="C90" s="100" t="s">
        <v>8380</v>
      </c>
      <c r="D90" s="138" t="s">
        <v>268</v>
      </c>
      <c r="E90" s="138" t="s">
        <v>7576</v>
      </c>
      <c r="F90" s="138" t="s">
        <v>275</v>
      </c>
      <c r="G90" s="138" t="s">
        <v>7551</v>
      </c>
      <c r="H90" s="138">
        <v>1</v>
      </c>
      <c r="I90" s="457">
        <v>100000</v>
      </c>
      <c r="J90" s="457">
        <f t="shared" si="1"/>
        <v>100000</v>
      </c>
      <c r="K90" s="457">
        <f>tbl_국내[[#This Row],[금액]]*1.1</f>
        <v>110000.00000000001</v>
      </c>
      <c r="L90" s="458">
        <v>45530</v>
      </c>
      <c r="M90" s="141">
        <v>45531</v>
      </c>
      <c r="N90" s="457">
        <v>110000</v>
      </c>
      <c r="O90" s="141">
        <v>45530</v>
      </c>
      <c r="P90" s="141">
        <v>45531</v>
      </c>
      <c r="Q90" s="616"/>
      <c r="R90" s="616">
        <f>YEAR(tbl_국내[[#This Row],[계산서
발행일/구매확정일]])</f>
        <v>2024</v>
      </c>
      <c r="S90" s="617">
        <f>IF(국내!$P90="",0,MONTH(국내!$P90))</f>
        <v>8</v>
      </c>
      <c r="T90" s="617" t="str">
        <f>IFERROR(VLOOKUP($F90,product[],6,0),"error")</f>
        <v>error</v>
      </c>
      <c r="U90" s="138"/>
      <c r="V90" s="138"/>
      <c r="W90" s="617" t="str">
        <f>IF($T90="카메라",VLOOKUP($F90,드롭다운!$A:$F,2,0),"")</f>
        <v/>
      </c>
      <c r="X90" s="617" t="str">
        <f>IF($T90="카메라",VLOOKUP($F90,드롭다운!$A:$F,3,0),"")</f>
        <v/>
      </c>
      <c r="Y90" s="617" t="str">
        <f>IF($T90="카메라",VLOOKUP($F90,드롭다운!$A:$F,4,0),"")</f>
        <v/>
      </c>
      <c r="Z90" s="617" t="str">
        <f>IF($T90="카메라",VLOOKUP($F90,드롭다운!$A:$F,5,0),"")</f>
        <v/>
      </c>
      <c r="AA90" s="617"/>
    </row>
    <row r="91" spans="1:27">
      <c r="A91" s="135">
        <v>45534</v>
      </c>
      <c r="B91" s="491">
        <v>10</v>
      </c>
      <c r="C91" s="100" t="s">
        <v>8381</v>
      </c>
      <c r="D91" s="138" t="s">
        <v>269</v>
      </c>
      <c r="E91" s="138" t="s">
        <v>7571</v>
      </c>
      <c r="F91" s="138" t="s">
        <v>280</v>
      </c>
      <c r="G91" s="138" t="s">
        <v>7551</v>
      </c>
      <c r="H91" s="138">
        <v>4</v>
      </c>
      <c r="I91" s="457">
        <v>2750000</v>
      </c>
      <c r="J91" s="457">
        <f t="shared" si="1"/>
        <v>11000000</v>
      </c>
      <c r="K91" s="457">
        <f>tbl_국내[[#This Row],[금액]]*1.1</f>
        <v>12100000.000000002</v>
      </c>
      <c r="L91" s="458">
        <v>45533</v>
      </c>
      <c r="M91" s="141">
        <v>45534</v>
      </c>
      <c r="N91" s="457">
        <v>12100000</v>
      </c>
      <c r="O91" s="141">
        <v>45541</v>
      </c>
      <c r="P91" s="141">
        <v>45534</v>
      </c>
      <c r="Q91" s="616"/>
      <c r="R91" s="616">
        <f>YEAR(tbl_국내[[#This Row],[계산서
발행일/구매확정일]])</f>
        <v>2024</v>
      </c>
      <c r="S91" s="617">
        <f>IF(국내!$P91="",0,MONTH(국내!$P91))</f>
        <v>8</v>
      </c>
      <c r="T91" s="617" t="str">
        <f>IFERROR(VLOOKUP($F91,product[],6,0),"error")</f>
        <v>error</v>
      </c>
      <c r="U91" s="138"/>
      <c r="V91" s="138"/>
      <c r="W91" s="617" t="str">
        <f>IF($T91="카메라",VLOOKUP($F91,드롭다운!$A:$F,2,0),"")</f>
        <v/>
      </c>
      <c r="X91" s="617" t="str">
        <f>IF($T91="카메라",VLOOKUP($F91,드롭다운!$A:$F,3,0),"")</f>
        <v/>
      </c>
      <c r="Y91" s="617" t="str">
        <f>IF($T91="카메라",VLOOKUP($F91,드롭다운!$A:$F,4,0),"")</f>
        <v/>
      </c>
      <c r="Z91" s="617" t="str">
        <f>IF($T91="카메라",VLOOKUP($F91,드롭다운!$A:$F,5,0),"")</f>
        <v/>
      </c>
      <c r="AA91" s="617"/>
    </row>
    <row r="92" spans="1:27">
      <c r="A92" s="135">
        <v>45534</v>
      </c>
      <c r="B92" s="491">
        <v>11</v>
      </c>
      <c r="C92" s="100" t="s">
        <v>8382</v>
      </c>
      <c r="D92" s="138" t="s">
        <v>128</v>
      </c>
      <c r="E92" s="138" t="s">
        <v>7576</v>
      </c>
      <c r="F92" s="138" t="s">
        <v>275</v>
      </c>
      <c r="G92" s="138" t="s">
        <v>7551</v>
      </c>
      <c r="H92" s="138">
        <v>1</v>
      </c>
      <c r="I92" s="457">
        <v>200000</v>
      </c>
      <c r="J92" s="457">
        <f t="shared" si="1"/>
        <v>200000</v>
      </c>
      <c r="K92" s="457">
        <f>tbl_국내[[#This Row],[금액]]*1.1</f>
        <v>220000.00000000003</v>
      </c>
      <c r="L92" s="458">
        <v>45533</v>
      </c>
      <c r="M92" s="141">
        <v>45534</v>
      </c>
      <c r="N92" s="457" t="s">
        <v>172</v>
      </c>
      <c r="O92" s="141" t="s">
        <v>172</v>
      </c>
      <c r="P92" s="141">
        <v>45534</v>
      </c>
      <c r="Q92" s="616"/>
      <c r="R92" s="616">
        <f>YEAR(tbl_국내[[#This Row],[계산서
발행일/구매확정일]])</f>
        <v>2024</v>
      </c>
      <c r="S92" s="617">
        <f>IF(국내!$P92="",0,MONTH(국내!$P92))</f>
        <v>8</v>
      </c>
      <c r="T92" s="617" t="str">
        <f>IFERROR(VLOOKUP($F92,product[],6,0),"error")</f>
        <v>error</v>
      </c>
      <c r="U92" s="138"/>
      <c r="V92" s="138"/>
      <c r="W92" s="617" t="str">
        <f>IF($T92="카메라",VLOOKUP($F92,드롭다운!$A:$F,2,0),"")</f>
        <v/>
      </c>
      <c r="X92" s="617" t="str">
        <f>IF($T92="카메라",VLOOKUP($F92,드롭다운!$A:$F,3,0),"")</f>
        <v/>
      </c>
      <c r="Y92" s="617" t="str">
        <f>IF($T92="카메라",VLOOKUP($F92,드롭다운!$A:$F,4,0),"")</f>
        <v/>
      </c>
      <c r="Z92" s="617" t="str">
        <f>IF($T92="카메라",VLOOKUP($F92,드롭다운!$A:$F,5,0),"")</f>
        <v/>
      </c>
      <c r="AA92" s="617"/>
    </row>
    <row r="93" spans="1:27">
      <c r="A93" s="135">
        <v>45540</v>
      </c>
      <c r="B93" s="491">
        <v>1</v>
      </c>
      <c r="C93" s="100" t="s">
        <v>8383</v>
      </c>
      <c r="D93" s="138" t="s">
        <v>266</v>
      </c>
      <c r="E93" s="138" t="s">
        <v>7572</v>
      </c>
      <c r="F93" s="138" t="s">
        <v>267</v>
      </c>
      <c r="G93" s="138" t="s">
        <v>7552</v>
      </c>
      <c r="H93" s="138">
        <v>1</v>
      </c>
      <c r="I93" s="457">
        <v>2000000</v>
      </c>
      <c r="J93" s="457">
        <f t="shared" si="1"/>
        <v>2000000</v>
      </c>
      <c r="K93" s="457">
        <f>tbl_국내[[#This Row],[금액]]*1.1</f>
        <v>2200000</v>
      </c>
      <c r="L93" s="458">
        <v>45539</v>
      </c>
      <c r="M93" s="141">
        <v>45540</v>
      </c>
      <c r="N93" s="457">
        <v>2200000</v>
      </c>
      <c r="O93" s="141">
        <v>45544</v>
      </c>
      <c r="P93" s="141">
        <v>45540</v>
      </c>
      <c r="Q93" s="616" t="s">
        <v>282</v>
      </c>
      <c r="R93" s="616">
        <f>YEAR(tbl_국내[[#This Row],[계산서
발행일/구매확정일]])</f>
        <v>2024</v>
      </c>
      <c r="S93" s="617">
        <f>IF(국내!$P93="",0,MONTH(국내!$P93))</f>
        <v>9</v>
      </c>
      <c r="T93" s="617" t="str">
        <f>IFERROR(VLOOKUP($F93,product[],6,0),"error")</f>
        <v>카메라</v>
      </c>
      <c r="U93" s="138"/>
      <c r="V93" s="138"/>
      <c r="W93" s="617" t="str">
        <f>IF($T93="카메라",VLOOKUP($F93,드롭다운!$A:$F,2,0),"")</f>
        <v>QVGA</v>
      </c>
      <c r="X93" s="617" t="str">
        <f>IF($T93="카메라",VLOOKUP($F93,드롭다운!$A:$F,3,0),"")</f>
        <v>Night vision</v>
      </c>
      <c r="Y93" s="617" t="str">
        <f>IF($T93="카메라",VLOOKUP($F93,드롭다운!$A:$F,4,0),"")</f>
        <v>Analogue</v>
      </c>
      <c r="Z93" s="617">
        <f>IF($T93="카메라",VLOOKUP($F93,드롭다운!$A:$F,5,0),"")</f>
        <v>17</v>
      </c>
      <c r="AA93" s="617"/>
    </row>
    <row r="94" spans="1:27">
      <c r="A94" s="135">
        <v>45541</v>
      </c>
      <c r="B94" s="491">
        <v>2</v>
      </c>
      <c r="C94" s="100" t="s">
        <v>8384</v>
      </c>
      <c r="D94" s="138" t="s">
        <v>201</v>
      </c>
      <c r="E94" s="138" t="s">
        <v>7572</v>
      </c>
      <c r="F94" s="138" t="s">
        <v>281</v>
      </c>
      <c r="G94" s="138" t="s">
        <v>7553</v>
      </c>
      <c r="H94" s="138">
        <v>1</v>
      </c>
      <c r="I94" s="457">
        <v>4233150</v>
      </c>
      <c r="J94" s="457">
        <f t="shared" si="1"/>
        <v>4233150</v>
      </c>
      <c r="K94" s="457">
        <f>tbl_국내[[#This Row],[금액]]*1.1</f>
        <v>4656465</v>
      </c>
      <c r="L94" s="458">
        <v>45540</v>
      </c>
      <c r="M94" s="141">
        <v>45541</v>
      </c>
      <c r="N94" s="457">
        <v>4656465</v>
      </c>
      <c r="O94" s="141">
        <v>45560</v>
      </c>
      <c r="P94" s="141">
        <v>45541</v>
      </c>
      <c r="Q94" s="616"/>
      <c r="R94" s="616">
        <f>YEAR(tbl_국내[[#This Row],[계산서
발행일/구매확정일]])</f>
        <v>2024</v>
      </c>
      <c r="S94" s="617">
        <f>IF(국내!$P94="",0,MONTH(국내!$P94))</f>
        <v>9</v>
      </c>
      <c r="T94" s="617" t="str">
        <f>IFERROR(VLOOKUP($F94,product[],6,0),"error")</f>
        <v>카메라</v>
      </c>
      <c r="U94" s="138"/>
      <c r="V94" s="138"/>
      <c r="W94" s="617" t="str">
        <f>IF($T94="카메라",VLOOKUP($F94,드롭다운!$A:$F,2,0),"")</f>
        <v>VGA</v>
      </c>
      <c r="X94" s="617" t="str">
        <f>IF($T94="카메라",VLOOKUP($F94,드롭다운!$A:$F,3,0),"")</f>
        <v>Security</v>
      </c>
      <c r="Y94" s="617" t="str">
        <f>IF($T94="카메라",VLOOKUP($F94,드롭다운!$A:$F,4,0),"")</f>
        <v>Analogue</v>
      </c>
      <c r="Z94" s="617">
        <f>IF($T94="카메라",VLOOKUP($F94,드롭다운!$A:$F,5,0),"")</f>
        <v>17</v>
      </c>
      <c r="AA94" s="617"/>
    </row>
    <row r="95" spans="1:27">
      <c r="A95" s="135">
        <v>45544</v>
      </c>
      <c r="B95" s="491">
        <v>3</v>
      </c>
      <c r="C95" s="100" t="s">
        <v>8385</v>
      </c>
      <c r="D95" s="138" t="s">
        <v>8057</v>
      </c>
      <c r="E95" s="138" t="s">
        <v>8223</v>
      </c>
      <c r="F95" s="138" t="s">
        <v>8224</v>
      </c>
      <c r="G95" s="138" t="s">
        <v>8222</v>
      </c>
      <c r="H95" s="138">
        <v>4</v>
      </c>
      <c r="I95" s="457">
        <v>2750000</v>
      </c>
      <c r="J95" s="457">
        <f t="shared" si="1"/>
        <v>11000000</v>
      </c>
      <c r="K95" s="457">
        <f>tbl_국내[[#This Row],[금액]]*1.1</f>
        <v>12100000.000000002</v>
      </c>
      <c r="L95" s="458">
        <v>45561</v>
      </c>
      <c r="M95" s="458">
        <v>45561</v>
      </c>
      <c r="N95" s="457">
        <v>12100000</v>
      </c>
      <c r="O95" s="141">
        <v>45716</v>
      </c>
      <c r="P95" s="141">
        <v>45561</v>
      </c>
      <c r="Q95" s="616"/>
      <c r="R95" s="616">
        <f>YEAR(tbl_국내[[#This Row],[계산서
발행일/구매확정일]])</f>
        <v>2024</v>
      </c>
      <c r="S95" s="617">
        <f>IF(국내!$P95="",0,MONTH(국내!$P95))</f>
        <v>9</v>
      </c>
      <c r="T95" s="617" t="str">
        <f>IFERROR(VLOOKUP($F95,product[],6,0),"error")</f>
        <v>error</v>
      </c>
      <c r="U95" s="138"/>
      <c r="V95" s="138"/>
      <c r="W95" s="617" t="str">
        <f>IF($T95="카메라",VLOOKUP($F95,드롭다운!$A:$F,2,0),"")</f>
        <v/>
      </c>
      <c r="X95" s="617" t="str">
        <f>IF($T95="카메라",VLOOKUP($F95,드롭다운!$A:$F,3,0),"")</f>
        <v/>
      </c>
      <c r="Y95" s="617" t="str">
        <f>IF($T95="카메라",VLOOKUP($F95,드롭다운!$A:$F,4,0),"")</f>
        <v/>
      </c>
      <c r="Z95" s="617" t="str">
        <f>IF($T95="카메라",VLOOKUP($F95,드롭다운!$A:$F,5,0),"")</f>
        <v/>
      </c>
      <c r="AA95" s="617"/>
    </row>
    <row r="96" spans="1:27">
      <c r="A96" s="135">
        <v>45544</v>
      </c>
      <c r="B96" s="491">
        <v>4</v>
      </c>
      <c r="C96" s="100" t="s">
        <v>8386</v>
      </c>
      <c r="D96" s="138" t="s">
        <v>201</v>
      </c>
      <c r="E96" s="138" t="s">
        <v>7572</v>
      </c>
      <c r="F96" s="138" t="s">
        <v>169</v>
      </c>
      <c r="G96" s="138" t="s">
        <v>168</v>
      </c>
      <c r="H96" s="138">
        <v>1</v>
      </c>
      <c r="I96" s="457">
        <v>4233150</v>
      </c>
      <c r="J96" s="457">
        <f t="shared" si="1"/>
        <v>4233150</v>
      </c>
      <c r="K96" s="457">
        <f>tbl_국내[[#This Row],[금액]]*1.1</f>
        <v>4656465</v>
      </c>
      <c r="L96" s="458">
        <v>45561</v>
      </c>
      <c r="M96" s="458">
        <v>45561</v>
      </c>
      <c r="N96" s="457">
        <v>4656465</v>
      </c>
      <c r="O96" s="141">
        <v>45583</v>
      </c>
      <c r="P96" s="141">
        <v>45561</v>
      </c>
      <c r="Q96" s="616"/>
      <c r="R96" s="616">
        <f>YEAR(tbl_국내[[#This Row],[계산서
발행일/구매확정일]])</f>
        <v>2024</v>
      </c>
      <c r="S96" s="617">
        <f>IF(국내!$P96="",0,MONTH(국내!$P96))</f>
        <v>9</v>
      </c>
      <c r="T96" s="617" t="str">
        <f>IFERROR(VLOOKUP($F96,product[],6,0),"error")</f>
        <v>카메라</v>
      </c>
      <c r="U96" s="138"/>
      <c r="V96" s="138"/>
      <c r="W96" s="617" t="str">
        <f>IF($T96="카메라",VLOOKUP($F96,드롭다운!$A:$F,2,0),"")</f>
        <v>VGA</v>
      </c>
      <c r="X96" s="617" t="str">
        <f>IF($T96="카메라",VLOOKUP($F96,드롭다운!$A:$F,3,0),"")</f>
        <v>Security</v>
      </c>
      <c r="Y96" s="617" t="str">
        <f>IF($T96="카메라",VLOOKUP($F96,드롭다운!$A:$F,4,0),"")</f>
        <v>Analogue</v>
      </c>
      <c r="Z96" s="617">
        <f>IF($T96="카메라",VLOOKUP($F96,드롭다운!$A:$F,5,0),"")</f>
        <v>17</v>
      </c>
      <c r="AA96" s="617"/>
    </row>
    <row r="97" spans="1:27">
      <c r="A97" s="135">
        <v>45575</v>
      </c>
      <c r="B97" s="491">
        <v>1</v>
      </c>
      <c r="C97" s="100" t="s">
        <v>8387</v>
      </c>
      <c r="D97" s="138" t="s">
        <v>8004</v>
      </c>
      <c r="E97" s="138" t="s">
        <v>7571</v>
      </c>
      <c r="F97" s="138" t="s">
        <v>8002</v>
      </c>
      <c r="G97" s="138" t="s">
        <v>7647</v>
      </c>
      <c r="H97" s="138">
        <v>2</v>
      </c>
      <c r="I97" s="457">
        <v>2150000</v>
      </c>
      <c r="J97" s="457">
        <f t="shared" si="1"/>
        <v>4300000</v>
      </c>
      <c r="K97" s="457">
        <f>tbl_국내[[#This Row],[금액]]*1.1</f>
        <v>4730000</v>
      </c>
      <c r="L97" s="458">
        <v>45575</v>
      </c>
      <c r="M97" s="141">
        <v>45575</v>
      </c>
      <c r="N97" s="457">
        <v>4730000</v>
      </c>
      <c r="O97" s="141">
        <v>45573</v>
      </c>
      <c r="P97" s="141">
        <v>45575</v>
      </c>
      <c r="Q97" s="616" t="s">
        <v>8023</v>
      </c>
      <c r="R97" s="616">
        <f>YEAR(tbl_국내[[#This Row],[계산서
발행일/구매확정일]])</f>
        <v>2024</v>
      </c>
      <c r="S97" s="617">
        <f>IF(국내!$P97="",0,MONTH(국내!$P97))</f>
        <v>10</v>
      </c>
      <c r="T97" s="617" t="str">
        <f>IFERROR(VLOOKUP($F97,product[],6,0),"error")</f>
        <v>error</v>
      </c>
      <c r="U97" s="138"/>
      <c r="V97" s="138"/>
      <c r="W97" s="617" t="str">
        <f>IF($T97="카메라",VLOOKUP($F97,드롭다운!$A:$F,2,0),"")</f>
        <v/>
      </c>
      <c r="X97" s="617" t="str">
        <f>IF($T97="카메라",VLOOKUP($F97,드롭다운!$A:$F,3,0),"")</f>
        <v/>
      </c>
      <c r="Y97" s="617" t="str">
        <f>IF($T97="카메라",VLOOKUP($F97,드롭다운!$A:$F,4,0),"")</f>
        <v/>
      </c>
      <c r="Z97" s="617" t="str">
        <f>IF($T97="카메라",VLOOKUP($F97,드롭다운!$A:$F,5,0),"")</f>
        <v/>
      </c>
      <c r="AA97" s="617"/>
    </row>
    <row r="98" spans="1:27">
      <c r="A98" s="135">
        <v>45575</v>
      </c>
      <c r="B98" s="491">
        <v>1</v>
      </c>
      <c r="C98" s="100" t="s">
        <v>8387</v>
      </c>
      <c r="D98" s="138" t="s">
        <v>8004</v>
      </c>
      <c r="E98" s="138" t="s">
        <v>7570</v>
      </c>
      <c r="F98" s="138" t="s">
        <v>168</v>
      </c>
      <c r="G98" s="138" t="s">
        <v>7647</v>
      </c>
      <c r="H98" s="138">
        <v>2</v>
      </c>
      <c r="I98" s="457">
        <v>2180000</v>
      </c>
      <c r="J98" s="457">
        <f t="shared" si="1"/>
        <v>4360000</v>
      </c>
      <c r="K98" s="457">
        <f>tbl_국내[[#This Row],[금액]]*1.1</f>
        <v>4796000</v>
      </c>
      <c r="L98" s="458">
        <v>45575</v>
      </c>
      <c r="M98" s="141">
        <v>45575</v>
      </c>
      <c r="N98" s="457">
        <v>4796000</v>
      </c>
      <c r="O98" s="141">
        <v>45573</v>
      </c>
      <c r="P98" s="141">
        <v>45575</v>
      </c>
      <c r="Q98" s="616" t="s">
        <v>8023</v>
      </c>
      <c r="R98" s="616">
        <f>YEAR(tbl_국내[[#This Row],[계산서
발행일/구매확정일]])</f>
        <v>2024</v>
      </c>
      <c r="S98" s="617">
        <f>IF(국내!$P98="",0,MONTH(국내!$P98))</f>
        <v>10</v>
      </c>
      <c r="T98" s="617" t="str">
        <f>IFERROR(VLOOKUP($F98,product[],6,0),"error")</f>
        <v>error</v>
      </c>
      <c r="U98" s="138"/>
      <c r="V98" s="138"/>
      <c r="W98" s="617" t="str">
        <f>IF($T98="카메라",VLOOKUP($F98,드롭다운!$A:$F,2,0),"")</f>
        <v/>
      </c>
      <c r="X98" s="617" t="str">
        <f>IF($T98="카메라",VLOOKUP($F98,드롭다운!$A:$F,3,0),"")</f>
        <v/>
      </c>
      <c r="Y98" s="617" t="str">
        <f>IF($T98="카메라",VLOOKUP($F98,드롭다운!$A:$F,4,0),"")</f>
        <v/>
      </c>
      <c r="Z98" s="617" t="str">
        <f>IF($T98="카메라",VLOOKUP($F98,드롭다운!$A:$F,5,0),"")</f>
        <v/>
      </c>
      <c r="AA98" s="617"/>
    </row>
    <row r="99" spans="1:27">
      <c r="A99" s="135">
        <v>45575</v>
      </c>
      <c r="B99" s="491">
        <v>1</v>
      </c>
      <c r="C99" s="100" t="s">
        <v>8387</v>
      </c>
      <c r="D99" s="138" t="s">
        <v>8004</v>
      </c>
      <c r="E99" s="138" t="s">
        <v>7572</v>
      </c>
      <c r="F99" s="138" t="s">
        <v>169</v>
      </c>
      <c r="G99" s="138" t="s">
        <v>7647</v>
      </c>
      <c r="H99" s="138">
        <v>2</v>
      </c>
      <c r="I99" s="457">
        <v>2195000</v>
      </c>
      <c r="J99" s="457">
        <f t="shared" si="1"/>
        <v>4390000</v>
      </c>
      <c r="K99" s="457">
        <f>tbl_국내[[#This Row],[금액]]*1.1</f>
        <v>4829000</v>
      </c>
      <c r="L99" s="458">
        <v>45575</v>
      </c>
      <c r="M99" s="141">
        <v>45575</v>
      </c>
      <c r="N99" s="457">
        <v>4829000</v>
      </c>
      <c r="O99" s="141">
        <v>45573</v>
      </c>
      <c r="P99" s="141">
        <v>45575</v>
      </c>
      <c r="Q99" s="616" t="s">
        <v>8023</v>
      </c>
      <c r="R99" s="616">
        <f>YEAR(tbl_국내[[#This Row],[계산서
발행일/구매확정일]])</f>
        <v>2024</v>
      </c>
      <c r="S99" s="617">
        <f>IF(국내!$P99="",0,MONTH(국내!$P99))</f>
        <v>10</v>
      </c>
      <c r="T99" s="617" t="str">
        <f>IFERROR(VLOOKUP($F99,product[],6,0),"error")</f>
        <v>카메라</v>
      </c>
      <c r="U99" s="138"/>
      <c r="V99" s="138"/>
      <c r="W99" s="617" t="str">
        <f>IF($T99="카메라",VLOOKUP($F99,드롭다운!$A:$F,2,0),"")</f>
        <v>VGA</v>
      </c>
      <c r="X99" s="617" t="str">
        <f>IF($T99="카메라",VLOOKUP($F99,드롭다운!$A:$F,3,0),"")</f>
        <v>Security</v>
      </c>
      <c r="Y99" s="617" t="str">
        <f>IF($T99="카메라",VLOOKUP($F99,드롭다운!$A:$F,4,0),"")</f>
        <v>Analogue</v>
      </c>
      <c r="Z99" s="617">
        <f>IF($T99="카메라",VLOOKUP($F99,드롭다운!$A:$F,5,0),"")</f>
        <v>17</v>
      </c>
      <c r="AA99" s="617"/>
    </row>
    <row r="100" spans="1:27">
      <c r="A100" s="135">
        <v>45576</v>
      </c>
      <c r="B100" s="491">
        <v>2</v>
      </c>
      <c r="C100" s="100" t="s">
        <v>8388</v>
      </c>
      <c r="D100" s="138" t="s">
        <v>7967</v>
      </c>
      <c r="E100" s="138" t="s">
        <v>7968</v>
      </c>
      <c r="F100" s="138" t="s">
        <v>7969</v>
      </c>
      <c r="G100" s="138" t="s">
        <v>7970</v>
      </c>
      <c r="H100" s="138">
        <v>1</v>
      </c>
      <c r="I100" s="457">
        <v>500000</v>
      </c>
      <c r="J100" s="457">
        <f t="shared" si="1"/>
        <v>500000</v>
      </c>
      <c r="K100" s="457">
        <f>tbl_국내[[#This Row],[금액]]*1.1</f>
        <v>550000</v>
      </c>
      <c r="L100" s="458">
        <v>45576</v>
      </c>
      <c r="M100" s="141">
        <v>45576</v>
      </c>
      <c r="N100" s="457">
        <v>550000</v>
      </c>
      <c r="O100" s="141">
        <v>45595</v>
      </c>
      <c r="P100" s="141">
        <v>45576</v>
      </c>
      <c r="Q100" s="616"/>
      <c r="R100" s="616">
        <f>YEAR(tbl_국내[[#This Row],[계산서
발행일/구매확정일]])</f>
        <v>2024</v>
      </c>
      <c r="S100" s="617">
        <f>IF(국내!$P100="",0,MONTH(국내!$P100))</f>
        <v>10</v>
      </c>
      <c r="T100" s="617" t="str">
        <f>IFERROR(VLOOKUP($F100,product[],6,0),"error")</f>
        <v>error</v>
      </c>
      <c r="U100" s="138"/>
      <c r="V100" s="138"/>
      <c r="W100" s="617" t="str">
        <f>IF($T100="카메라",VLOOKUP($F100,드롭다운!$A:$F,2,0),"")</f>
        <v/>
      </c>
      <c r="X100" s="617" t="str">
        <f>IF($T100="카메라",VLOOKUP($F100,드롭다운!$A:$F,3,0),"")</f>
        <v/>
      </c>
      <c r="Y100" s="617" t="str">
        <f>IF($T100="카메라",VLOOKUP($F100,드롭다운!$A:$F,4,0),"")</f>
        <v/>
      </c>
      <c r="Z100" s="617" t="str">
        <f>IF($T100="카메라",VLOOKUP($F100,드롭다운!$A:$F,5,0),"")</f>
        <v/>
      </c>
      <c r="AA100" s="617"/>
    </row>
    <row r="101" spans="1:27">
      <c r="A101" s="135">
        <v>45576</v>
      </c>
      <c r="B101" s="491">
        <v>3</v>
      </c>
      <c r="C101" s="100" t="s">
        <v>8389</v>
      </c>
      <c r="D101" s="138" t="s">
        <v>128</v>
      </c>
      <c r="E101" s="138" t="s">
        <v>7968</v>
      </c>
      <c r="F101" s="138" t="s">
        <v>7969</v>
      </c>
      <c r="G101" s="138" t="s">
        <v>7971</v>
      </c>
      <c r="H101" s="138">
        <v>1</v>
      </c>
      <c r="I101" s="457">
        <v>250000</v>
      </c>
      <c r="J101" s="457">
        <f t="shared" si="1"/>
        <v>250000</v>
      </c>
      <c r="K101" s="457">
        <f>tbl_국내[[#This Row],[금액]]*1.1</f>
        <v>275000</v>
      </c>
      <c r="L101" s="458">
        <v>45576</v>
      </c>
      <c r="M101" s="141">
        <v>45576</v>
      </c>
      <c r="N101" s="457" t="s">
        <v>172</v>
      </c>
      <c r="O101" s="141" t="s">
        <v>172</v>
      </c>
      <c r="P101" s="141">
        <v>45576</v>
      </c>
      <c r="Q101" s="616"/>
      <c r="R101" s="616">
        <f>YEAR(tbl_국내[[#This Row],[계산서
발행일/구매확정일]])</f>
        <v>2024</v>
      </c>
      <c r="S101" s="617">
        <f>IF(국내!$P101="",0,MONTH(국내!$P101))</f>
        <v>10</v>
      </c>
      <c r="T101" s="617" t="str">
        <f>IFERROR(VLOOKUP($F101,product[],6,0),"error")</f>
        <v>error</v>
      </c>
      <c r="U101" s="138"/>
      <c r="V101" s="138"/>
      <c r="W101" s="617" t="str">
        <f>IF($T101="카메라",VLOOKUP($F101,드롭다운!$A:$F,2,0),"")</f>
        <v/>
      </c>
      <c r="X101" s="617" t="str">
        <f>IF($T101="카메라",VLOOKUP($F101,드롭다운!$A:$F,3,0),"")</f>
        <v/>
      </c>
      <c r="Y101" s="617" t="str">
        <f>IF($T101="카메라",VLOOKUP($F101,드롭다운!$A:$F,4,0),"")</f>
        <v/>
      </c>
      <c r="Z101" s="617" t="str">
        <f>IF($T101="카메라",VLOOKUP($F101,드롭다운!$A:$F,5,0),"")</f>
        <v/>
      </c>
      <c r="AA101" s="617"/>
    </row>
    <row r="102" spans="1:27">
      <c r="A102" s="135">
        <v>45579</v>
      </c>
      <c r="B102" s="491">
        <v>4</v>
      </c>
      <c r="C102" s="100" t="s">
        <v>8390</v>
      </c>
      <c r="D102" s="138" t="s">
        <v>314</v>
      </c>
      <c r="E102" s="138" t="s">
        <v>7572</v>
      </c>
      <c r="F102" s="138" t="s">
        <v>315</v>
      </c>
      <c r="G102" s="138" t="s">
        <v>7553</v>
      </c>
      <c r="H102" s="138">
        <v>5</v>
      </c>
      <c r="I102" s="457">
        <v>4400000</v>
      </c>
      <c r="J102" s="457">
        <f t="shared" si="1"/>
        <v>22000000</v>
      </c>
      <c r="K102" s="457">
        <f>tbl_국내[[#This Row],[금액]]*1.1</f>
        <v>24200000.000000004</v>
      </c>
      <c r="L102" s="458">
        <v>45575</v>
      </c>
      <c r="M102" s="141">
        <v>45576</v>
      </c>
      <c r="N102" s="457">
        <v>24200000</v>
      </c>
      <c r="O102" s="141">
        <v>45581</v>
      </c>
      <c r="P102" s="141">
        <v>45579</v>
      </c>
      <c r="Q102" s="616"/>
      <c r="R102" s="616">
        <f>YEAR(tbl_국내[[#This Row],[계산서
발행일/구매확정일]])</f>
        <v>2024</v>
      </c>
      <c r="S102" s="617">
        <f>IF(국내!$P102="",0,MONTH(국내!$P102))</f>
        <v>10</v>
      </c>
      <c r="T102" s="617" t="str">
        <f>IFERROR(VLOOKUP($F102,product[],6,0),"error")</f>
        <v>카메라</v>
      </c>
      <c r="U102" s="138"/>
      <c r="V102" s="138"/>
      <c r="W102" s="617" t="str">
        <f>IF($T102="카메라",VLOOKUP($F102,드롭다운!$A:$F,2,0),"")</f>
        <v>VGA</v>
      </c>
      <c r="X102" s="617" t="str">
        <f>IF($T102="카메라",VLOOKUP($F102,드롭다운!$A:$F,3,0),"")</f>
        <v>Security</v>
      </c>
      <c r="Y102" s="617" t="str">
        <f>IF($T102="카메라",VLOOKUP($F102,드롭다운!$A:$F,4,0),"")</f>
        <v>Analogue</v>
      </c>
      <c r="Z102" s="617">
        <f>IF($T102="카메라",VLOOKUP($F102,드롭다운!$A:$F,5,0),"")</f>
        <v>17</v>
      </c>
      <c r="AA102" s="617"/>
    </row>
    <row r="103" spans="1:27">
      <c r="A103" s="135">
        <v>45582</v>
      </c>
      <c r="B103" s="491">
        <v>5</v>
      </c>
      <c r="C103" s="100" t="s">
        <v>8391</v>
      </c>
      <c r="D103" s="138" t="s">
        <v>128</v>
      </c>
      <c r="E103" s="138" t="s">
        <v>7572</v>
      </c>
      <c r="F103" s="138" t="s">
        <v>8018</v>
      </c>
      <c r="G103" s="138" t="s">
        <v>8019</v>
      </c>
      <c r="H103" s="138">
        <v>1</v>
      </c>
      <c r="I103" s="457">
        <v>1500000</v>
      </c>
      <c r="J103" s="457">
        <f t="shared" si="1"/>
        <v>1500000</v>
      </c>
      <c r="K103" s="457">
        <f>tbl_국내[[#This Row],[금액]]*1.1</f>
        <v>1650000.0000000002</v>
      </c>
      <c r="L103" s="458">
        <v>45582</v>
      </c>
      <c r="M103" s="141">
        <v>45582</v>
      </c>
      <c r="N103" s="457" t="s">
        <v>172</v>
      </c>
      <c r="O103" s="141" t="s">
        <v>172</v>
      </c>
      <c r="P103" s="141">
        <v>45582</v>
      </c>
      <c r="Q103" s="616"/>
      <c r="R103" s="616">
        <f>YEAR(tbl_국내[[#This Row],[계산서
발행일/구매확정일]])</f>
        <v>2024</v>
      </c>
      <c r="S103" s="617">
        <f>IF(국내!$P103="",0,MONTH(국내!$P103))</f>
        <v>10</v>
      </c>
      <c r="T103" s="617" t="str">
        <f>IFERROR(VLOOKUP($F103,product[],6,0),"error")</f>
        <v>error</v>
      </c>
      <c r="U103" s="138"/>
      <c r="V103" s="138"/>
      <c r="W103" s="617" t="str">
        <f>IF($T103="카메라",VLOOKUP($F103,드롭다운!$A:$F,2,0),"")</f>
        <v/>
      </c>
      <c r="X103" s="617" t="str">
        <f>IF($T103="카메라",VLOOKUP($F103,드롭다운!$A:$F,3,0),"")</f>
        <v/>
      </c>
      <c r="Y103" s="617" t="str">
        <f>IF($T103="카메라",VLOOKUP($F103,드롭다운!$A:$F,4,0),"")</f>
        <v/>
      </c>
      <c r="Z103" s="617" t="str">
        <f>IF($T103="카메라",VLOOKUP($F103,드롭다운!$A:$F,5,0),"")</f>
        <v/>
      </c>
      <c r="AA103" s="617"/>
    </row>
    <row r="104" spans="1:27">
      <c r="A104" s="135">
        <v>45567</v>
      </c>
      <c r="B104" s="491">
        <v>6</v>
      </c>
      <c r="C104" s="100" t="s">
        <v>8392</v>
      </c>
      <c r="D104" s="138" t="s">
        <v>312</v>
      </c>
      <c r="E104" s="138" t="s">
        <v>7572</v>
      </c>
      <c r="F104" s="138" t="s">
        <v>313</v>
      </c>
      <c r="G104" s="138" t="s">
        <v>7548</v>
      </c>
      <c r="H104" s="138">
        <v>1</v>
      </c>
      <c r="I104" s="457">
        <v>2356000</v>
      </c>
      <c r="J104" s="457">
        <f t="shared" si="1"/>
        <v>2356000</v>
      </c>
      <c r="K104" s="457">
        <f>tbl_국내[[#This Row],[금액]]*1.1</f>
        <v>2591600</v>
      </c>
      <c r="L104" s="458">
        <v>45583</v>
      </c>
      <c r="M104" s="141">
        <v>45583</v>
      </c>
      <c r="N104" s="457">
        <v>2591600</v>
      </c>
      <c r="O104" s="141">
        <v>45595</v>
      </c>
      <c r="P104" s="141">
        <v>45583</v>
      </c>
      <c r="Q104" s="616"/>
      <c r="R104" s="616">
        <f>YEAR(tbl_국내[[#This Row],[계산서
발행일/구매확정일]])</f>
        <v>2024</v>
      </c>
      <c r="S104" s="617">
        <f>IF(국내!$P104="",0,MONTH(국내!$P104))</f>
        <v>10</v>
      </c>
      <c r="T104" s="617" t="str">
        <f>IFERROR(VLOOKUP($F104,product[],6,0),"error")</f>
        <v>카메라</v>
      </c>
      <c r="U104" s="138"/>
      <c r="V104" s="138"/>
      <c r="W104" s="617" t="str">
        <f>IF($T104="카메라",VLOOKUP($F104,드롭다운!$A:$F,2,0),"")</f>
        <v>QVGA</v>
      </c>
      <c r="X104" s="617" t="str">
        <f>IF($T104="카메라",VLOOKUP($F104,드롭다운!$A:$F,3,0),"")</f>
        <v>Radiometric</v>
      </c>
      <c r="Y104" s="617" t="str">
        <f>IF($T104="카메라",VLOOKUP($F104,드롭다운!$A:$F,4,0),"")</f>
        <v>Analogue</v>
      </c>
      <c r="Z104" s="617">
        <f>IF($T104="카메라",VLOOKUP($F104,드롭다운!$A:$F,5,0),"")</f>
        <v>17</v>
      </c>
      <c r="AA104" s="617"/>
    </row>
    <row r="105" spans="1:27">
      <c r="A105" s="135">
        <v>45596</v>
      </c>
      <c r="B105" s="491">
        <v>8</v>
      </c>
      <c r="C105" s="100" t="s">
        <v>8394</v>
      </c>
      <c r="D105" s="138" t="s">
        <v>120</v>
      </c>
      <c r="E105" s="138" t="s">
        <v>8109</v>
      </c>
      <c r="F105" s="138" t="s">
        <v>8110</v>
      </c>
      <c r="G105" s="138" t="s">
        <v>8111</v>
      </c>
      <c r="H105" s="138">
        <v>1</v>
      </c>
      <c r="I105" s="457">
        <v>575000</v>
      </c>
      <c r="J105" s="457">
        <f t="shared" si="1"/>
        <v>575000</v>
      </c>
      <c r="K105" s="457">
        <f>tbl_국내[[#This Row],[금액]]*1.1</f>
        <v>632500</v>
      </c>
      <c r="L105" s="458">
        <v>45596</v>
      </c>
      <c r="M105" s="141">
        <v>45596</v>
      </c>
      <c r="N105" s="457">
        <v>632500</v>
      </c>
      <c r="O105" s="141">
        <v>45625</v>
      </c>
      <c r="P105" s="141">
        <v>45596</v>
      </c>
      <c r="Q105" s="616"/>
      <c r="R105" s="616">
        <f>YEAR(tbl_국내[[#This Row],[계산서
발행일/구매확정일]])</f>
        <v>2024</v>
      </c>
      <c r="S105" s="617">
        <f>IF(국내!$P108="",0,MONTH(국내!$P108))</f>
        <v>11</v>
      </c>
      <c r="T105" s="617" t="str">
        <f>IFERROR(VLOOKUP($F105,product[],6,0),"error")</f>
        <v>error</v>
      </c>
      <c r="U105" s="138"/>
      <c r="V105" s="138"/>
      <c r="W105" s="617" t="str">
        <f>IF($T105="카메라",VLOOKUP($F105,드롭다운!$A:$F,2,0),"")</f>
        <v/>
      </c>
      <c r="X105" s="617" t="str">
        <f>IF($T105="카메라",VLOOKUP($F105,드롭다운!$A:$F,3,0),"")</f>
        <v/>
      </c>
      <c r="Y105" s="617" t="str">
        <f>IF($T105="카메라",VLOOKUP($F105,드롭다운!$A:$F,4,0),"")</f>
        <v/>
      </c>
      <c r="Z105" s="617" t="str">
        <f>IF($T105="카메라",VLOOKUP($F105,드롭다운!$A:$F,5,0),"")</f>
        <v/>
      </c>
      <c r="AA105" s="617"/>
    </row>
    <row r="106" spans="1:27">
      <c r="A106" s="135">
        <v>45567</v>
      </c>
      <c r="B106" s="491">
        <v>1</v>
      </c>
      <c r="C106" s="100" t="s">
        <v>8396</v>
      </c>
      <c r="D106" s="138" t="s">
        <v>7948</v>
      </c>
      <c r="E106" s="138" t="s">
        <v>7574</v>
      </c>
      <c r="F106" s="138" t="s">
        <v>7567</v>
      </c>
      <c r="G106" s="138" t="s">
        <v>7956</v>
      </c>
      <c r="H106" s="138">
        <v>21</v>
      </c>
      <c r="I106" s="457">
        <v>0</v>
      </c>
      <c r="J106" s="457">
        <f t="shared" si="1"/>
        <v>0</v>
      </c>
      <c r="K106" s="457">
        <f>tbl_국내[[#This Row],[금액]]*1.1</f>
        <v>0</v>
      </c>
      <c r="L106" s="458">
        <v>45597</v>
      </c>
      <c r="M106" s="141">
        <v>45597</v>
      </c>
      <c r="N106" s="457">
        <v>29733000</v>
      </c>
      <c r="O106" s="141">
        <v>45625</v>
      </c>
      <c r="P106" s="141">
        <v>45597</v>
      </c>
      <c r="Q106" s="616" t="s">
        <v>8864</v>
      </c>
      <c r="R106" s="616">
        <f>YEAR(tbl_국내[[#This Row],[계산서
발행일/구매확정일]])</f>
        <v>2024</v>
      </c>
      <c r="S106" s="617">
        <f>IF(국내!$P110="",0,MONTH(국내!$P110))</f>
        <v>11</v>
      </c>
      <c r="T106" s="617" t="str">
        <f>IFERROR(VLOOKUP($F106,product[],6,0),"error")</f>
        <v>error</v>
      </c>
      <c r="U106" s="138"/>
      <c r="V106" s="138"/>
      <c r="W106" s="617" t="str">
        <f>IF($T106="카메라",VLOOKUP($F106,드롭다운!$A:$F,2,0),"")</f>
        <v/>
      </c>
      <c r="X106" s="617" t="str">
        <f>IF($T106="카메라",VLOOKUP($F106,드롭다운!$A:$F,3,0),"")</f>
        <v/>
      </c>
      <c r="Y106" s="617" t="str">
        <f>IF($T106="카메라",VLOOKUP($F106,드롭다운!$A:$F,4,0),"")</f>
        <v/>
      </c>
      <c r="Z106" s="617" t="str">
        <f>IF($T106="카메라",VLOOKUP($F106,드롭다운!$A:$F,5,0),"")</f>
        <v/>
      </c>
      <c r="AA106" s="617"/>
    </row>
    <row r="107" spans="1:27">
      <c r="A107" s="135">
        <v>45567</v>
      </c>
      <c r="B107" s="491">
        <v>1</v>
      </c>
      <c r="C107" s="100" t="s">
        <v>8396</v>
      </c>
      <c r="D107" s="138" t="s">
        <v>7948</v>
      </c>
      <c r="E107" s="138" t="s">
        <v>7572</v>
      </c>
      <c r="F107" s="138" t="s">
        <v>316</v>
      </c>
      <c r="G107" s="138" t="s">
        <v>7563</v>
      </c>
      <c r="H107" s="138">
        <v>8</v>
      </c>
      <c r="I107" s="457">
        <v>2360000</v>
      </c>
      <c r="J107" s="457">
        <f t="shared" si="1"/>
        <v>18880000</v>
      </c>
      <c r="K107" s="457">
        <f>tbl_국내[[#This Row],[금액]]*1.1</f>
        <v>20768000</v>
      </c>
      <c r="L107" s="458">
        <v>45597</v>
      </c>
      <c r="M107" s="141">
        <v>45597</v>
      </c>
      <c r="N107" s="457">
        <v>29733000</v>
      </c>
      <c r="O107" s="141">
        <v>45656</v>
      </c>
      <c r="P107" s="141">
        <v>45600</v>
      </c>
      <c r="Q107" s="616" t="s">
        <v>8865</v>
      </c>
      <c r="R107" s="616">
        <f>YEAR(tbl_국내[[#This Row],[계산서
발행일/구매확정일]])</f>
        <v>2024</v>
      </c>
      <c r="S107" s="617">
        <f>IF(국내!$P111="",0,MONTH(국내!$P111))</f>
        <v>11</v>
      </c>
      <c r="T107" s="617" t="str">
        <f>IFERROR(VLOOKUP($F107,product[],6,0),"error")</f>
        <v>카메라</v>
      </c>
      <c r="U107" s="138"/>
      <c r="V107" s="138"/>
      <c r="W107" s="617" t="str">
        <f>IF($T107="카메라",VLOOKUP($F107,드롭다운!$A:$F,2,0),"")</f>
        <v>QVGA</v>
      </c>
      <c r="X107" s="617" t="str">
        <f>IF($T107="카메라",VLOOKUP($F107,드롭다운!$A:$F,3,0),"")</f>
        <v>Radiometric</v>
      </c>
      <c r="Y107" s="617" t="str">
        <f>IF($T107="카메라",VLOOKUP($F107,드롭다운!$A:$F,4,0),"")</f>
        <v>Network</v>
      </c>
      <c r="Z107" s="617">
        <f>IF($T107="카메라",VLOOKUP($F107,드롭다운!$A:$F,5,0),"")</f>
        <v>17</v>
      </c>
      <c r="AA107" s="617"/>
    </row>
    <row r="108" spans="1:27">
      <c r="A108" s="135">
        <v>45567</v>
      </c>
      <c r="B108" s="491">
        <v>1</v>
      </c>
      <c r="C108" s="100" t="s">
        <v>8396</v>
      </c>
      <c r="D108" s="138" t="s">
        <v>7948</v>
      </c>
      <c r="E108" s="138" t="s">
        <v>7572</v>
      </c>
      <c r="F108" s="138" t="s">
        <v>226</v>
      </c>
      <c r="G108" s="138" t="s">
        <v>7564</v>
      </c>
      <c r="H108" s="138">
        <v>10</v>
      </c>
      <c r="I108" s="457">
        <v>2700000</v>
      </c>
      <c r="J108" s="457">
        <f t="shared" si="1"/>
        <v>27000000</v>
      </c>
      <c r="K108" s="457">
        <f>tbl_국내[[#This Row],[금액]]*1.1</f>
        <v>29700000.000000004</v>
      </c>
      <c r="L108" s="458">
        <v>45597</v>
      </c>
      <c r="M108" s="141">
        <v>45597</v>
      </c>
      <c r="N108" s="457">
        <v>0</v>
      </c>
      <c r="O108" s="141">
        <v>45656</v>
      </c>
      <c r="P108" s="141">
        <v>45600</v>
      </c>
      <c r="Q108" s="616"/>
      <c r="R108" s="616">
        <f>YEAR(tbl_국내[[#This Row],[계산서
발행일/구매확정일]])</f>
        <v>2024</v>
      </c>
      <c r="S108" s="617">
        <f>IF(국내!$P112="",0,MONTH(국내!$P112))</f>
        <v>11</v>
      </c>
      <c r="T108" s="617" t="str">
        <f>IFERROR(VLOOKUP($F108,product[],6,0),"error")</f>
        <v>카메라</v>
      </c>
      <c r="U108" s="138"/>
      <c r="V108" s="138"/>
      <c r="W108" s="617" t="str">
        <f>IF($T108="카메라",VLOOKUP($F108,드롭다운!$A:$F,2,0),"")</f>
        <v>QVGA</v>
      </c>
      <c r="X108" s="617" t="str">
        <f>IF($T108="카메라",VLOOKUP($F108,드롭다운!$A:$F,3,0),"")</f>
        <v>Radiometric</v>
      </c>
      <c r="Y108" s="617" t="str">
        <f>IF($T108="카메라",VLOOKUP($F108,드롭다운!$A:$F,4,0),"")</f>
        <v>Network</v>
      </c>
      <c r="Z108" s="617">
        <f>IF($T108="카메라",VLOOKUP($F108,드롭다운!$A:$F,5,0),"")</f>
        <v>17</v>
      </c>
      <c r="AA108" s="617"/>
    </row>
    <row r="109" spans="1:27">
      <c r="A109" s="135">
        <v>45567</v>
      </c>
      <c r="B109" s="491">
        <v>1</v>
      </c>
      <c r="C109" s="100" t="s">
        <v>8396</v>
      </c>
      <c r="D109" s="138" t="s">
        <v>7948</v>
      </c>
      <c r="E109" s="138" t="s">
        <v>7572</v>
      </c>
      <c r="F109" s="138" t="s">
        <v>226</v>
      </c>
      <c r="G109" s="138" t="s">
        <v>7565</v>
      </c>
      <c r="H109" s="138">
        <v>1</v>
      </c>
      <c r="I109" s="457">
        <v>2780000</v>
      </c>
      <c r="J109" s="457">
        <f t="shared" si="1"/>
        <v>2780000</v>
      </c>
      <c r="K109" s="457">
        <f>tbl_국내[[#This Row],[금액]]*1.1</f>
        <v>3058000.0000000005</v>
      </c>
      <c r="L109" s="458">
        <v>45597</v>
      </c>
      <c r="M109" s="141">
        <v>45597</v>
      </c>
      <c r="N109" s="457">
        <v>0</v>
      </c>
      <c r="O109" s="141">
        <v>45656</v>
      </c>
      <c r="P109" s="141">
        <v>45600</v>
      </c>
      <c r="Q109" s="616"/>
      <c r="R109" s="616">
        <f>YEAR(tbl_국내[[#This Row],[계산서
발행일/구매확정일]])</f>
        <v>2024</v>
      </c>
      <c r="S109" s="617">
        <f>IF(국내!$P113="",0,MONTH(국내!$P113))</f>
        <v>11</v>
      </c>
      <c r="T109" s="617" t="str">
        <f>IFERROR(VLOOKUP($F109,product[],6,0),"error")</f>
        <v>카메라</v>
      </c>
      <c r="U109" s="138"/>
      <c r="V109" s="138"/>
      <c r="W109" s="617" t="str">
        <f>IF($T109="카메라",VLOOKUP($F109,드롭다운!$A:$F,2,0),"")</f>
        <v>QVGA</v>
      </c>
      <c r="X109" s="617" t="str">
        <f>IF($T109="카메라",VLOOKUP($F109,드롭다운!$A:$F,3,0),"")</f>
        <v>Radiometric</v>
      </c>
      <c r="Y109" s="617" t="str">
        <f>IF($T109="카메라",VLOOKUP($F109,드롭다운!$A:$F,4,0),"")</f>
        <v>Network</v>
      </c>
      <c r="Z109" s="617">
        <f>IF($T109="카메라",VLOOKUP($F109,드롭다운!$A:$F,5,0),"")</f>
        <v>17</v>
      </c>
      <c r="AA109" s="617"/>
    </row>
    <row r="110" spans="1:27">
      <c r="A110" s="135">
        <v>45567</v>
      </c>
      <c r="B110" s="491">
        <v>1</v>
      </c>
      <c r="C110" s="100" t="s">
        <v>8396</v>
      </c>
      <c r="D110" s="138" t="s">
        <v>7948</v>
      </c>
      <c r="E110" s="138" t="s">
        <v>7572</v>
      </c>
      <c r="F110" s="138" t="s">
        <v>226</v>
      </c>
      <c r="G110" s="138" t="s">
        <v>7566</v>
      </c>
      <c r="H110" s="138">
        <v>2</v>
      </c>
      <c r="I110" s="457">
        <v>2700000</v>
      </c>
      <c r="J110" s="457">
        <f t="shared" si="1"/>
        <v>5400000</v>
      </c>
      <c r="K110" s="457">
        <f>tbl_국내[[#This Row],[금액]]*1.1</f>
        <v>5940000.0000000009</v>
      </c>
      <c r="L110" s="458">
        <v>45597</v>
      </c>
      <c r="M110" s="141">
        <v>45597</v>
      </c>
      <c r="N110" s="457">
        <v>0</v>
      </c>
      <c r="O110" s="141">
        <v>45656</v>
      </c>
      <c r="P110" s="141">
        <v>45600</v>
      </c>
      <c r="Q110" s="616"/>
      <c r="R110" s="616">
        <f>YEAR(tbl_국내[[#This Row],[계산서
발행일/구매확정일]])</f>
        <v>2024</v>
      </c>
      <c r="S110" s="617">
        <f>IF(국내!$P114="",0,MONTH(국내!$P114))</f>
        <v>11</v>
      </c>
      <c r="T110" s="617" t="str">
        <f>IFERROR(VLOOKUP($F110,product[],6,0),"error")</f>
        <v>카메라</v>
      </c>
      <c r="U110" s="138"/>
      <c r="V110" s="138"/>
      <c r="W110" s="617" t="str">
        <f>IF($T110="카메라",VLOOKUP($F110,드롭다운!$A:$F,2,0),"")</f>
        <v>QVGA</v>
      </c>
      <c r="X110" s="617" t="str">
        <f>IF($T110="카메라",VLOOKUP($F110,드롭다운!$A:$F,3,0),"")</f>
        <v>Radiometric</v>
      </c>
      <c r="Y110" s="617" t="str">
        <f>IF($T110="카메라",VLOOKUP($F110,드롭다운!$A:$F,4,0),"")</f>
        <v>Network</v>
      </c>
      <c r="Z110" s="617">
        <f>IF($T110="카메라",VLOOKUP($F110,드롭다운!$A:$F,5,0),"")</f>
        <v>17</v>
      </c>
      <c r="AA110" s="617"/>
    </row>
    <row r="111" spans="1:27">
      <c r="A111" s="135">
        <v>45580</v>
      </c>
      <c r="B111" s="491">
        <v>1</v>
      </c>
      <c r="C111" s="100" t="s">
        <v>8401</v>
      </c>
      <c r="D111" s="138" t="s">
        <v>8012</v>
      </c>
      <c r="E111" s="138" t="s">
        <v>7572</v>
      </c>
      <c r="F111" s="138" t="s">
        <v>8017</v>
      </c>
      <c r="G111" s="138" t="s">
        <v>168</v>
      </c>
      <c r="H111" s="138">
        <v>1</v>
      </c>
      <c r="I111" s="457">
        <v>4936000</v>
      </c>
      <c r="J111" s="457">
        <f t="shared" si="1"/>
        <v>4936000</v>
      </c>
      <c r="K111" s="457">
        <f>tbl_국내[[#This Row],[금액]]*1.1</f>
        <v>5429600</v>
      </c>
      <c r="L111" s="458">
        <v>45597</v>
      </c>
      <c r="M111" s="141">
        <v>45597</v>
      </c>
      <c r="N111" s="457">
        <v>5429600</v>
      </c>
      <c r="O111" s="141">
        <v>45632</v>
      </c>
      <c r="P111" s="141">
        <v>45618</v>
      </c>
      <c r="Q111" s="616"/>
      <c r="R111" s="616">
        <f>YEAR(tbl_국내[[#This Row],[계산서
발행일/구매확정일]])</f>
        <v>2024</v>
      </c>
      <c r="S111" s="617">
        <f>IF(국내!$P121="",0,MONTH(국내!$P121))</f>
        <v>11</v>
      </c>
      <c r="T111" s="617" t="str">
        <f>IFERROR(VLOOKUP($F111,product[],6,0),"error")</f>
        <v>카메라</v>
      </c>
      <c r="U111" s="138"/>
      <c r="V111" s="138"/>
      <c r="W111" s="617" t="str">
        <f>IF($T111="카메라",VLOOKUP($F111,드롭다운!$A:$F,2,0),"")</f>
        <v>VGA</v>
      </c>
      <c r="X111" s="617" t="str">
        <f>IF($T111="카메라",VLOOKUP($F111,드롭다운!$A:$F,3,0),"")</f>
        <v>Security</v>
      </c>
      <c r="Y111" s="617" t="str">
        <f>IF($T111="카메라",VLOOKUP($F111,드롭다운!$A:$F,4,0),"")</f>
        <v>Analogue</v>
      </c>
      <c r="Z111" s="617">
        <f>IF($T111="카메라",VLOOKUP($F111,드롭다운!$A:$F,5,0),"")</f>
        <v>17</v>
      </c>
      <c r="AA111" s="617"/>
    </row>
    <row r="112" spans="1:27">
      <c r="A112" s="135">
        <v>45601</v>
      </c>
      <c r="B112" s="491">
        <v>1</v>
      </c>
      <c r="C112" s="100" t="s">
        <v>8395</v>
      </c>
      <c r="D112" s="138" t="s">
        <v>8066</v>
      </c>
      <c r="E112" s="138" t="s">
        <v>8121</v>
      </c>
      <c r="F112" s="138" t="s">
        <v>108</v>
      </c>
      <c r="G112" s="138" t="s">
        <v>377</v>
      </c>
      <c r="H112" s="138">
        <v>1</v>
      </c>
      <c r="I112" s="457">
        <v>600000</v>
      </c>
      <c r="J112" s="457">
        <f t="shared" si="1"/>
        <v>600000</v>
      </c>
      <c r="K112" s="457">
        <f>tbl_국내[[#This Row],[금액]]*1.1</f>
        <v>660000</v>
      </c>
      <c r="L112" s="458">
        <v>45600</v>
      </c>
      <c r="M112" s="141">
        <v>45600</v>
      </c>
      <c r="N112" s="457">
        <v>660000</v>
      </c>
      <c r="O112" s="141">
        <v>45600</v>
      </c>
      <c r="P112" s="141">
        <v>45600</v>
      </c>
      <c r="Q112" s="616"/>
      <c r="R112" s="616">
        <f>YEAR(tbl_국내[[#This Row],[계산서
발행일/구매확정일]])</f>
        <v>2024</v>
      </c>
      <c r="S112" s="617">
        <f>IF(국내!$P109="",0,MONTH(국내!$P109))</f>
        <v>11</v>
      </c>
      <c r="T112" s="617" t="str">
        <f>IFERROR(VLOOKUP($F112,product[],6,0),"error")</f>
        <v>error</v>
      </c>
      <c r="U112" s="138"/>
      <c r="V112" s="138"/>
      <c r="W112" s="617" t="str">
        <f>IF($T112="카메라",VLOOKUP($F112,드롭다운!$A:$F,2,0),"")</f>
        <v/>
      </c>
      <c r="X112" s="617" t="str">
        <f>IF($T112="카메라",VLOOKUP($F112,드롭다운!$A:$F,3,0),"")</f>
        <v/>
      </c>
      <c r="Y112" s="617" t="str">
        <f>IF($T112="카메라",VLOOKUP($F112,드롭다운!$A:$F,4,0),"")</f>
        <v/>
      </c>
      <c r="Z112" s="617" t="str">
        <f>IF($T112="카메라",VLOOKUP($F112,드롭다운!$A:$F,5,0),"")</f>
        <v/>
      </c>
      <c r="AA112" s="617"/>
    </row>
    <row r="113" spans="1:27">
      <c r="A113" s="635">
        <v>45594</v>
      </c>
      <c r="B113" s="491">
        <v>2</v>
      </c>
      <c r="C113" s="100" t="s">
        <v>8397</v>
      </c>
      <c r="D113" s="138" t="s">
        <v>140</v>
      </c>
      <c r="E113" s="413" t="s">
        <v>7576</v>
      </c>
      <c r="F113" s="413" t="s">
        <v>8081</v>
      </c>
      <c r="G113" s="413" t="s">
        <v>8082</v>
      </c>
      <c r="H113" s="413">
        <v>1</v>
      </c>
      <c r="I113" s="482">
        <v>1700000</v>
      </c>
      <c r="J113" s="457">
        <f t="shared" si="1"/>
        <v>1700000</v>
      </c>
      <c r="K113" s="457">
        <f>tbl_국내[[#This Row],[금액]]*1.1</f>
        <v>1870000.0000000002</v>
      </c>
      <c r="L113" s="483">
        <v>45601</v>
      </c>
      <c r="M113" s="417">
        <v>45601</v>
      </c>
      <c r="N113" s="482">
        <v>1870000</v>
      </c>
      <c r="O113" s="141">
        <v>45601</v>
      </c>
      <c r="P113" s="141">
        <v>45601</v>
      </c>
      <c r="Q113" s="636"/>
      <c r="R113" s="616">
        <f>YEAR(tbl_국내[[#This Row],[계산서
발행일/구매확정일]])</f>
        <v>2024</v>
      </c>
      <c r="S113" s="617">
        <f>IF(국내!$P115="",0,MONTH(국내!$P115))</f>
        <v>11</v>
      </c>
      <c r="T113" s="617" t="str">
        <f>IFERROR(VLOOKUP($F113,product[],6,0),"error")</f>
        <v>error</v>
      </c>
      <c r="U113" s="138"/>
      <c r="V113" s="138"/>
      <c r="W113" s="617" t="str">
        <f>IF($T113="카메라",VLOOKUP($F113,드롭다운!$A:$F,2,0),"")</f>
        <v/>
      </c>
      <c r="X113" s="617" t="str">
        <f>IF($T113="카메라",VLOOKUP($F113,드롭다운!$A:$F,3,0),"")</f>
        <v/>
      </c>
      <c r="Y113" s="617" t="str">
        <f>IF($T113="카메라",VLOOKUP($F113,드롭다운!$A:$F,4,0),"")</f>
        <v/>
      </c>
      <c r="Z113" s="617" t="str">
        <f>IF($T113="카메라",VLOOKUP($F113,드롭다운!$A:$F,5,0),"")</f>
        <v/>
      </c>
      <c r="AA113" s="617"/>
    </row>
    <row r="114" spans="1:27">
      <c r="A114" s="135">
        <v>45601</v>
      </c>
      <c r="B114" s="491">
        <v>2</v>
      </c>
      <c r="C114" s="100" t="s">
        <v>8399</v>
      </c>
      <c r="D114" s="138" t="s">
        <v>128</v>
      </c>
      <c r="E114" s="138" t="s">
        <v>8119</v>
      </c>
      <c r="F114" s="138" t="s">
        <v>103</v>
      </c>
      <c r="G114" s="138" t="s">
        <v>7523</v>
      </c>
      <c r="H114" s="138">
        <v>1</v>
      </c>
      <c r="I114" s="457">
        <v>4222800</v>
      </c>
      <c r="J114" s="457">
        <f t="shared" si="1"/>
        <v>4222800</v>
      </c>
      <c r="K114" s="457">
        <f>tbl_국내[[#This Row],[금액]]*1.1</f>
        <v>4645080</v>
      </c>
      <c r="L114" s="458">
        <v>45603</v>
      </c>
      <c r="M114" s="141">
        <v>45603</v>
      </c>
      <c r="N114" s="457" t="s">
        <v>172</v>
      </c>
      <c r="O114" s="141" t="s">
        <v>172</v>
      </c>
      <c r="P114" s="141">
        <v>45603</v>
      </c>
      <c r="Q114" s="616"/>
      <c r="R114" s="616">
        <f>YEAR(tbl_국내[[#This Row],[계산서
발행일/구매확정일]])</f>
        <v>2024</v>
      </c>
      <c r="S114" s="617">
        <f>IF(국내!$P117="",0,MONTH(국내!$P117))</f>
        <v>10</v>
      </c>
      <c r="T114" s="617" t="str">
        <f>IFERROR(VLOOKUP($F114,product[],6,0),"error")</f>
        <v>카메라</v>
      </c>
      <c r="U114" s="138"/>
      <c r="V114" s="138"/>
      <c r="W114" s="617" t="str">
        <f>IF($T114="카메라",VLOOKUP($F114,드롭다운!$A:$F,2,0),"")</f>
        <v>VGA</v>
      </c>
      <c r="X114" s="617" t="str">
        <f>IF($T114="카메라",VLOOKUP($F114,드롭다운!$A:$F,3,0),"")</f>
        <v>Radiometric</v>
      </c>
      <c r="Y114" s="617" t="str">
        <f>IF($T114="카메라",VLOOKUP($F114,드롭다운!$A:$F,4,0),"")</f>
        <v>Network</v>
      </c>
      <c r="Z114" s="617">
        <f>IF($T114="카메라",VLOOKUP($F114,드롭다운!$A:$F,5,0),"")</f>
        <v>17</v>
      </c>
      <c r="AA114" s="617"/>
    </row>
    <row r="115" spans="1:27">
      <c r="A115" s="135">
        <v>45604</v>
      </c>
      <c r="B115" s="491">
        <v>3</v>
      </c>
      <c r="C115" s="100" t="s">
        <v>8400</v>
      </c>
      <c r="D115" s="138" t="s">
        <v>143</v>
      </c>
      <c r="E115" s="138" t="s">
        <v>8220</v>
      </c>
      <c r="F115" s="138" t="s">
        <v>8221</v>
      </c>
      <c r="G115" s="138" t="s">
        <v>8222</v>
      </c>
      <c r="H115" s="138">
        <v>1</v>
      </c>
      <c r="I115" s="457">
        <v>450000</v>
      </c>
      <c r="J115" s="457">
        <f t="shared" si="1"/>
        <v>450000</v>
      </c>
      <c r="K115" s="457">
        <f>tbl_국내[[#This Row],[금액]]*1.1</f>
        <v>495000.00000000006</v>
      </c>
      <c r="L115" s="458">
        <v>45604</v>
      </c>
      <c r="M115" s="141">
        <v>45604</v>
      </c>
      <c r="N115" s="457">
        <v>495000</v>
      </c>
      <c r="O115" s="141">
        <v>45737</v>
      </c>
      <c r="P115" s="141">
        <v>45604</v>
      </c>
      <c r="Q115" s="616"/>
      <c r="R115" s="616">
        <f>YEAR(tbl_국내[[#This Row],[계산서
발행일/구매확정일]])</f>
        <v>2024</v>
      </c>
      <c r="S115" s="617">
        <f>IF(국내!$P118="",0,MONTH(국내!$P118))</f>
        <v>10</v>
      </c>
      <c r="T115" s="617" t="str">
        <f>IFERROR(VLOOKUP($F115,product[],6,0),"error")</f>
        <v>error</v>
      </c>
      <c r="U115" s="138"/>
      <c r="V115" s="138"/>
      <c r="W115" s="617" t="str">
        <f>IF($T115="카메라",VLOOKUP($F115,드롭다운!$A:$F,2,0),"")</f>
        <v/>
      </c>
      <c r="X115" s="617" t="str">
        <f>IF($T115="카메라",VLOOKUP($F115,드롭다운!$A:$F,3,0),"")</f>
        <v/>
      </c>
      <c r="Y115" s="617" t="str">
        <f>IF($T115="카메라",VLOOKUP($F115,드롭다운!$A:$F,4,0),"")</f>
        <v/>
      </c>
      <c r="Z115" s="617" t="str">
        <f>IF($T115="카메라",VLOOKUP($F115,드롭다운!$A:$F,5,0),"")</f>
        <v/>
      </c>
      <c r="AA115" s="617"/>
    </row>
    <row r="116" spans="1:27">
      <c r="A116" s="135">
        <v>45580</v>
      </c>
      <c r="B116" s="491">
        <v>1</v>
      </c>
      <c r="C116" s="100" t="s">
        <v>8401</v>
      </c>
      <c r="D116" s="138" t="s">
        <v>127</v>
      </c>
      <c r="E116" s="138" t="s">
        <v>7572</v>
      </c>
      <c r="F116" s="138" t="s">
        <v>8010</v>
      </c>
      <c r="G116" s="138" t="s">
        <v>8011</v>
      </c>
      <c r="H116" s="138">
        <v>1</v>
      </c>
      <c r="I116" s="457">
        <v>2416000</v>
      </c>
      <c r="J116" s="457">
        <f t="shared" si="1"/>
        <v>2416000</v>
      </c>
      <c r="K116" s="457">
        <f>tbl_국내[[#This Row],[금액]]*1.1</f>
        <v>2657600</v>
      </c>
      <c r="L116" s="458">
        <v>45604</v>
      </c>
      <c r="M116" s="458">
        <v>45604</v>
      </c>
      <c r="N116" s="457">
        <v>2657600</v>
      </c>
      <c r="O116" s="141">
        <v>45611</v>
      </c>
      <c r="P116" s="141">
        <v>45604</v>
      </c>
      <c r="Q116" s="616"/>
      <c r="R116" s="616">
        <f>YEAR(tbl_국내[[#This Row],[계산서
발행일/구매확정일]])</f>
        <v>2024</v>
      </c>
      <c r="S116" s="617">
        <f>IF(국내!$P119="",0,MONTH(국내!$P119))</f>
        <v>10</v>
      </c>
      <c r="T116" s="617" t="str">
        <f>IFERROR(VLOOKUP($F116,product[],6,0),"error")</f>
        <v>카메라</v>
      </c>
      <c r="U116" s="138"/>
      <c r="V116" s="138"/>
      <c r="W116" s="617" t="str">
        <f>IF($T116="카메라",VLOOKUP($F116,드롭다운!$A:$F,2,0),"")</f>
        <v>QVGA</v>
      </c>
      <c r="X116" s="617" t="str">
        <f>IF($T116="카메라",VLOOKUP($F116,드롭다운!$A:$F,3,0),"")</f>
        <v>Radiometric</v>
      </c>
      <c r="Y116" s="617" t="str">
        <f>IF($T116="카메라",VLOOKUP($F116,드롭다운!$A:$F,4,0),"")</f>
        <v>Analogue</v>
      </c>
      <c r="Z116" s="617">
        <f>IF($T116="카메라",VLOOKUP($F116,드롭다운!$A:$F,5,0),"")</f>
        <v>17</v>
      </c>
      <c r="AA116" s="617"/>
    </row>
    <row r="117" spans="1:27">
      <c r="A117" s="135">
        <v>45567</v>
      </c>
      <c r="B117" s="491">
        <v>7</v>
      </c>
      <c r="C117" s="100" t="s">
        <v>8393</v>
      </c>
      <c r="D117" s="138" t="s">
        <v>7640</v>
      </c>
      <c r="E117" s="138" t="s">
        <v>7572</v>
      </c>
      <c r="F117" s="138" t="s">
        <v>7645</v>
      </c>
      <c r="G117" s="138" t="s">
        <v>7646</v>
      </c>
      <c r="H117" s="138">
        <v>1</v>
      </c>
      <c r="I117" s="457">
        <v>58900000</v>
      </c>
      <c r="J117" s="457">
        <f t="shared" si="1"/>
        <v>58900000</v>
      </c>
      <c r="K117" s="457">
        <f>tbl_국내[[#This Row],[금액]]*1.1</f>
        <v>64790000.000000007</v>
      </c>
      <c r="L117" s="458">
        <v>45626</v>
      </c>
      <c r="M117" s="141">
        <v>45611</v>
      </c>
      <c r="N117" s="457">
        <v>73590000</v>
      </c>
      <c r="O117" s="141">
        <v>45604</v>
      </c>
      <c r="P117" s="141">
        <v>45596</v>
      </c>
      <c r="Q117" s="616"/>
      <c r="R117" s="616">
        <f>YEAR(tbl_국내[[#This Row],[계산서
발행일/구매확정일]])</f>
        <v>2024</v>
      </c>
      <c r="S117" s="617">
        <f>IF(국내!$P105="",0,MONTH(국내!$P105))</f>
        <v>10</v>
      </c>
      <c r="T117" s="617" t="str">
        <f>IFERROR(VLOOKUP($F117,product[],6,0),"error")</f>
        <v>error</v>
      </c>
      <c r="U117" s="138"/>
      <c r="V117" s="138"/>
      <c r="W117" s="617" t="str">
        <f>IF($T117="카메라",VLOOKUP($F117,드롭다운!$A:$F,2,0),"")</f>
        <v/>
      </c>
      <c r="X117" s="617" t="str">
        <f>IF($T117="카메라",VLOOKUP($F117,드롭다운!$A:$F,3,0),"")</f>
        <v/>
      </c>
      <c r="Y117" s="617" t="str">
        <f>IF($T117="카메라",VLOOKUP($F117,드롭다운!$A:$F,4,0),"")</f>
        <v/>
      </c>
      <c r="Z117" s="617" t="str">
        <f>IF($T117="카메라",VLOOKUP($F117,드롭다운!$A:$F,5,0),"")</f>
        <v/>
      </c>
      <c r="AA117" s="617"/>
    </row>
    <row r="118" spans="1:27">
      <c r="A118" s="467">
        <v>45567</v>
      </c>
      <c r="B118" s="491">
        <v>7</v>
      </c>
      <c r="C118" s="100" t="s">
        <v>8393</v>
      </c>
      <c r="D118" s="462" t="s">
        <v>7640</v>
      </c>
      <c r="E118" s="462" t="s">
        <v>7570</v>
      </c>
      <c r="F118" s="462" t="s">
        <v>7665</v>
      </c>
      <c r="G118" s="462" t="s">
        <v>7647</v>
      </c>
      <c r="H118" s="462">
        <v>1</v>
      </c>
      <c r="I118" s="484">
        <v>6000000</v>
      </c>
      <c r="J118" s="457">
        <f t="shared" si="1"/>
        <v>6000000</v>
      </c>
      <c r="K118" s="457">
        <f>tbl_국내[[#This Row],[금액]]*1.1</f>
        <v>6600000.0000000009</v>
      </c>
      <c r="L118" s="485">
        <v>45626</v>
      </c>
      <c r="M118" s="469">
        <v>45611</v>
      </c>
      <c r="N118" s="484">
        <v>0</v>
      </c>
      <c r="O118" s="469">
        <v>45604</v>
      </c>
      <c r="P118" s="141">
        <v>45596</v>
      </c>
      <c r="Q118" s="637"/>
      <c r="R118" s="616">
        <f>YEAR(tbl_국내[[#This Row],[계산서
발행일/구매확정일]])</f>
        <v>2024</v>
      </c>
      <c r="S118" s="617">
        <f>IF(국내!$P106="",0,MONTH(국내!$P106))</f>
        <v>11</v>
      </c>
      <c r="T118" s="617" t="str">
        <f>IFERROR(VLOOKUP($F118,product[],6,0),"error")</f>
        <v>error</v>
      </c>
      <c r="U118" s="138"/>
      <c r="V118" s="138"/>
      <c r="W118" s="617" t="str">
        <f>IF($T118="카메라",VLOOKUP($F118,드롭다운!$A:$F,2,0),"")</f>
        <v/>
      </c>
      <c r="X118" s="617" t="str">
        <f>IF($T118="카메라",VLOOKUP($F118,드롭다운!$A:$F,3,0),"")</f>
        <v/>
      </c>
      <c r="Y118" s="617" t="str">
        <f>IF($T118="카메라",VLOOKUP($F118,드롭다운!$A:$F,4,0),"")</f>
        <v/>
      </c>
      <c r="Z118" s="617" t="str">
        <f>IF($T118="카메라",VLOOKUP($F118,드롭다운!$A:$F,5,0),"")</f>
        <v/>
      </c>
      <c r="AA118" s="617"/>
    </row>
    <row r="119" spans="1:27">
      <c r="A119" s="135">
        <v>45567</v>
      </c>
      <c r="B119" s="491">
        <v>7</v>
      </c>
      <c r="C119" s="100" t="s">
        <v>8393</v>
      </c>
      <c r="D119" s="138" t="s">
        <v>7640</v>
      </c>
      <c r="E119" s="138" t="s">
        <v>7570</v>
      </c>
      <c r="F119" s="138" t="s">
        <v>8242</v>
      </c>
      <c r="G119" s="138" t="s">
        <v>7647</v>
      </c>
      <c r="H119" s="138">
        <v>1</v>
      </c>
      <c r="I119" s="457">
        <v>2000000</v>
      </c>
      <c r="J119" s="457">
        <f t="shared" si="1"/>
        <v>2000000</v>
      </c>
      <c r="K119" s="457">
        <f>tbl_국내[[#This Row],[금액]]*1.1</f>
        <v>2200000</v>
      </c>
      <c r="L119" s="458">
        <v>45626</v>
      </c>
      <c r="M119" s="141">
        <v>45611</v>
      </c>
      <c r="N119" s="457">
        <v>0</v>
      </c>
      <c r="O119" s="141">
        <v>45604</v>
      </c>
      <c r="P119" s="141">
        <v>45596</v>
      </c>
      <c r="Q119" s="616"/>
      <c r="R119" s="616">
        <f>YEAR(tbl_국내[[#This Row],[계산서
발행일/구매확정일]])</f>
        <v>2024</v>
      </c>
      <c r="S119" s="617">
        <f>IF(국내!$P107="",0,MONTH(국내!$P107))</f>
        <v>11</v>
      </c>
      <c r="T119" s="617" t="str">
        <f>IFERROR(VLOOKUP($F119,product[],6,0),"error")</f>
        <v>error</v>
      </c>
      <c r="U119" s="138"/>
      <c r="V119" s="138"/>
      <c r="W119" s="617" t="str">
        <f>IF($T119="카메라",VLOOKUP($F119,드롭다운!$A:$F,2,0),"")</f>
        <v/>
      </c>
      <c r="X119" s="617" t="str">
        <f>IF($T119="카메라",VLOOKUP($F119,드롭다운!$A:$F,3,0),"")</f>
        <v/>
      </c>
      <c r="Y119" s="617" t="str">
        <f>IF($T119="카메라",VLOOKUP($F119,드롭다운!$A:$F,4,0),"")</f>
        <v/>
      </c>
      <c r="Z119" s="617" t="str">
        <f>IF($T119="카메라",VLOOKUP($F119,드롭다운!$A:$F,5,0),"")</f>
        <v/>
      </c>
      <c r="AA119" s="617"/>
    </row>
    <row r="120" spans="1:27">
      <c r="A120" s="135">
        <v>45611</v>
      </c>
      <c r="B120" s="491">
        <v>1</v>
      </c>
      <c r="C120" s="100" t="s">
        <v>8402</v>
      </c>
      <c r="D120" s="138" t="s">
        <v>128</v>
      </c>
      <c r="E120" s="144" t="s">
        <v>8121</v>
      </c>
      <c r="F120" s="144" t="s">
        <v>108</v>
      </c>
      <c r="G120" s="144" t="s">
        <v>8171</v>
      </c>
      <c r="H120" s="144">
        <v>1</v>
      </c>
      <c r="I120" s="638">
        <v>1300000</v>
      </c>
      <c r="J120" s="457">
        <f t="shared" si="1"/>
        <v>1300000</v>
      </c>
      <c r="K120" s="457">
        <f>tbl_국내[[#This Row],[금액]]*1.1</f>
        <v>1430000</v>
      </c>
      <c r="L120" s="135">
        <v>45615</v>
      </c>
      <c r="M120" s="135">
        <v>45615</v>
      </c>
      <c r="N120" s="496" t="s">
        <v>172</v>
      </c>
      <c r="O120" s="135" t="s">
        <v>172</v>
      </c>
      <c r="P120" s="141">
        <v>45615</v>
      </c>
      <c r="Q120" s="639"/>
      <c r="R120" s="616">
        <f>YEAR(tbl_국내[[#This Row],[계산서
발행일/구매확정일]])</f>
        <v>2024</v>
      </c>
      <c r="S120" s="617">
        <f>IF(국내!$P120="",0,MONTH(국내!$P120))</f>
        <v>11</v>
      </c>
      <c r="T120" s="617" t="str">
        <f>IFERROR(VLOOKUP($F120,product[],6,0),"error")</f>
        <v>error</v>
      </c>
      <c r="U120" s="138"/>
      <c r="V120" s="138"/>
      <c r="W120" s="617" t="str">
        <f>IF($T120="카메라",VLOOKUP($F120,드롭다운!$A:$F,2,0),"")</f>
        <v/>
      </c>
      <c r="X120" s="617" t="str">
        <f>IF($T120="카메라",VLOOKUP($F120,드롭다운!$A:$F,3,0),"")</f>
        <v/>
      </c>
      <c r="Y120" s="617" t="str">
        <f>IF($T120="카메라",VLOOKUP($F120,드롭다운!$A:$F,4,0),"")</f>
        <v/>
      </c>
      <c r="Z120" s="617" t="str">
        <f>IF($T120="카메라",VLOOKUP($F120,드롭다운!$A:$F,5,0),"")</f>
        <v/>
      </c>
      <c r="AA120" s="617"/>
    </row>
    <row r="121" spans="1:27">
      <c r="A121" s="135">
        <v>45603</v>
      </c>
      <c r="B121" s="491">
        <v>1</v>
      </c>
      <c r="C121" s="100" t="s">
        <v>8398</v>
      </c>
      <c r="D121" s="138" t="s">
        <v>8134</v>
      </c>
      <c r="E121" s="138" t="s">
        <v>7572</v>
      </c>
      <c r="F121" s="138" t="s">
        <v>8135</v>
      </c>
      <c r="G121" s="138" t="s">
        <v>8225</v>
      </c>
      <c r="H121" s="138">
        <v>1</v>
      </c>
      <c r="I121" s="457">
        <v>2866000</v>
      </c>
      <c r="J121" s="457">
        <f t="shared" si="1"/>
        <v>2866000</v>
      </c>
      <c r="K121" s="457">
        <f>tbl_국내[[#This Row],[금액]]*1.1</f>
        <v>3152600.0000000005</v>
      </c>
      <c r="L121" s="458">
        <v>45621</v>
      </c>
      <c r="M121" s="458">
        <v>45621</v>
      </c>
      <c r="N121" s="457">
        <f>2866000+286600</f>
        <v>3152600</v>
      </c>
      <c r="O121" s="141">
        <v>45603</v>
      </c>
      <c r="P121" s="141">
        <v>45602</v>
      </c>
      <c r="Q121" s="616" t="s">
        <v>8226</v>
      </c>
      <c r="R121" s="616">
        <f>YEAR(tbl_국내[[#This Row],[계산서
발행일/구매확정일]])</f>
        <v>2024</v>
      </c>
      <c r="S121" s="617">
        <f>IF(국내!$P116="",0,MONTH(국내!$P116))</f>
        <v>11</v>
      </c>
      <c r="T121" s="617" t="str">
        <f>IFERROR(VLOOKUP($F121,product[],6,0),"error")</f>
        <v>카메라</v>
      </c>
      <c r="U121" s="138"/>
      <c r="V121" s="138"/>
      <c r="W121" s="617" t="str">
        <f>IF($T121="카메라",VLOOKUP($F121,드롭다운!$A:$F,2,0),"")</f>
        <v>QVGA</v>
      </c>
      <c r="X121" s="617" t="str">
        <f>IF($T121="카메라",VLOOKUP($F121,드롭다운!$A:$F,3,0),"")</f>
        <v>Radiometric</v>
      </c>
      <c r="Y121" s="617" t="str">
        <f>IF($T121="카메라",VLOOKUP($F121,드롭다운!$A:$F,4,0),"")</f>
        <v>Analogue</v>
      </c>
      <c r="Z121" s="617">
        <f>IF($T121="카메라",VLOOKUP($F121,드롭다운!$A:$F,5,0),"")</f>
        <v>17</v>
      </c>
      <c r="AA121" s="617"/>
    </row>
    <row r="122" spans="1:27">
      <c r="A122" s="135">
        <v>45611</v>
      </c>
      <c r="B122" s="491">
        <v>1</v>
      </c>
      <c r="C122" s="100" t="s">
        <v>8402</v>
      </c>
      <c r="D122" s="138" t="s">
        <v>199</v>
      </c>
      <c r="E122" s="138" t="s">
        <v>7575</v>
      </c>
      <c r="F122" s="138" t="s">
        <v>8110</v>
      </c>
      <c r="G122" s="138" t="s">
        <v>7647</v>
      </c>
      <c r="H122" s="138">
        <v>6</v>
      </c>
      <c r="I122" s="457">
        <v>564000</v>
      </c>
      <c r="J122" s="457">
        <f t="shared" si="1"/>
        <v>3384000</v>
      </c>
      <c r="K122" s="457">
        <f>tbl_국내[[#This Row],[금액]]*1.1</f>
        <v>3722400.0000000005</v>
      </c>
      <c r="L122" s="141">
        <v>45621</v>
      </c>
      <c r="M122" s="141">
        <v>45621</v>
      </c>
      <c r="N122" s="457">
        <v>3722400</v>
      </c>
      <c r="O122" s="141">
        <v>45657</v>
      </c>
      <c r="P122" s="141">
        <v>45621</v>
      </c>
      <c r="Q122" s="616"/>
      <c r="R122" s="616">
        <f>YEAR(tbl_국내[[#This Row],[계산서
발행일/구매확정일]])</f>
        <v>2024</v>
      </c>
      <c r="S122" s="617">
        <f>IF(국내!$P122="",0,MONTH(국내!$P122))</f>
        <v>11</v>
      </c>
      <c r="T122" s="617" t="str">
        <f>IFERROR(VLOOKUP($F122,product[],6,0),"error")</f>
        <v>error</v>
      </c>
      <c r="U122" s="138"/>
      <c r="V122" s="138"/>
      <c r="W122" s="617" t="str">
        <f>IF($T122="카메라",VLOOKUP($F122,드롭다운!$A:$F,2,0),"")</f>
        <v/>
      </c>
      <c r="X122" s="617" t="str">
        <f>IF($T122="카메라",VLOOKUP($F122,드롭다운!$A:$F,3,0),"")</f>
        <v/>
      </c>
      <c r="Y122" s="617" t="str">
        <f>IF($T122="카메라",VLOOKUP($F122,드롭다운!$A:$F,4,0),"")</f>
        <v/>
      </c>
      <c r="Z122" s="617" t="str">
        <f>IF($T122="카메라",VLOOKUP($F122,드롭다운!$A:$F,5,0),"")</f>
        <v/>
      </c>
      <c r="AA122" s="617"/>
    </row>
    <row r="123" spans="1:27">
      <c r="A123" s="135">
        <v>45611</v>
      </c>
      <c r="B123" s="491">
        <v>1</v>
      </c>
      <c r="C123" s="100" t="s">
        <v>8402</v>
      </c>
      <c r="D123" s="138" t="s">
        <v>199</v>
      </c>
      <c r="E123" s="138" t="s">
        <v>7572</v>
      </c>
      <c r="F123" s="138" t="s">
        <v>8172</v>
      </c>
      <c r="G123" s="138" t="s">
        <v>168</v>
      </c>
      <c r="H123" s="138">
        <v>3</v>
      </c>
      <c r="I123" s="457">
        <v>4550000</v>
      </c>
      <c r="J123" s="457">
        <f t="shared" si="1"/>
        <v>13650000</v>
      </c>
      <c r="K123" s="457">
        <f>tbl_국내[[#This Row],[금액]]*1.1</f>
        <v>15015000.000000002</v>
      </c>
      <c r="L123" s="141">
        <v>45635</v>
      </c>
      <c r="M123" s="141">
        <v>45635</v>
      </c>
      <c r="N123" s="457">
        <v>15015000</v>
      </c>
      <c r="O123" s="141">
        <v>45681</v>
      </c>
      <c r="P123" s="141">
        <v>45635</v>
      </c>
      <c r="Q123" s="616"/>
      <c r="R123" s="616">
        <f>YEAR(tbl_국내[[#This Row],[계산서
발행일/구매확정일]])</f>
        <v>2024</v>
      </c>
      <c r="S123" s="617">
        <f>IF(국내!$P123="",0,MONTH(국내!$P123))</f>
        <v>12</v>
      </c>
      <c r="T123" s="617" t="str">
        <f>IFERROR(VLOOKUP($F123,product[],6,0),"error")</f>
        <v>카메라</v>
      </c>
      <c r="U123" s="138"/>
      <c r="V123" s="138"/>
      <c r="W123" s="617" t="str">
        <f>IF($T123="카메라",VLOOKUP($F123,드롭다운!$A:$F,2,0),"")</f>
        <v>VGA</v>
      </c>
      <c r="X123" s="617" t="str">
        <f>IF($T123="카메라",VLOOKUP($F123,드롭다운!$A:$F,3,0),"")</f>
        <v>Security</v>
      </c>
      <c r="Y123" s="617" t="str">
        <f>IF($T123="카메라",VLOOKUP($F123,드롭다운!$A:$F,4,0),"")</f>
        <v>Network</v>
      </c>
      <c r="Z123" s="617">
        <f>IF($T123="카메라",VLOOKUP($F123,드롭다운!$A:$F,5,0),"")</f>
        <v>17</v>
      </c>
      <c r="AA123" s="617"/>
    </row>
    <row r="124" spans="1:27">
      <c r="A124" s="135">
        <v>45600</v>
      </c>
      <c r="B124" s="491">
        <v>2</v>
      </c>
      <c r="C124" s="100" t="s">
        <v>8403</v>
      </c>
      <c r="D124" s="138" t="s">
        <v>8032</v>
      </c>
      <c r="E124" s="138" t="s">
        <v>8035</v>
      </c>
      <c r="F124" s="138" t="s">
        <v>8033</v>
      </c>
      <c r="G124" s="138" t="s">
        <v>168</v>
      </c>
      <c r="H124" s="138">
        <v>4</v>
      </c>
      <c r="I124" s="457">
        <v>5341000</v>
      </c>
      <c r="J124" s="457">
        <f t="shared" si="1"/>
        <v>21364000</v>
      </c>
      <c r="K124" s="457">
        <f>tbl_국내[[#This Row],[금액]]*1.1</f>
        <v>23500400.000000004</v>
      </c>
      <c r="L124" s="141">
        <v>45636</v>
      </c>
      <c r="M124" s="141">
        <v>45636</v>
      </c>
      <c r="N124" s="457">
        <v>23500400</v>
      </c>
      <c r="O124" s="141">
        <v>45638</v>
      </c>
      <c r="P124" s="141">
        <v>45636</v>
      </c>
      <c r="Q124" s="616"/>
      <c r="R124" s="616">
        <f>YEAR(tbl_국내[[#This Row],[계산서
발행일/구매확정일]])</f>
        <v>2024</v>
      </c>
      <c r="S124" s="617">
        <f>IF(국내!$P124="",0,MONTH(국내!$P124))</f>
        <v>12</v>
      </c>
      <c r="T124" s="617" t="str">
        <f>IFERROR(VLOOKUP($F124,product[],6,0),"error")</f>
        <v>카메라</v>
      </c>
      <c r="U124" s="138"/>
      <c r="V124" s="138"/>
      <c r="W124" s="617" t="str">
        <f>IF($T124="카메라",VLOOKUP($F124,드롭다운!$A:$F,2,0),"")</f>
        <v>VGA</v>
      </c>
      <c r="X124" s="617" t="str">
        <f>IF($T124="카메라",VLOOKUP($F124,드롭다운!$A:$F,3,0),"")</f>
        <v>Security</v>
      </c>
      <c r="Y124" s="617" t="str">
        <f>IF($T124="카메라",VLOOKUP($F124,드롭다운!$A:$F,4,0),"")</f>
        <v>Analogue</v>
      </c>
      <c r="Z124" s="617">
        <f>IF($T124="카메라",VLOOKUP($F124,드롭다운!$A:$F,5,0),"")</f>
        <v>12</v>
      </c>
      <c r="AA124" s="617"/>
    </row>
    <row r="125" spans="1:27">
      <c r="A125" s="135">
        <v>45637</v>
      </c>
      <c r="B125" s="491">
        <v>1</v>
      </c>
      <c r="C125" s="100" t="s">
        <v>8404</v>
      </c>
      <c r="D125" s="138" t="s">
        <v>247</v>
      </c>
      <c r="E125" s="138" t="s">
        <v>7572</v>
      </c>
      <c r="F125" s="138" t="s">
        <v>8262</v>
      </c>
      <c r="G125" s="138" t="s">
        <v>168</v>
      </c>
      <c r="H125" s="138">
        <v>1</v>
      </c>
      <c r="I125" s="457">
        <v>4233150</v>
      </c>
      <c r="J125" s="457">
        <f t="shared" si="1"/>
        <v>4233150</v>
      </c>
      <c r="K125" s="457">
        <f>tbl_국내[[#This Row],[금액]]*1.1</f>
        <v>4656465</v>
      </c>
      <c r="L125" s="141">
        <v>45637</v>
      </c>
      <c r="M125" s="141">
        <v>45637</v>
      </c>
      <c r="N125" s="457">
        <v>4656465</v>
      </c>
      <c r="O125" s="141">
        <v>45649</v>
      </c>
      <c r="P125" s="141">
        <v>45637</v>
      </c>
      <c r="Q125" s="616"/>
      <c r="R125" s="616">
        <f>YEAR(tbl_국내[[#This Row],[계산서
발행일/구매확정일]])</f>
        <v>2024</v>
      </c>
      <c r="S125" s="617">
        <f>IF(국내!$P125="",0,MONTH(국내!$P125))</f>
        <v>12</v>
      </c>
      <c r="T125" s="617" t="str">
        <f>IFERROR(VLOOKUP($F125,product[],6,0),"error")</f>
        <v>카메라</v>
      </c>
      <c r="U125" s="138"/>
      <c r="V125" s="138"/>
      <c r="W125" s="617" t="str">
        <f>IF($T125="카메라",VLOOKUP($F125,드롭다운!$A:$F,2,0),"")</f>
        <v>VGA</v>
      </c>
      <c r="X125" s="617" t="str">
        <f>IF($T125="카메라",VLOOKUP($F125,드롭다운!$A:$F,3,0),"")</f>
        <v>Security</v>
      </c>
      <c r="Y125" s="617" t="str">
        <f>IF($T125="카메라",VLOOKUP($F125,드롭다운!$A:$F,4,0),"")</f>
        <v>Analogue</v>
      </c>
      <c r="Z125" s="617">
        <f>IF($T125="카메라",VLOOKUP($F125,드롭다운!$A:$F,5,0),"")</f>
        <v>17</v>
      </c>
      <c r="AA125" s="617"/>
    </row>
    <row r="126" spans="1:27">
      <c r="A126" s="135">
        <v>45616</v>
      </c>
      <c r="B126" s="491">
        <v>1</v>
      </c>
      <c r="C126" s="100" t="s">
        <v>8405</v>
      </c>
      <c r="D126" s="138" t="s">
        <v>127</v>
      </c>
      <c r="E126" s="138" t="s">
        <v>7572</v>
      </c>
      <c r="F126" s="138" t="s">
        <v>8191</v>
      </c>
      <c r="G126" s="138" t="s">
        <v>8192</v>
      </c>
      <c r="H126" s="138">
        <v>1</v>
      </c>
      <c r="I126" s="457">
        <v>2416000</v>
      </c>
      <c r="J126" s="457">
        <f t="shared" si="1"/>
        <v>2416000</v>
      </c>
      <c r="K126" s="457">
        <f>tbl_국내[[#This Row],[금액]]*1.1</f>
        <v>2657600</v>
      </c>
      <c r="L126" s="141">
        <v>45637</v>
      </c>
      <c r="M126" s="141">
        <v>45637</v>
      </c>
      <c r="N126" s="457">
        <v>5249200</v>
      </c>
      <c r="O126" s="141">
        <v>45639</v>
      </c>
      <c r="P126" s="141">
        <v>45637</v>
      </c>
      <c r="Q126" s="616"/>
      <c r="R126" s="616">
        <f>YEAR(tbl_국내[[#This Row],[계산서
발행일/구매확정일]])</f>
        <v>2024</v>
      </c>
      <c r="S126" s="617">
        <f>IF(국내!$P126="",0,MONTH(국내!$P126))</f>
        <v>12</v>
      </c>
      <c r="T126" s="617" t="str">
        <f>IFERROR(VLOOKUP($F126,product[],6,0),"error")</f>
        <v>카메라</v>
      </c>
      <c r="U126" s="138"/>
      <c r="V126" s="138"/>
      <c r="W126" s="617" t="str">
        <f>IF($T126="카메라",VLOOKUP($F126,드롭다운!$A:$F,2,0),"")</f>
        <v>QVGA</v>
      </c>
      <c r="X126" s="617" t="str">
        <f>IF($T126="카메라",VLOOKUP($F126,드롭다운!$A:$F,3,0),"")</f>
        <v>Radiometric</v>
      </c>
      <c r="Y126" s="617" t="str">
        <f>IF($T126="카메라",VLOOKUP($F126,드롭다운!$A:$F,4,0),"")</f>
        <v>Analogue</v>
      </c>
      <c r="Z126" s="617">
        <f>IF($T126="카메라",VLOOKUP($F126,드롭다운!$A:$F,5,0),"")</f>
        <v>17</v>
      </c>
      <c r="AA126" s="617"/>
    </row>
    <row r="127" spans="1:27">
      <c r="A127" s="135">
        <v>45616</v>
      </c>
      <c r="B127" s="491">
        <v>1</v>
      </c>
      <c r="C127" s="100" t="s">
        <v>8405</v>
      </c>
      <c r="D127" s="138" t="s">
        <v>127</v>
      </c>
      <c r="E127" s="138" t="s">
        <v>7572</v>
      </c>
      <c r="F127" s="138" t="s">
        <v>8191</v>
      </c>
      <c r="G127" s="138" t="s">
        <v>8193</v>
      </c>
      <c r="H127" s="138">
        <v>1</v>
      </c>
      <c r="I127" s="457">
        <v>2356000</v>
      </c>
      <c r="J127" s="457">
        <f t="shared" si="1"/>
        <v>2356000</v>
      </c>
      <c r="K127" s="457">
        <f>tbl_국내[[#This Row],[금액]]*1.1</f>
        <v>2591600</v>
      </c>
      <c r="L127" s="141">
        <v>45637</v>
      </c>
      <c r="M127" s="141">
        <v>45637</v>
      </c>
      <c r="N127" s="457">
        <v>0</v>
      </c>
      <c r="O127" s="141">
        <v>45639</v>
      </c>
      <c r="P127" s="141">
        <v>45637</v>
      </c>
      <c r="Q127" s="616"/>
      <c r="R127" s="616">
        <f>YEAR(tbl_국내[[#This Row],[계산서
발행일/구매확정일]])</f>
        <v>2024</v>
      </c>
      <c r="S127" s="617">
        <f>IF(국내!$P127="",0,MONTH(국내!$P127))</f>
        <v>12</v>
      </c>
      <c r="T127" s="617" t="str">
        <f>IFERROR(VLOOKUP($F127,product[],6,0),"error")</f>
        <v>카메라</v>
      </c>
      <c r="U127" s="138"/>
      <c r="V127" s="138"/>
      <c r="W127" s="617" t="str">
        <f>IF($T127="카메라",VLOOKUP($F127,드롭다운!$A:$F,2,0),"")</f>
        <v>QVGA</v>
      </c>
      <c r="X127" s="617" t="str">
        <f>IF($T127="카메라",VLOOKUP($F127,드롭다운!$A:$F,3,0),"")</f>
        <v>Radiometric</v>
      </c>
      <c r="Y127" s="617" t="str">
        <f>IF($T127="카메라",VLOOKUP($F127,드롭다운!$A:$F,4,0),"")</f>
        <v>Analogue</v>
      </c>
      <c r="Z127" s="617">
        <f>IF($T127="카메라",VLOOKUP($F127,드롭다운!$A:$F,5,0),"")</f>
        <v>17</v>
      </c>
      <c r="AA127" s="617"/>
    </row>
    <row r="128" spans="1:27">
      <c r="A128" s="135">
        <v>45616</v>
      </c>
      <c r="B128" s="491">
        <v>1</v>
      </c>
      <c r="C128" s="100" t="s">
        <v>8405</v>
      </c>
      <c r="D128" s="138" t="s">
        <v>127</v>
      </c>
      <c r="E128" s="138" t="s">
        <v>7572</v>
      </c>
      <c r="F128" s="138" t="s">
        <v>252</v>
      </c>
      <c r="G128" s="138" t="s">
        <v>8193</v>
      </c>
      <c r="H128" s="138">
        <v>1</v>
      </c>
      <c r="I128" s="457">
        <v>2356000</v>
      </c>
      <c r="J128" s="457">
        <f t="shared" si="1"/>
        <v>2356000</v>
      </c>
      <c r="K128" s="457">
        <f>tbl_국내[[#This Row],[금액]]*1.1</f>
        <v>2591600</v>
      </c>
      <c r="L128" s="141">
        <v>45637</v>
      </c>
      <c r="M128" s="141">
        <v>45637</v>
      </c>
      <c r="N128" s="457">
        <v>2591600</v>
      </c>
      <c r="O128" s="141">
        <v>45639</v>
      </c>
      <c r="P128" s="141">
        <v>45637</v>
      </c>
      <c r="Q128" s="616"/>
      <c r="R128" s="616">
        <f>YEAR(tbl_국내[[#This Row],[계산서
발행일/구매확정일]])</f>
        <v>2024</v>
      </c>
      <c r="S128" s="617">
        <f>IF(국내!$P128="",0,MONTH(국내!$P128))</f>
        <v>12</v>
      </c>
      <c r="T128" s="617" t="str">
        <f>IFERROR(VLOOKUP($F128,product[],6,0),"error")</f>
        <v>카메라</v>
      </c>
      <c r="U128" s="138"/>
      <c r="V128" s="138"/>
      <c r="W128" s="617" t="str">
        <f>IF($T128="카메라",VLOOKUP($F128,드롭다운!$A:$F,2,0),"")</f>
        <v>QVGA</v>
      </c>
      <c r="X128" s="617" t="str">
        <f>IF($T128="카메라",VLOOKUP($F128,드롭다운!$A:$F,3,0),"")</f>
        <v>Radiometric</v>
      </c>
      <c r="Y128" s="617" t="str">
        <f>IF($T128="카메라",VLOOKUP($F128,드롭다운!$A:$F,4,0),"")</f>
        <v>Analogue</v>
      </c>
      <c r="Z128" s="617">
        <f>IF($T128="카메라",VLOOKUP($F128,드롭다운!$A:$F,5,0),"")</f>
        <v>17</v>
      </c>
      <c r="AA128" s="617"/>
    </row>
    <row r="129" spans="1:27">
      <c r="A129" s="467">
        <v>45608</v>
      </c>
      <c r="B129" s="491">
        <v>2</v>
      </c>
      <c r="C129" s="100" t="s">
        <v>8406</v>
      </c>
      <c r="D129" s="462" t="s">
        <v>8157</v>
      </c>
      <c r="E129" s="462" t="s">
        <v>7572</v>
      </c>
      <c r="F129" s="462" t="s">
        <v>8234</v>
      </c>
      <c r="G129" s="462" t="s">
        <v>8158</v>
      </c>
      <c r="H129" s="462">
        <v>1</v>
      </c>
      <c r="I129" s="484">
        <f>67000000/1.1</f>
        <v>60909090.909090906</v>
      </c>
      <c r="J129" s="457">
        <f t="shared" si="1"/>
        <v>60909090.909090906</v>
      </c>
      <c r="K129" s="457">
        <f>tbl_국내[[#This Row],[금액]]*1.1</f>
        <v>67000000</v>
      </c>
      <c r="L129" s="141">
        <v>45638</v>
      </c>
      <c r="M129" s="141">
        <v>45638</v>
      </c>
      <c r="N129" s="484">
        <v>67000000</v>
      </c>
      <c r="O129" s="469">
        <v>45642</v>
      </c>
      <c r="P129" s="141">
        <v>45638</v>
      </c>
      <c r="Q129" s="637"/>
      <c r="R129" s="616">
        <f>YEAR(tbl_국내[[#This Row],[계산서
발행일/구매확정일]])</f>
        <v>2024</v>
      </c>
      <c r="S129" s="617">
        <f>IF(국내!$P129="",0,MONTH(국내!$P129))</f>
        <v>12</v>
      </c>
      <c r="T129" s="617" t="str">
        <f>IFERROR(VLOOKUP($F129,product[],6,0),"error")</f>
        <v>error</v>
      </c>
      <c r="U129" s="138"/>
      <c r="V129" s="138"/>
      <c r="W129" s="617" t="str">
        <f>IF($T129="카메라",VLOOKUP($F129,드롭다운!$A:$F,2,0),"")</f>
        <v/>
      </c>
      <c r="X129" s="617" t="str">
        <f>IF($T129="카메라",VLOOKUP($F129,드롭다운!$A:$F,3,0),"")</f>
        <v/>
      </c>
      <c r="Y129" s="617" t="str">
        <f>IF($T129="카메라",VLOOKUP($F129,드롭다운!$A:$F,4,0),"")</f>
        <v/>
      </c>
      <c r="Z129" s="617" t="str">
        <f>IF($T129="카메라",VLOOKUP($F129,드롭다운!$A:$F,5,0),"")</f>
        <v/>
      </c>
      <c r="AA129" s="617"/>
    </row>
    <row r="130" spans="1:27">
      <c r="A130" s="467">
        <v>45567</v>
      </c>
      <c r="B130" s="491">
        <v>1</v>
      </c>
      <c r="C130" s="100" t="s">
        <v>8396</v>
      </c>
      <c r="D130" s="462" t="s">
        <v>7555</v>
      </c>
      <c r="E130" s="462" t="s">
        <v>7572</v>
      </c>
      <c r="F130" s="462" t="s">
        <v>7556</v>
      </c>
      <c r="G130" s="462" t="s">
        <v>8049</v>
      </c>
      <c r="H130" s="462">
        <v>3</v>
      </c>
      <c r="I130" s="484">
        <v>11034000</v>
      </c>
      <c r="J130" s="457">
        <f t="shared" ref="J130:J193" si="2">H130*I130</f>
        <v>33102000</v>
      </c>
      <c r="K130" s="457">
        <f>tbl_국내[[#This Row],[금액]]*1.1</f>
        <v>36412200</v>
      </c>
      <c r="L130" s="141">
        <v>45639</v>
      </c>
      <c r="M130" s="141">
        <v>45639</v>
      </c>
      <c r="N130" s="484">
        <v>46200000</v>
      </c>
      <c r="O130" s="469">
        <v>45646</v>
      </c>
      <c r="P130" s="141">
        <v>45639</v>
      </c>
      <c r="Q130" s="637" t="s">
        <v>7562</v>
      </c>
      <c r="R130" s="616">
        <f>YEAR(tbl_국내[[#This Row],[계산서
발행일/구매확정일]])</f>
        <v>2024</v>
      </c>
      <c r="S130" s="617">
        <f>IF(국내!$P130="",0,MONTH(국내!$P130))</f>
        <v>12</v>
      </c>
      <c r="T130" s="617" t="str">
        <f>IFERROR(VLOOKUP($F130,product[],6,0),"error")</f>
        <v>카메라</v>
      </c>
      <c r="U130" s="138"/>
      <c r="V130" s="138"/>
      <c r="W130" s="617" t="str">
        <f>IF($T130="카메라",VLOOKUP($F130,드롭다운!$A:$F,2,0),"")</f>
        <v>VGA</v>
      </c>
      <c r="X130" s="617" t="str">
        <f>IF($T130="카메라",VLOOKUP($F130,드롭다운!$A:$F,3,0),"")</f>
        <v>Security</v>
      </c>
      <c r="Y130" s="617" t="str">
        <f>IF($T130="카메라",VLOOKUP($F130,드롭다운!$A:$F,4,0),"")</f>
        <v>Network</v>
      </c>
      <c r="Z130" s="617">
        <f>IF($T130="카메라",VLOOKUP($F130,드롭다운!$A:$F,5,0),"")</f>
        <v>12</v>
      </c>
      <c r="AA130" s="617"/>
    </row>
    <row r="131" spans="1:27">
      <c r="A131" s="467">
        <v>45567</v>
      </c>
      <c r="B131" s="491">
        <v>1</v>
      </c>
      <c r="C131" s="100" t="s">
        <v>8396</v>
      </c>
      <c r="D131" s="462" t="s">
        <v>7555</v>
      </c>
      <c r="E131" s="462" t="s">
        <v>7559</v>
      </c>
      <c r="F131" s="462" t="s">
        <v>7560</v>
      </c>
      <c r="G131" s="462" t="s">
        <v>7561</v>
      </c>
      <c r="H131" s="462">
        <v>1</v>
      </c>
      <c r="I131" s="484">
        <v>7298000</v>
      </c>
      <c r="J131" s="457">
        <f t="shared" si="2"/>
        <v>7298000</v>
      </c>
      <c r="K131" s="457">
        <f>tbl_국내[[#This Row],[금액]]*1.1</f>
        <v>8027800.0000000009</v>
      </c>
      <c r="L131" s="141">
        <v>45639</v>
      </c>
      <c r="M131" s="141">
        <v>45639</v>
      </c>
      <c r="N131" s="484">
        <v>0</v>
      </c>
      <c r="O131" s="469">
        <v>45646</v>
      </c>
      <c r="P131" s="141">
        <v>45639</v>
      </c>
      <c r="Q131" s="637" t="s">
        <v>7562</v>
      </c>
      <c r="R131" s="616">
        <f>YEAR(tbl_국내[[#This Row],[계산서
발행일/구매확정일]])</f>
        <v>2024</v>
      </c>
      <c r="S131" s="617">
        <f>IF(국내!$P131="",0,MONTH(국내!$P131))</f>
        <v>12</v>
      </c>
      <c r="T131" s="617" t="str">
        <f>IFERROR(VLOOKUP($F131,product[],6,0),"error")</f>
        <v>error</v>
      </c>
      <c r="U131" s="138"/>
      <c r="V131" s="138"/>
      <c r="W131" s="617" t="str">
        <f>IF($T131="카메라",VLOOKUP($F131,드롭다운!$A:$F,2,0),"")</f>
        <v/>
      </c>
      <c r="X131" s="617" t="str">
        <f>IF($T131="카메라",VLOOKUP($F131,드롭다운!$A:$F,3,0),"")</f>
        <v/>
      </c>
      <c r="Y131" s="617" t="str">
        <f>IF($T131="카메라",VLOOKUP($F131,드롭다운!$A:$F,4,0),"")</f>
        <v/>
      </c>
      <c r="Z131" s="617" t="str">
        <f>IF($T131="카메라",VLOOKUP($F131,드롭다운!$A:$F,5,0),"")</f>
        <v/>
      </c>
      <c r="AA131" s="617"/>
    </row>
    <row r="132" spans="1:27">
      <c r="A132" s="635">
        <v>45567</v>
      </c>
      <c r="B132" s="491">
        <v>1</v>
      </c>
      <c r="C132" s="100" t="s">
        <v>8396</v>
      </c>
      <c r="D132" s="413" t="s">
        <v>7555</v>
      </c>
      <c r="E132" s="413" t="s">
        <v>7569</v>
      </c>
      <c r="F132" s="413" t="s">
        <v>7557</v>
      </c>
      <c r="G132" s="413" t="s">
        <v>7558</v>
      </c>
      <c r="H132" s="413">
        <v>1</v>
      </c>
      <c r="I132" s="482">
        <v>1600000</v>
      </c>
      <c r="J132" s="457">
        <f t="shared" si="2"/>
        <v>1600000</v>
      </c>
      <c r="K132" s="457">
        <f>tbl_국내[[#This Row],[금액]]*1.1</f>
        <v>1760000.0000000002</v>
      </c>
      <c r="L132" s="141">
        <v>45639</v>
      </c>
      <c r="M132" s="141">
        <v>45639</v>
      </c>
      <c r="N132" s="482">
        <v>0</v>
      </c>
      <c r="O132" s="469">
        <v>45646</v>
      </c>
      <c r="P132" s="141">
        <v>45639</v>
      </c>
      <c r="Q132" s="636" t="s">
        <v>7562</v>
      </c>
      <c r="R132" s="616">
        <f>YEAR(tbl_국내[[#This Row],[계산서
발행일/구매확정일]])</f>
        <v>2024</v>
      </c>
      <c r="S132" s="617">
        <f>IF(국내!$P132="",0,MONTH(국내!$P132))</f>
        <v>12</v>
      </c>
      <c r="T132" s="617" t="str">
        <f>IFERROR(VLOOKUP($F132,product[],6,0),"error")</f>
        <v>error</v>
      </c>
      <c r="U132" s="138"/>
      <c r="V132" s="138"/>
      <c r="W132" s="617" t="str">
        <f>IF($T132="카메라",VLOOKUP($F132,드롭다운!$A:$F,2,0),"")</f>
        <v/>
      </c>
      <c r="X132" s="617" t="str">
        <f>IF($T132="카메라",VLOOKUP($F132,드롭다운!$A:$F,3,0),"")</f>
        <v/>
      </c>
      <c r="Y132" s="617" t="str">
        <f>IF($T132="카메라",VLOOKUP($F132,드롭다운!$A:$F,4,0),"")</f>
        <v/>
      </c>
      <c r="Z132" s="617" t="str">
        <f>IF($T132="카메라",VLOOKUP($F132,드롭다운!$A:$F,5,0),"")</f>
        <v/>
      </c>
      <c r="AA132" s="617"/>
    </row>
    <row r="133" spans="1:27">
      <c r="A133" s="135">
        <v>45622</v>
      </c>
      <c r="B133" s="491">
        <v>1</v>
      </c>
      <c r="C133" s="100" t="s">
        <v>8407</v>
      </c>
      <c r="D133" s="138" t="s">
        <v>128</v>
      </c>
      <c r="E133" s="138" t="s">
        <v>7572</v>
      </c>
      <c r="F133" s="138" t="s">
        <v>8231</v>
      </c>
      <c r="G133" s="138" t="s">
        <v>8232</v>
      </c>
      <c r="H133" s="138">
        <v>1</v>
      </c>
      <c r="I133" s="457">
        <v>4222800</v>
      </c>
      <c r="J133" s="457">
        <f t="shared" si="2"/>
        <v>4222800</v>
      </c>
      <c r="K133" s="457">
        <f>tbl_국내[[#This Row],[금액]]*1.1</f>
        <v>4645080</v>
      </c>
      <c r="L133" s="141">
        <v>45642</v>
      </c>
      <c r="M133" s="141">
        <v>45642</v>
      </c>
      <c r="N133" s="496" t="s">
        <v>172</v>
      </c>
      <c r="O133" s="496" t="s">
        <v>172</v>
      </c>
      <c r="P133" s="141">
        <v>45642</v>
      </c>
      <c r="Q133" s="616"/>
      <c r="R133" s="616">
        <f>YEAR(tbl_국내[[#This Row],[계산서
발행일/구매확정일]])</f>
        <v>2024</v>
      </c>
      <c r="S133" s="617">
        <f>IF(국내!$P133="",0,MONTH(국내!$P133))</f>
        <v>12</v>
      </c>
      <c r="T133" s="617" t="str">
        <f>IFERROR(VLOOKUP($F133,product[],6,0),"error")</f>
        <v>카메라</v>
      </c>
      <c r="U133" s="138"/>
      <c r="V133" s="138"/>
      <c r="W133" s="617" t="str">
        <f>IF($T133="카메라",VLOOKUP($F133,드롭다운!$A:$F,2,0),"")</f>
        <v>VGA</v>
      </c>
      <c r="X133" s="617" t="str">
        <f>IF($T133="카메라",VLOOKUP($F133,드롭다운!$A:$F,3,0),"")</f>
        <v>Radiometric</v>
      </c>
      <c r="Y133" s="617" t="str">
        <f>IF($T133="카메라",VLOOKUP($F133,드롭다운!$A:$F,4,0),"")</f>
        <v>Network</v>
      </c>
      <c r="Z133" s="617">
        <f>IF($T133="카메라",VLOOKUP($F133,드롭다운!$A:$F,5,0),"")</f>
        <v>17</v>
      </c>
      <c r="AA133" s="617"/>
    </row>
    <row r="134" spans="1:27">
      <c r="A134" s="135">
        <v>45623</v>
      </c>
      <c r="B134" s="491">
        <v>2</v>
      </c>
      <c r="C134" s="100" t="s">
        <v>8408</v>
      </c>
      <c r="D134" s="138" t="s">
        <v>128</v>
      </c>
      <c r="E134" s="138" t="s">
        <v>7572</v>
      </c>
      <c r="F134" s="138" t="s">
        <v>251</v>
      </c>
      <c r="G134" s="138" t="s">
        <v>8120</v>
      </c>
      <c r="H134" s="138">
        <v>1</v>
      </c>
      <c r="I134" s="457">
        <v>4222800</v>
      </c>
      <c r="J134" s="457">
        <f t="shared" si="2"/>
        <v>4222800</v>
      </c>
      <c r="K134" s="457">
        <f>tbl_국내[[#This Row],[금액]]*1.1</f>
        <v>4645080</v>
      </c>
      <c r="L134" s="141">
        <v>45642</v>
      </c>
      <c r="M134" s="141">
        <v>45642</v>
      </c>
      <c r="N134" s="496" t="s">
        <v>172</v>
      </c>
      <c r="O134" s="496" t="s">
        <v>172</v>
      </c>
      <c r="P134" s="141">
        <v>45642</v>
      </c>
      <c r="Q134" s="616"/>
      <c r="R134" s="616">
        <f>YEAR(tbl_국내[[#This Row],[계산서
발행일/구매확정일]])</f>
        <v>2024</v>
      </c>
      <c r="S134" s="617">
        <f>IF(국내!$P134="",0,MONTH(국내!$P134))</f>
        <v>12</v>
      </c>
      <c r="T134" s="617" t="str">
        <f>IFERROR(VLOOKUP($F134,product[],6,0),"error")</f>
        <v>카메라</v>
      </c>
      <c r="U134" s="138"/>
      <c r="V134" s="138"/>
      <c r="W134" s="617" t="str">
        <f>IF($T134="카메라",VLOOKUP($F134,드롭다운!$A:$F,2,0),"")</f>
        <v>VGA</v>
      </c>
      <c r="X134" s="617" t="str">
        <f>IF($T134="카메라",VLOOKUP($F134,드롭다운!$A:$F,3,0),"")</f>
        <v>Radiometric</v>
      </c>
      <c r="Y134" s="617" t="str">
        <f>IF($T134="카메라",VLOOKUP($F134,드롭다운!$A:$F,4,0),"")</f>
        <v>Network</v>
      </c>
      <c r="Z134" s="617">
        <f>IF($T134="카메라",VLOOKUP($F134,드롭다운!$A:$F,5,0),"")</f>
        <v>17</v>
      </c>
      <c r="AA134" s="617"/>
    </row>
    <row r="135" spans="1:27">
      <c r="A135" s="135">
        <v>45642</v>
      </c>
      <c r="B135" s="491">
        <v>1</v>
      </c>
      <c r="C135" s="100" t="s">
        <v>8409</v>
      </c>
      <c r="D135" s="138" t="s">
        <v>8265</v>
      </c>
      <c r="E135" s="138" t="s">
        <v>7572</v>
      </c>
      <c r="F135" s="138" t="s">
        <v>8271</v>
      </c>
      <c r="G135" s="138" t="s">
        <v>7564</v>
      </c>
      <c r="H135" s="138">
        <v>1</v>
      </c>
      <c r="I135" s="457">
        <v>4115000</v>
      </c>
      <c r="J135" s="457">
        <f t="shared" si="2"/>
        <v>4115000</v>
      </c>
      <c r="K135" s="457">
        <f>tbl_국내[[#This Row],[금액]]*1.1</f>
        <v>4526500</v>
      </c>
      <c r="L135" s="141">
        <v>45645</v>
      </c>
      <c r="M135" s="141">
        <v>45645</v>
      </c>
      <c r="N135" s="457">
        <v>4526500</v>
      </c>
      <c r="O135" s="141">
        <v>45646</v>
      </c>
      <c r="P135" s="135">
        <v>45645</v>
      </c>
      <c r="Q135" s="616"/>
      <c r="R135" s="616">
        <f>YEAR(tbl_국내[[#This Row],[계산서
발행일/구매확정일]])</f>
        <v>2024</v>
      </c>
      <c r="S135" s="617">
        <f>IF(국내!$P135="",0,MONTH(국내!$P135))</f>
        <v>12</v>
      </c>
      <c r="T135" s="617" t="str">
        <f>IFERROR(VLOOKUP($F135,product[],6,0),"error")</f>
        <v>카메라</v>
      </c>
      <c r="U135" s="138"/>
      <c r="V135" s="138"/>
      <c r="W135" s="617" t="str">
        <f>IF($T135="카메라",VLOOKUP($F135,드롭다운!$A:$F,2,0),"")</f>
        <v>QVGA</v>
      </c>
      <c r="X135" s="617" t="str">
        <f>IF($T135="카메라",VLOOKUP($F135,드롭다운!$A:$F,3,0),"")</f>
        <v>Radiometric</v>
      </c>
      <c r="Y135" s="617" t="str">
        <f>IF($T135="카메라",VLOOKUP($F135,드롭다운!$A:$F,4,0),"")</f>
        <v>Network</v>
      </c>
      <c r="Z135" s="617">
        <f>IF($T135="카메라",VLOOKUP($F135,드롭다운!$A:$F,5,0),"")</f>
        <v>17</v>
      </c>
      <c r="AA135" s="617"/>
    </row>
    <row r="136" spans="1:27">
      <c r="A136" s="135">
        <v>45628</v>
      </c>
      <c r="B136" s="491">
        <v>2</v>
      </c>
      <c r="C136" s="100" t="s">
        <v>8410</v>
      </c>
      <c r="D136" s="138" t="s">
        <v>8246</v>
      </c>
      <c r="E136" s="138" t="s">
        <v>7572</v>
      </c>
      <c r="F136" s="138" t="s">
        <v>8260</v>
      </c>
      <c r="G136" s="138" t="s">
        <v>8259</v>
      </c>
      <c r="H136" s="138">
        <v>1</v>
      </c>
      <c r="I136" s="457">
        <v>5002000</v>
      </c>
      <c r="J136" s="457">
        <f t="shared" si="2"/>
        <v>5002000</v>
      </c>
      <c r="K136" s="457">
        <f>tbl_국내[[#This Row],[금액]]*1.1</f>
        <v>5502200</v>
      </c>
      <c r="L136" s="141">
        <v>45646</v>
      </c>
      <c r="M136" s="141">
        <v>45646</v>
      </c>
      <c r="N136" s="457">
        <v>5502200</v>
      </c>
      <c r="O136" s="141">
        <v>45646</v>
      </c>
      <c r="P136" s="141">
        <v>45646</v>
      </c>
      <c r="Q136" s="616"/>
      <c r="R136" s="616">
        <f>YEAR(tbl_국내[[#This Row],[계산서
발행일/구매확정일]])</f>
        <v>2024</v>
      </c>
      <c r="S136" s="617">
        <f>IF(국내!$P136="",0,MONTH(국내!$P136))</f>
        <v>12</v>
      </c>
      <c r="T136" s="617" t="str">
        <f>IFERROR(VLOOKUP($F136,product[],6,0),"error")</f>
        <v>카메라</v>
      </c>
      <c r="U136" s="138"/>
      <c r="V136" s="138"/>
      <c r="W136" s="617" t="str">
        <f>IF($T136="카메라",VLOOKUP($F136,드롭다운!$A:$F,2,0),"")</f>
        <v>VGA</v>
      </c>
      <c r="X136" s="617" t="str">
        <f>IF($T136="카메라",VLOOKUP($F136,드롭다운!$A:$F,3,0),"")</f>
        <v>Radiometric</v>
      </c>
      <c r="Y136" s="617" t="str">
        <f>IF($T136="카메라",VLOOKUP($F136,드롭다운!$A:$F,4,0),"")</f>
        <v>Analogue</v>
      </c>
      <c r="Z136" s="617">
        <f>IF($T136="카메라",VLOOKUP($F136,드롭다운!$A:$F,5,0),"")</f>
        <v>17</v>
      </c>
      <c r="AA136" s="617"/>
    </row>
    <row r="137" spans="1:27">
      <c r="A137" s="135">
        <v>45602</v>
      </c>
      <c r="B137" s="491">
        <v>1</v>
      </c>
      <c r="C137" s="100" t="s">
        <v>8411</v>
      </c>
      <c r="D137" s="138" t="s">
        <v>245</v>
      </c>
      <c r="E137" s="138" t="s">
        <v>7572</v>
      </c>
      <c r="F137" s="138" t="s">
        <v>8126</v>
      </c>
      <c r="G137" s="138" t="s">
        <v>8127</v>
      </c>
      <c r="H137" s="138">
        <v>15</v>
      </c>
      <c r="I137" s="457">
        <v>2803000</v>
      </c>
      <c r="J137" s="457">
        <f t="shared" si="2"/>
        <v>42045000</v>
      </c>
      <c r="K137" s="457">
        <f>tbl_국내[[#This Row],[금액]]*1.1</f>
        <v>46249500.000000007</v>
      </c>
      <c r="L137" s="141">
        <v>45649</v>
      </c>
      <c r="M137" s="141">
        <v>45649</v>
      </c>
      <c r="N137" s="457">
        <v>48651900</v>
      </c>
      <c r="O137" s="141">
        <v>45667</v>
      </c>
      <c r="P137" s="141">
        <v>45649</v>
      </c>
      <c r="Q137" s="616"/>
      <c r="R137" s="616">
        <f>YEAR(tbl_국내[[#This Row],[계산서
발행일/구매확정일]])</f>
        <v>2024</v>
      </c>
      <c r="S137" s="617">
        <f>IF(국내!$P137="",0,MONTH(국내!$P137))</f>
        <v>12</v>
      </c>
      <c r="T137" s="617" t="str">
        <f>IFERROR(VLOOKUP($F137,product[],6,0),"error")</f>
        <v>카메라</v>
      </c>
      <c r="U137" s="138"/>
      <c r="V137" s="138"/>
      <c r="W137" s="617" t="str">
        <f>IF($T137="카메라",VLOOKUP($F137,드롭다운!$A:$F,2,0),"")</f>
        <v>VGA</v>
      </c>
      <c r="X137" s="617" t="str">
        <f>IF($T137="카메라",VLOOKUP($F137,드롭다운!$A:$F,3,0),"")</f>
        <v>Security</v>
      </c>
      <c r="Y137" s="617" t="str">
        <f>IF($T137="카메라",VLOOKUP($F137,드롭다운!$A:$F,4,0),"")</f>
        <v>Analogue</v>
      </c>
      <c r="Z137" s="617">
        <f>IF($T137="카메라",VLOOKUP($F137,드롭다운!$A:$F,5,0),"")</f>
        <v>12</v>
      </c>
      <c r="AA137" s="617"/>
    </row>
    <row r="138" spans="1:27">
      <c r="A138" s="135">
        <v>45602</v>
      </c>
      <c r="B138" s="491">
        <v>1</v>
      </c>
      <c r="C138" s="100" t="s">
        <v>8411</v>
      </c>
      <c r="D138" s="138" t="s">
        <v>245</v>
      </c>
      <c r="E138" s="138" t="s">
        <v>8128</v>
      </c>
      <c r="F138" s="138" t="s">
        <v>168</v>
      </c>
      <c r="G138" s="138" t="s">
        <v>8127</v>
      </c>
      <c r="H138" s="138">
        <v>1</v>
      </c>
      <c r="I138" s="457">
        <v>2184000</v>
      </c>
      <c r="J138" s="457">
        <f t="shared" si="2"/>
        <v>2184000</v>
      </c>
      <c r="K138" s="457">
        <f>tbl_국내[[#This Row],[금액]]*1.1</f>
        <v>2402400</v>
      </c>
      <c r="L138" s="141">
        <v>45649</v>
      </c>
      <c r="M138" s="141">
        <v>45649</v>
      </c>
      <c r="N138" s="457">
        <v>0</v>
      </c>
      <c r="O138" s="141">
        <v>45667</v>
      </c>
      <c r="P138" s="141">
        <v>45649</v>
      </c>
      <c r="Q138" s="616"/>
      <c r="R138" s="616">
        <f>YEAR(tbl_국내[[#This Row],[계산서
발행일/구매확정일]])</f>
        <v>2024</v>
      </c>
      <c r="S138" s="617">
        <f>IF(국내!$P138="",0,MONTH(국내!$P138))</f>
        <v>12</v>
      </c>
      <c r="T138" s="617" t="str">
        <f>IFERROR(VLOOKUP($F138,product[],6,0),"error")</f>
        <v>error</v>
      </c>
      <c r="U138" s="138"/>
      <c r="V138" s="138"/>
      <c r="W138" s="617" t="str">
        <f>IF($T138="카메라",VLOOKUP($F138,드롭다운!$A:$F,2,0),"")</f>
        <v/>
      </c>
      <c r="X138" s="617" t="str">
        <f>IF($T138="카메라",VLOOKUP($F138,드롭다운!$A:$F,3,0),"")</f>
        <v/>
      </c>
      <c r="Y138" s="617" t="str">
        <f>IF($T138="카메라",VLOOKUP($F138,드롭다운!$A:$F,4,0),"")</f>
        <v/>
      </c>
      <c r="Z138" s="617" t="str">
        <f>IF($T138="카메라",VLOOKUP($F138,드롭다운!$A:$F,5,0),"")</f>
        <v/>
      </c>
      <c r="AA138" s="617"/>
    </row>
    <row r="139" spans="1:27">
      <c r="A139" s="679">
        <v>45639</v>
      </c>
      <c r="B139" s="680">
        <v>1</v>
      </c>
      <c r="C139" s="681" t="s">
        <v>8412</v>
      </c>
      <c r="D139" s="682" t="s">
        <v>8305</v>
      </c>
      <c r="E139" s="687" t="s">
        <v>7572</v>
      </c>
      <c r="F139" s="687" t="s">
        <v>169</v>
      </c>
      <c r="G139" s="687" t="s">
        <v>168</v>
      </c>
      <c r="H139" s="682">
        <v>6</v>
      </c>
      <c r="I139" s="683">
        <v>4936000</v>
      </c>
      <c r="J139" s="683">
        <f t="shared" si="2"/>
        <v>29616000</v>
      </c>
      <c r="K139" s="683">
        <f>tbl_국내[[#This Row],[금액]]*1.1</f>
        <v>32577600.000000004</v>
      </c>
      <c r="L139" s="141">
        <v>45650</v>
      </c>
      <c r="M139" s="141">
        <v>45650</v>
      </c>
      <c r="N139" s="683">
        <v>32577600</v>
      </c>
      <c r="O139" s="685">
        <v>45652</v>
      </c>
      <c r="P139" s="688">
        <v>45650</v>
      </c>
      <c r="Q139" s="686"/>
      <c r="R139" s="616">
        <f>YEAR(tbl_국내[[#This Row],[계산서
발행일/구매확정일]])</f>
        <v>2024</v>
      </c>
      <c r="S139" s="617">
        <f>IF(국내!$P139="",0,MONTH(국내!$P139))</f>
        <v>12</v>
      </c>
      <c r="T139" s="617" t="str">
        <f>IFERROR(VLOOKUP($F139,product[],6,0),"error")</f>
        <v>카메라</v>
      </c>
      <c r="U139" s="138"/>
      <c r="V139" s="138"/>
      <c r="W139" s="617" t="str">
        <f>IF($T139="카메라",VLOOKUP($F139,드롭다운!$A:$F,2,0),"")</f>
        <v>VGA</v>
      </c>
      <c r="X139" s="617" t="str">
        <f>IF($T139="카메라",VLOOKUP($F139,드롭다운!$A:$F,3,0),"")</f>
        <v>Security</v>
      </c>
      <c r="Y139" s="617" t="str">
        <f>IF($T139="카메라",VLOOKUP($F139,드롭다운!$A:$F,4,0),"")</f>
        <v>Analogue</v>
      </c>
      <c r="Z139" s="617">
        <f>IF($T139="카메라",VLOOKUP($F139,드롭다운!$A:$F,5,0),"")</f>
        <v>17</v>
      </c>
      <c r="AA139" s="632"/>
    </row>
    <row r="140" spans="1:27">
      <c r="A140" s="135" t="s">
        <v>8761</v>
      </c>
      <c r="B140" s="491">
        <v>1</v>
      </c>
      <c r="C140" s="100" t="str">
        <f>"KR"&amp;TEXT(tbl_국내[[#This Row],[발주일]],"yymmdd")&amp;"-"&amp;TEXT(tbl_국내[[#This Row],[일렬번호]],"00")</f>
        <v>KR250115-01</v>
      </c>
      <c r="D140" s="138" t="s">
        <v>142</v>
      </c>
      <c r="E140" s="138" t="s">
        <v>8815</v>
      </c>
      <c r="F140" s="138" t="s">
        <v>108</v>
      </c>
      <c r="G140" s="138" t="s">
        <v>8826</v>
      </c>
      <c r="H140" s="138">
        <v>1</v>
      </c>
      <c r="I140" s="457">
        <v>400000</v>
      </c>
      <c r="J140" s="457">
        <f t="shared" si="2"/>
        <v>400000</v>
      </c>
      <c r="K140" s="457">
        <f>tbl_국내[[#This Row],[금액]]*1.1</f>
        <v>440000.00000000006</v>
      </c>
      <c r="L140" s="458">
        <v>45671</v>
      </c>
      <c r="M140" s="141">
        <v>45672</v>
      </c>
      <c r="N140" s="457">
        <v>440000</v>
      </c>
      <c r="O140" s="141">
        <v>45733</v>
      </c>
      <c r="P140" s="667" t="s">
        <v>8761</v>
      </c>
      <c r="Q140" s="616"/>
      <c r="R140" s="616">
        <f>YEAR(tbl_국내[[#This Row],[계산서
발행일/구매확정일]])</f>
        <v>2025</v>
      </c>
      <c r="S140" s="617">
        <f>IF(국내!$P140="",0,MONTH(국내!$P140))</f>
        <v>1</v>
      </c>
      <c r="T140" s="617" t="str">
        <f>IFERROR(VLOOKUP($F140,product[],6,0),"error")</f>
        <v>error</v>
      </c>
      <c r="U140" s="138"/>
      <c r="V140" s="138"/>
      <c r="W140" s="617" t="str">
        <f>IF($T140="카메라",VLOOKUP($F140,드롭다운!$A:$F,2,0),"")</f>
        <v/>
      </c>
      <c r="X140" s="617" t="str">
        <f>IF($T140="카메라",VLOOKUP($F140,드롭다운!$A:$F,3,0),"")</f>
        <v/>
      </c>
      <c r="Y140" s="617" t="str">
        <f>IF($T140="카메라",VLOOKUP($F140,드롭다운!$A:$F,4,0),"")</f>
        <v/>
      </c>
      <c r="Z140" s="617" t="str">
        <f>IF($T140="카메라",VLOOKUP($F140,드롭다운!$A:$F,5,0),"")</f>
        <v/>
      </c>
      <c r="AA140" s="617"/>
    </row>
    <row r="141" spans="1:27">
      <c r="A141" s="135" t="s">
        <v>8761</v>
      </c>
      <c r="B141" s="491">
        <v>2</v>
      </c>
      <c r="C141" s="100" t="str">
        <f>"KR"&amp;TEXT(tbl_국내[[#This Row],[발주일]],"yymmdd")&amp;"-"&amp;TEXT(tbl_국내[[#This Row],[일렬번호]],"00")</f>
        <v>KR250115-02</v>
      </c>
      <c r="D141" s="138" t="s">
        <v>248</v>
      </c>
      <c r="E141" s="138" t="s">
        <v>8815</v>
      </c>
      <c r="F141" s="138" t="s">
        <v>8814</v>
      </c>
      <c r="G141" s="138" t="s">
        <v>8762</v>
      </c>
      <c r="H141" s="138">
        <v>1</v>
      </c>
      <c r="I141" s="457">
        <v>500000</v>
      </c>
      <c r="J141" s="457">
        <f t="shared" si="2"/>
        <v>500000</v>
      </c>
      <c r="K141" s="457">
        <f>tbl_국내[[#This Row],[금액]]*1.1</f>
        <v>550000</v>
      </c>
      <c r="L141" s="458">
        <v>45671</v>
      </c>
      <c r="M141" s="141">
        <v>45672</v>
      </c>
      <c r="N141" s="457">
        <v>0</v>
      </c>
      <c r="O141" s="141">
        <v>45721</v>
      </c>
      <c r="P141" s="141" t="s">
        <v>8761</v>
      </c>
      <c r="Q141" s="616"/>
      <c r="R141" s="616">
        <f>YEAR(tbl_국내[[#This Row],[계산서
발행일/구매확정일]])</f>
        <v>2025</v>
      </c>
      <c r="S141" s="617">
        <f>IF(국내!$P141="",0,MONTH(국내!$P141))</f>
        <v>1</v>
      </c>
      <c r="T141" s="617" t="str">
        <f>IFERROR(VLOOKUP($F141,product[],6,0),"error")</f>
        <v>error</v>
      </c>
      <c r="U141" s="138"/>
      <c r="V141" s="138"/>
      <c r="W141" s="617" t="str">
        <f>IF($T141="카메라",VLOOKUP($F141,드롭다운!$A:$F,2,0),"")</f>
        <v/>
      </c>
      <c r="X141" s="617" t="str">
        <f>IF($T141="카메라",VLOOKUP($F141,드롭다운!$A:$F,3,0),"")</f>
        <v/>
      </c>
      <c r="Y141" s="617" t="str">
        <f>IF($T141="카메라",VLOOKUP($F141,드롭다운!$A:$F,4,0),"")</f>
        <v/>
      </c>
      <c r="Z141" s="617" t="str">
        <f>IF($T141="카메라",VLOOKUP($F141,드롭다운!$A:$F,5,0),"")</f>
        <v/>
      </c>
      <c r="AA141" s="617"/>
    </row>
    <row r="142" spans="1:27">
      <c r="A142" s="135" t="s">
        <v>8763</v>
      </c>
      <c r="B142" s="491">
        <v>3</v>
      </c>
      <c r="C142" s="100" t="str">
        <f>"KR"&amp;TEXT(tbl_국내[[#This Row],[발주일]],"yymmdd")&amp;"-"&amp;TEXT(tbl_국내[[#This Row],[일렬번호]],"00")</f>
        <v>KR250120-03</v>
      </c>
      <c r="D142" s="138" t="s">
        <v>8099</v>
      </c>
      <c r="E142" s="138" t="s">
        <v>7572</v>
      </c>
      <c r="F142" s="138" t="s">
        <v>8764</v>
      </c>
      <c r="G142" s="462" t="s">
        <v>7564</v>
      </c>
      <c r="H142" s="138">
        <v>2</v>
      </c>
      <c r="I142" s="457">
        <v>5623000</v>
      </c>
      <c r="J142" s="457">
        <f t="shared" si="2"/>
        <v>11246000</v>
      </c>
      <c r="K142" s="457">
        <f>tbl_국내[[#This Row],[금액]]*1.1</f>
        <v>12370600.000000002</v>
      </c>
      <c r="L142" s="458">
        <v>45676</v>
      </c>
      <c r="M142" s="141">
        <v>45677</v>
      </c>
      <c r="N142" s="457">
        <v>12370600</v>
      </c>
      <c r="O142" s="141">
        <v>45677</v>
      </c>
      <c r="P142" s="141" t="s">
        <v>8763</v>
      </c>
      <c r="Q142" s="616"/>
      <c r="R142" s="616">
        <f>YEAR(tbl_국내[[#This Row],[계산서
발행일/구매확정일]])</f>
        <v>2025</v>
      </c>
      <c r="S142" s="617">
        <f>IF(국내!$P142="",0,MONTH(국내!$P142))</f>
        <v>1</v>
      </c>
      <c r="T142" s="617" t="str">
        <f>IFERROR(VLOOKUP($F142,product[],6,0),"error")</f>
        <v>error</v>
      </c>
      <c r="U142" s="138"/>
      <c r="V142" s="138"/>
      <c r="W142" s="617" t="str">
        <f>IF($T142="카메라",VLOOKUP($F142,드롭다운!$A:$F,2,0),"")</f>
        <v/>
      </c>
      <c r="X142" s="617" t="str">
        <f>IF($T142="카메라",VLOOKUP($F142,드롭다운!$A:$F,3,0),"")</f>
        <v/>
      </c>
      <c r="Y142" s="617" t="str">
        <f>IF($T142="카메라",VLOOKUP($F142,드롭다운!$A:$F,4,0),"")</f>
        <v/>
      </c>
      <c r="Z142" s="617" t="str">
        <f>IF($T142="카메라",VLOOKUP($F142,드롭다운!$A:$F,5,0),"")</f>
        <v/>
      </c>
      <c r="AA142" s="617"/>
    </row>
    <row r="143" spans="1:27">
      <c r="A143" s="135" t="s">
        <v>8765</v>
      </c>
      <c r="B143" s="491">
        <v>1</v>
      </c>
      <c r="C143" s="100" t="str">
        <f>"KR"&amp;TEXT(tbl_국내[[#This Row],[발주일]],"yymmdd")&amp;"-"&amp;TEXT(tbl_국내[[#This Row],[일렬번호]],"00")</f>
        <v>KR250205-01</v>
      </c>
      <c r="D143" s="138" t="s">
        <v>247</v>
      </c>
      <c r="E143" s="138" t="s">
        <v>8816</v>
      </c>
      <c r="F143" s="138" t="s">
        <v>8766</v>
      </c>
      <c r="G143" s="138" t="s">
        <v>8844</v>
      </c>
      <c r="H143" s="138">
        <v>7</v>
      </c>
      <c r="I143" s="457">
        <v>6400000</v>
      </c>
      <c r="J143" s="457">
        <f t="shared" si="2"/>
        <v>44800000</v>
      </c>
      <c r="K143" s="457">
        <f>tbl_국내[[#This Row],[금액]]*1.1</f>
        <v>49280000.000000007</v>
      </c>
      <c r="L143" s="458">
        <v>45692</v>
      </c>
      <c r="M143" s="141">
        <v>45693</v>
      </c>
      <c r="N143" s="457">
        <v>49280000</v>
      </c>
      <c r="O143" s="141">
        <v>45722</v>
      </c>
      <c r="P143" s="141" t="s">
        <v>8765</v>
      </c>
      <c r="Q143" s="616"/>
      <c r="R143" s="616">
        <f>YEAR(tbl_국내[[#This Row],[계산서
발행일/구매확정일]])</f>
        <v>2025</v>
      </c>
      <c r="S143" s="617">
        <f>IF(국내!$P143="",0,MONTH(국내!$P143))</f>
        <v>2</v>
      </c>
      <c r="T143" s="617" t="str">
        <f>IFERROR(VLOOKUP($F143,product[],6,0),"error")</f>
        <v>error</v>
      </c>
      <c r="U143" s="138"/>
      <c r="V143" s="138"/>
      <c r="W143" s="617" t="str">
        <f>IF($T143="카메라",VLOOKUP($F143,드롭다운!$A:$F,2,0),"")</f>
        <v/>
      </c>
      <c r="X143" s="617" t="str">
        <f>IF($T143="카메라",VLOOKUP($F143,드롭다운!$A:$F,3,0),"")</f>
        <v/>
      </c>
      <c r="Y143" s="617" t="str">
        <f>IF($T143="카메라",VLOOKUP($F143,드롭다운!$A:$F,4,0),"")</f>
        <v/>
      </c>
      <c r="Z143" s="617" t="str">
        <f>IF($T143="카메라",VLOOKUP($F143,드롭다운!$A:$F,5,0),"")</f>
        <v/>
      </c>
      <c r="AA143" s="617"/>
    </row>
    <row r="144" spans="1:27">
      <c r="A144" s="661" t="s">
        <v>8767</v>
      </c>
      <c r="B144" s="662">
        <v>2</v>
      </c>
      <c r="C144" s="663" t="str">
        <f>"KR"&amp;TEXT(tbl_국내[[#This Row],[발주일]],"yymmdd")&amp;"-"&amp;TEXT(tbl_국내[[#This Row],[일렬번호]],"00")</f>
        <v>KR250207-02</v>
      </c>
      <c r="D144" s="664" t="s">
        <v>246</v>
      </c>
      <c r="E144" s="664" t="s">
        <v>7571</v>
      </c>
      <c r="F144" s="664" t="s">
        <v>8768</v>
      </c>
      <c r="G144" s="664" t="s">
        <v>832</v>
      </c>
      <c r="H144" s="664">
        <v>6</v>
      </c>
      <c r="I144" s="665">
        <v>270000</v>
      </c>
      <c r="J144" s="665">
        <f t="shared" si="2"/>
        <v>1620000</v>
      </c>
      <c r="K144" s="665">
        <f>tbl_국내[[#This Row],[금액]]*1.1</f>
        <v>1782000.0000000002</v>
      </c>
      <c r="L144" s="666">
        <v>45694</v>
      </c>
      <c r="M144" s="667">
        <v>45695</v>
      </c>
      <c r="N144" s="665" t="s">
        <v>8862</v>
      </c>
      <c r="O144" s="667"/>
      <c r="P144" s="667" t="s">
        <v>8767</v>
      </c>
      <c r="Q144" s="668"/>
      <c r="R144" s="668">
        <f>YEAR(tbl_국내[[#This Row],[계산서
발행일/구매확정일]])</f>
        <v>2025</v>
      </c>
      <c r="S144" s="669">
        <f>IF(국내!$P144="",0,MONTH(국내!$P144))</f>
        <v>2</v>
      </c>
      <c r="T144" s="669" t="str">
        <f>IFERROR(VLOOKUP($F144,product[],6,0),"error")</f>
        <v>error</v>
      </c>
      <c r="U144" s="664"/>
      <c r="V144" s="664"/>
      <c r="W144" s="669" t="str">
        <f>IF($T144="카메라",VLOOKUP($F144,드롭다운!$A:$F,2,0),"")</f>
        <v/>
      </c>
      <c r="X144" s="669" t="str">
        <f>IF($T144="카메라",VLOOKUP($F144,드롭다운!$A:$F,3,0),"")</f>
        <v/>
      </c>
      <c r="Y144" s="669" t="str">
        <f>IF($T144="카메라",VLOOKUP($F144,드롭다운!$A:$F,4,0),"")</f>
        <v/>
      </c>
      <c r="Z144" s="669" t="str">
        <f>IF($T144="카메라",VLOOKUP($F144,드롭다운!$A:$F,5,0),"")</f>
        <v/>
      </c>
      <c r="AA144" s="669"/>
    </row>
    <row r="145" spans="1:27">
      <c r="A145" s="135" t="s">
        <v>8769</v>
      </c>
      <c r="B145" s="491">
        <v>3</v>
      </c>
      <c r="C145" s="100" t="str">
        <f>"KR"&amp;TEXT(tbl_국내[[#This Row],[발주일]],"yymmdd")&amp;"-"&amp;TEXT(tbl_국내[[#This Row],[일렬번호]],"00")</f>
        <v>KR250210-03</v>
      </c>
      <c r="D145" s="138" t="s">
        <v>238</v>
      </c>
      <c r="E145" s="138" t="s">
        <v>8816</v>
      </c>
      <c r="F145" s="462" t="s">
        <v>252</v>
      </c>
      <c r="G145" s="462" t="s">
        <v>8451</v>
      </c>
      <c r="H145" s="138">
        <v>1</v>
      </c>
      <c r="I145" s="457">
        <v>2866000</v>
      </c>
      <c r="J145" s="457">
        <f t="shared" si="2"/>
        <v>2866000</v>
      </c>
      <c r="K145" s="457">
        <f>tbl_국내[[#This Row],[금액]]*1.1</f>
        <v>3152600.0000000005</v>
      </c>
      <c r="L145" s="458">
        <v>45697</v>
      </c>
      <c r="M145" s="141">
        <v>45698</v>
      </c>
      <c r="N145" s="457">
        <v>3152600</v>
      </c>
      <c r="O145" s="141">
        <v>45699</v>
      </c>
      <c r="P145" s="141" t="s">
        <v>8769</v>
      </c>
      <c r="Q145" s="616"/>
      <c r="R145" s="616">
        <f>YEAR(tbl_국내[[#This Row],[계산서
발행일/구매확정일]])</f>
        <v>2025</v>
      </c>
      <c r="S145" s="617">
        <f>IF(국내!$P145="",0,MONTH(국내!$P145))</f>
        <v>2</v>
      </c>
      <c r="T145" s="617" t="str">
        <f>IFERROR(VLOOKUP($F145,product[],6,0),"error")</f>
        <v>카메라</v>
      </c>
      <c r="U145" s="138"/>
      <c r="V145" s="138"/>
      <c r="W145" s="617" t="str">
        <f>IF($T145="카메라",VLOOKUP($F145,드롭다운!$A:$F,2,0),"")</f>
        <v>QVGA</v>
      </c>
      <c r="X145" s="617" t="str">
        <f>IF($T145="카메라",VLOOKUP($F145,드롭다운!$A:$F,3,0),"")</f>
        <v>Radiometric</v>
      </c>
      <c r="Y145" s="617" t="str">
        <f>IF($T145="카메라",VLOOKUP($F145,드롭다운!$A:$F,4,0),"")</f>
        <v>Analogue</v>
      </c>
      <c r="Z145" s="617">
        <f>IF($T145="카메라",VLOOKUP($F145,드롭다운!$A:$F,5,0),"")</f>
        <v>17</v>
      </c>
      <c r="AA145" s="617"/>
    </row>
    <row r="146" spans="1:27">
      <c r="A146" s="135" t="s">
        <v>8770</v>
      </c>
      <c r="B146" s="491">
        <v>4</v>
      </c>
      <c r="C146" s="100" t="str">
        <f>"KR"&amp;TEXT(tbl_국내[[#This Row],[발주일]],"yymmdd")&amp;"-"&amp;TEXT(tbl_국내[[#This Row],[일렬번호]],"00")</f>
        <v>KR250211-04</v>
      </c>
      <c r="D146" s="138" t="s">
        <v>236</v>
      </c>
      <c r="E146" s="138" t="s">
        <v>8814</v>
      </c>
      <c r="F146" s="138" t="s">
        <v>8814</v>
      </c>
      <c r="G146" s="138" t="s">
        <v>8771</v>
      </c>
      <c r="H146" s="138">
        <v>1</v>
      </c>
      <c r="I146" s="457">
        <v>1200000</v>
      </c>
      <c r="J146" s="457">
        <f t="shared" si="2"/>
        <v>1200000</v>
      </c>
      <c r="K146" s="457">
        <f>tbl_국내[[#This Row],[금액]]*1.1</f>
        <v>1320000</v>
      </c>
      <c r="L146" s="458">
        <v>45698</v>
      </c>
      <c r="M146" s="141">
        <v>45699</v>
      </c>
      <c r="N146" s="457">
        <v>1670130</v>
      </c>
      <c r="O146" s="141">
        <v>45705</v>
      </c>
      <c r="P146" s="141" t="s">
        <v>8770</v>
      </c>
      <c r="Q146" s="616"/>
      <c r="R146" s="616">
        <f>YEAR(tbl_국내[[#This Row],[계산서
발행일/구매확정일]])</f>
        <v>2025</v>
      </c>
      <c r="S146" s="617">
        <f>IF(국내!$P146="",0,MONTH(국내!$P146))</f>
        <v>2</v>
      </c>
      <c r="T146" s="617" t="str">
        <f>IFERROR(VLOOKUP($F146,product[],6,0),"error")</f>
        <v>error</v>
      </c>
      <c r="U146" s="138"/>
      <c r="V146" s="138"/>
      <c r="W146" s="617" t="str">
        <f>IF($T146="카메라",VLOOKUP($F146,드롭다운!$A:$F,2,0),"")</f>
        <v/>
      </c>
      <c r="X146" s="617" t="str">
        <f>IF($T146="카메라",VLOOKUP($F146,드롭다운!$A:$F,3,0),"")</f>
        <v/>
      </c>
      <c r="Y146" s="617" t="str">
        <f>IF($T146="카메라",VLOOKUP($F146,드롭다운!$A:$F,4,0),"")</f>
        <v/>
      </c>
      <c r="Z146" s="617" t="str">
        <f>IF($T146="카메라",VLOOKUP($F146,드롭다운!$A:$F,5,0),"")</f>
        <v/>
      </c>
      <c r="AA146" s="617"/>
    </row>
    <row r="147" spans="1:27">
      <c r="A147" s="135" t="s">
        <v>8770</v>
      </c>
      <c r="B147" s="491">
        <v>4</v>
      </c>
      <c r="C147" s="100" t="str">
        <f>"KR"&amp;TEXT(tbl_국내[[#This Row],[발주일]],"yymmdd")&amp;"-"&amp;TEXT(tbl_국내[[#This Row],[일렬번호]],"00")</f>
        <v>KR250211-04</v>
      </c>
      <c r="D147" s="138" t="s">
        <v>236</v>
      </c>
      <c r="E147" s="138" t="s">
        <v>8514</v>
      </c>
      <c r="F147" s="138" t="s">
        <v>8845</v>
      </c>
      <c r="G147" s="138" t="s">
        <v>8846</v>
      </c>
      <c r="H147" s="138">
        <v>1</v>
      </c>
      <c r="I147" s="457">
        <v>318300</v>
      </c>
      <c r="J147" s="457">
        <f t="shared" si="2"/>
        <v>318300</v>
      </c>
      <c r="K147" s="457">
        <f>tbl_국내[[#This Row],[금액]]*1.1</f>
        <v>350130</v>
      </c>
      <c r="L147" s="458">
        <v>45698</v>
      </c>
      <c r="M147" s="141">
        <v>45699</v>
      </c>
      <c r="N147" s="457">
        <v>0</v>
      </c>
      <c r="O147" s="141">
        <v>45705</v>
      </c>
      <c r="P147" s="141" t="s">
        <v>8770</v>
      </c>
      <c r="Q147" s="616"/>
      <c r="R147" s="616">
        <f>YEAR(tbl_국내[[#This Row],[계산서
발행일/구매확정일]])</f>
        <v>2025</v>
      </c>
      <c r="S147" s="617">
        <f>IF(국내!$P147="",0,MONTH(국내!$P147))</f>
        <v>2</v>
      </c>
      <c r="T147" s="617" t="str">
        <f>IFERROR(VLOOKUP($F147,product[],6,0),"error")</f>
        <v>error</v>
      </c>
      <c r="U147" s="138"/>
      <c r="V147" s="138"/>
      <c r="W147" s="617" t="str">
        <f>IF($T147="카메라",VLOOKUP($F147,드롭다운!$A:$F,2,0),"")</f>
        <v/>
      </c>
      <c r="X147" s="617" t="str">
        <f>IF($T147="카메라",VLOOKUP($F147,드롭다운!$A:$F,3,0),"")</f>
        <v/>
      </c>
      <c r="Y147" s="617" t="str">
        <f>IF($T147="카메라",VLOOKUP($F147,드롭다운!$A:$F,4,0),"")</f>
        <v/>
      </c>
      <c r="Z147" s="617" t="str">
        <f>IF($T147="카메라",VLOOKUP($F147,드롭다운!$A:$F,5,0),"")</f>
        <v/>
      </c>
      <c r="AA147" s="617"/>
    </row>
    <row r="148" spans="1:27">
      <c r="A148" s="135" t="s">
        <v>8772</v>
      </c>
      <c r="B148" s="491">
        <v>5</v>
      </c>
      <c r="C148" s="100" t="str">
        <f>"KR"&amp;TEXT(tbl_국내[[#This Row],[발주일]],"yymmdd")&amp;"-"&amp;TEXT(tbl_국내[[#This Row],[일렬번호]],"00")</f>
        <v>KR250212-05</v>
      </c>
      <c r="D148" s="138" t="s">
        <v>248</v>
      </c>
      <c r="E148" s="138" t="s">
        <v>8816</v>
      </c>
      <c r="F148" s="138" t="s">
        <v>103</v>
      </c>
      <c r="G148" s="138" t="s">
        <v>8310</v>
      </c>
      <c r="H148" s="138">
        <v>12</v>
      </c>
      <c r="I148" s="457">
        <v>3900000</v>
      </c>
      <c r="J148" s="457">
        <f t="shared" si="2"/>
        <v>46800000</v>
      </c>
      <c r="K148" s="457">
        <f>tbl_국내[[#This Row],[금액]]*1.1</f>
        <v>51480000.000000007</v>
      </c>
      <c r="L148" s="458">
        <v>45699</v>
      </c>
      <c r="M148" s="141">
        <v>45700</v>
      </c>
      <c r="N148" s="457">
        <v>52030000</v>
      </c>
      <c r="O148" s="141">
        <v>45721</v>
      </c>
      <c r="P148" s="141" t="s">
        <v>8772</v>
      </c>
      <c r="Q148" s="616"/>
      <c r="R148" s="616">
        <f>YEAR(tbl_국내[[#This Row],[계산서
발행일/구매확정일]])</f>
        <v>2025</v>
      </c>
      <c r="S148" s="617">
        <f>IF(국내!$P148="",0,MONTH(국내!$P148))</f>
        <v>2</v>
      </c>
      <c r="T148" s="617" t="str">
        <f>IFERROR(VLOOKUP($F148,product[],6,0),"error")</f>
        <v>카메라</v>
      </c>
      <c r="U148" s="138"/>
      <c r="V148" s="138"/>
      <c r="W148" s="617" t="str">
        <f>IF($T148="카메라",VLOOKUP($F148,드롭다운!$A:$F,2,0),"")</f>
        <v>VGA</v>
      </c>
      <c r="X148" s="617" t="str">
        <f>IF($T148="카메라",VLOOKUP($F148,드롭다운!$A:$F,3,0),"")</f>
        <v>Radiometric</v>
      </c>
      <c r="Y148" s="617" t="str">
        <f>IF($T148="카메라",VLOOKUP($F148,드롭다운!$A:$F,4,0),"")</f>
        <v>Network</v>
      </c>
      <c r="Z148" s="617">
        <f>IF($T148="카메라",VLOOKUP($F148,드롭다운!$A:$F,5,0),"")</f>
        <v>17</v>
      </c>
      <c r="AA148" s="617"/>
    </row>
    <row r="149" spans="1:27">
      <c r="A149" s="135" t="s">
        <v>8773</v>
      </c>
      <c r="B149" s="491">
        <v>6</v>
      </c>
      <c r="C149" s="100" t="str">
        <f>"KR"&amp;TEXT(tbl_국내[[#This Row],[발주일]],"yymmdd")&amp;"-"&amp;TEXT(tbl_국내[[#This Row],[일렬번호]],"00")</f>
        <v>KR250221-06</v>
      </c>
      <c r="D149" s="138" t="s">
        <v>8519</v>
      </c>
      <c r="E149" s="138" t="s">
        <v>7572</v>
      </c>
      <c r="F149" s="462" t="s">
        <v>169</v>
      </c>
      <c r="G149" s="462" t="s">
        <v>168</v>
      </c>
      <c r="H149" s="462">
        <v>4</v>
      </c>
      <c r="I149" s="484">
        <v>6494000</v>
      </c>
      <c r="J149" s="457">
        <f t="shared" si="2"/>
        <v>25976000</v>
      </c>
      <c r="K149" s="457">
        <f>tbl_국내[[#This Row],[금액]]*1.1</f>
        <v>28573600.000000004</v>
      </c>
      <c r="L149" s="458">
        <v>45708</v>
      </c>
      <c r="M149" s="141">
        <v>45709</v>
      </c>
      <c r="N149" s="457">
        <v>25976000</v>
      </c>
      <c r="O149" s="141">
        <v>45709</v>
      </c>
      <c r="P149" s="141" t="s">
        <v>8773</v>
      </c>
      <c r="Q149" s="616" t="s">
        <v>8866</v>
      </c>
      <c r="R149" s="616">
        <f>YEAR(tbl_국내[[#This Row],[계산서
발행일/구매확정일]])</f>
        <v>2025</v>
      </c>
      <c r="S149" s="617">
        <f>IF(국내!$P149="",0,MONTH(국내!$P149))</f>
        <v>2</v>
      </c>
      <c r="T149" s="617" t="str">
        <f>IFERROR(VLOOKUP($F149,product[],6,0),"error")</f>
        <v>카메라</v>
      </c>
      <c r="U149" s="138"/>
      <c r="V149" s="138"/>
      <c r="W149" s="617" t="str">
        <f>IF($T149="카메라",VLOOKUP($F149,드롭다운!$A:$F,2,0),"")</f>
        <v>VGA</v>
      </c>
      <c r="X149" s="617" t="str">
        <f>IF($T149="카메라",VLOOKUP($F149,드롭다운!$A:$F,3,0),"")</f>
        <v>Security</v>
      </c>
      <c r="Y149" s="617" t="str">
        <f>IF($T149="카메라",VLOOKUP($F149,드롭다운!$A:$F,4,0),"")</f>
        <v>Analogue</v>
      </c>
      <c r="Z149" s="617">
        <f>IF($T149="카메라",VLOOKUP($F149,드롭다운!$A:$F,5,0),"")</f>
        <v>17</v>
      </c>
      <c r="AA149" s="617"/>
    </row>
    <row r="150" spans="1:27">
      <c r="A150" s="661" t="s">
        <v>8774</v>
      </c>
      <c r="B150" s="662">
        <v>7</v>
      </c>
      <c r="C150" s="663" t="str">
        <f>"KR"&amp;TEXT(tbl_국내[[#This Row],[발주일]],"yymmdd")&amp;"-"&amp;TEXT(tbl_국내[[#This Row],[일렬번호]],"00")</f>
        <v>KR250225-07</v>
      </c>
      <c r="D150" s="664" t="s">
        <v>246</v>
      </c>
      <c r="E150" s="664" t="s">
        <v>7571</v>
      </c>
      <c r="F150" s="664" t="s">
        <v>8775</v>
      </c>
      <c r="G150" s="664" t="s">
        <v>832</v>
      </c>
      <c r="H150" s="664">
        <v>5</v>
      </c>
      <c r="I150" s="665">
        <v>710000</v>
      </c>
      <c r="J150" s="665">
        <f t="shared" si="2"/>
        <v>3550000</v>
      </c>
      <c r="K150" s="665">
        <f>tbl_국내[[#This Row],[금액]]*1.1</f>
        <v>3905000.0000000005</v>
      </c>
      <c r="L150" s="666">
        <v>45712</v>
      </c>
      <c r="M150" s="667">
        <v>45713</v>
      </c>
      <c r="N150" s="665" t="s">
        <v>8861</v>
      </c>
      <c r="O150" s="667"/>
      <c r="P150" s="667" t="s">
        <v>8774</v>
      </c>
      <c r="Q150" s="668"/>
      <c r="R150" s="668">
        <f>YEAR(tbl_국내[[#This Row],[계산서
발행일/구매확정일]])</f>
        <v>2025</v>
      </c>
      <c r="S150" s="669">
        <f>IF(국내!$P150="",0,MONTH(국내!$P150))</f>
        <v>2</v>
      </c>
      <c r="T150" s="669" t="str">
        <f>IFERROR(VLOOKUP($F150,product[],6,0),"error")</f>
        <v>error</v>
      </c>
      <c r="U150" s="664"/>
      <c r="V150" s="664"/>
      <c r="W150" s="669" t="str">
        <f>IF($T150="카메라",VLOOKUP($F150,드롭다운!$A:$F,2,0),"")</f>
        <v/>
      </c>
      <c r="X150" s="669" t="str">
        <f>IF($T150="카메라",VLOOKUP($F150,드롭다운!$A:$F,3,0),"")</f>
        <v/>
      </c>
      <c r="Y150" s="669" t="str">
        <f>IF($T150="카메라",VLOOKUP($F150,드롭다운!$A:$F,4,0),"")</f>
        <v/>
      </c>
      <c r="Z150" s="669" t="str">
        <f>IF($T150="카메라",VLOOKUP($F150,드롭다운!$A:$F,5,0),"")</f>
        <v/>
      </c>
      <c r="AA150" s="669"/>
    </row>
    <row r="151" spans="1:27">
      <c r="A151" s="135" t="s">
        <v>8776</v>
      </c>
      <c r="B151" s="491">
        <v>8</v>
      </c>
      <c r="C151" s="100" t="str">
        <f>"KR"&amp;TEXT(tbl_국내[[#This Row],[발주일]],"yymmdd")&amp;"-"&amp;TEXT(tbl_국내[[#This Row],[일렬번호]],"00")</f>
        <v>KR250228-08</v>
      </c>
      <c r="D151" s="138" t="s">
        <v>8777</v>
      </c>
      <c r="E151" s="138" t="s">
        <v>7572</v>
      </c>
      <c r="F151" s="138" t="s">
        <v>7645</v>
      </c>
      <c r="G151" s="462" t="s">
        <v>8518</v>
      </c>
      <c r="H151" s="462">
        <v>2</v>
      </c>
      <c r="I151" s="484">
        <v>74000000</v>
      </c>
      <c r="J151" s="457">
        <f t="shared" si="2"/>
        <v>148000000</v>
      </c>
      <c r="K151" s="457">
        <f>tbl_국내[[#This Row],[금액]]*1.1</f>
        <v>162800000</v>
      </c>
      <c r="L151" s="458">
        <v>45715</v>
      </c>
      <c r="M151" s="141">
        <v>45716</v>
      </c>
      <c r="N151" s="457">
        <v>162800000</v>
      </c>
      <c r="O151" s="141">
        <v>45730</v>
      </c>
      <c r="P151" s="141" t="s">
        <v>8776</v>
      </c>
      <c r="Q151" s="616"/>
      <c r="R151" s="616">
        <f>YEAR(tbl_국내[[#This Row],[계산서
발행일/구매확정일]])</f>
        <v>2025</v>
      </c>
      <c r="S151" s="617">
        <f>IF(국내!$P151="",0,MONTH(국내!$P151))</f>
        <v>2</v>
      </c>
      <c r="T151" s="617" t="str">
        <f>IFERROR(VLOOKUP($F151,product[],6,0),"error")</f>
        <v>error</v>
      </c>
      <c r="U151" s="138"/>
      <c r="V151" s="138"/>
      <c r="W151" s="617" t="str">
        <f>IF($T151="카메라",VLOOKUP($F151,드롭다운!$A:$F,2,0),"")</f>
        <v/>
      </c>
      <c r="X151" s="617" t="str">
        <f>IF($T151="카메라",VLOOKUP($F151,드롭다운!$A:$F,3,0),"")</f>
        <v/>
      </c>
      <c r="Y151" s="617" t="str">
        <f>IF($T151="카메라",VLOOKUP($F151,드롭다운!$A:$F,4,0),"")</f>
        <v/>
      </c>
      <c r="Z151" s="617" t="str">
        <f>IF($T151="카메라",VLOOKUP($F151,드롭다운!$A:$F,5,0),"")</f>
        <v/>
      </c>
      <c r="AA151" s="617"/>
    </row>
    <row r="152" spans="1:27">
      <c r="A152" s="135" t="s">
        <v>8778</v>
      </c>
      <c r="B152" s="491">
        <v>1</v>
      </c>
      <c r="C152" s="100" t="str">
        <f>"KR"&amp;TEXT(tbl_국내[[#This Row],[발주일]],"yymmdd")&amp;"-"&amp;TEXT(tbl_국내[[#This Row],[일렬번호]],"00")</f>
        <v>KR250304-01</v>
      </c>
      <c r="D152" s="138" t="s">
        <v>127</v>
      </c>
      <c r="E152" s="138" t="s">
        <v>7572</v>
      </c>
      <c r="F152" s="138" t="s">
        <v>8819</v>
      </c>
      <c r="G152" s="138" t="s">
        <v>8818</v>
      </c>
      <c r="H152" s="138">
        <v>2</v>
      </c>
      <c r="I152" s="457">
        <v>2600000</v>
      </c>
      <c r="J152" s="457">
        <f t="shared" si="2"/>
        <v>5200000</v>
      </c>
      <c r="K152" s="457">
        <f>tbl_국내[[#This Row],[금액]]*1.1</f>
        <v>5720000</v>
      </c>
      <c r="L152" s="458">
        <v>45719</v>
      </c>
      <c r="M152" s="141">
        <v>45720</v>
      </c>
      <c r="N152" s="457">
        <v>5720000</v>
      </c>
      <c r="O152" s="141">
        <v>45730</v>
      </c>
      <c r="P152" s="141" t="s">
        <v>8778</v>
      </c>
      <c r="Q152" s="616"/>
      <c r="R152" s="616">
        <f>YEAR(tbl_국내[[#This Row],[계산서
발행일/구매확정일]])</f>
        <v>2025</v>
      </c>
      <c r="S152" s="617">
        <f>IF(국내!$P152="",0,MONTH(국내!$P152))</f>
        <v>3</v>
      </c>
      <c r="T152" s="617" t="str">
        <f>IFERROR(VLOOKUP($F152,product[],6,0),"error")</f>
        <v>카메라</v>
      </c>
      <c r="U152" s="138"/>
      <c r="V152" s="138"/>
      <c r="W152" s="617" t="str">
        <f>IF($T152="카메라",VLOOKUP($F152,드롭다운!$A:$F,2,0),"")</f>
        <v>QVGA</v>
      </c>
      <c r="X152" s="617" t="str">
        <f>IF($T152="카메라",VLOOKUP($F152,드롭다운!$A:$F,3,0),"")</f>
        <v>Radiometric</v>
      </c>
      <c r="Y152" s="617" t="str">
        <f>IF($T152="카메라",VLOOKUP($F152,드롭다운!$A:$F,4,0),"")</f>
        <v>Analogue</v>
      </c>
      <c r="Z152" s="617">
        <f>IF($T152="카메라",VLOOKUP($F152,드롭다운!$A:$F,5,0),"")</f>
        <v>17</v>
      </c>
      <c r="AA152" s="617"/>
    </row>
    <row r="153" spans="1:27">
      <c r="A153" s="135" t="s">
        <v>8779</v>
      </c>
      <c r="B153" s="491">
        <v>2</v>
      </c>
      <c r="C153" s="100" t="str">
        <f>"KR"&amp;TEXT(tbl_국내[[#This Row],[발주일]],"yymmdd")&amp;"-"&amp;TEXT(tbl_국내[[#This Row],[일렬번호]],"00")</f>
        <v>KR250306-02</v>
      </c>
      <c r="D153" s="138" t="s">
        <v>247</v>
      </c>
      <c r="E153" s="138" t="s">
        <v>8815</v>
      </c>
      <c r="F153" s="138" t="s">
        <v>8814</v>
      </c>
      <c r="G153" s="138" t="s">
        <v>8780</v>
      </c>
      <c r="H153" s="138">
        <v>1</v>
      </c>
      <c r="I153" s="457">
        <v>250000</v>
      </c>
      <c r="J153" s="457">
        <f t="shared" si="2"/>
        <v>250000</v>
      </c>
      <c r="K153" s="457">
        <f>tbl_국내[[#This Row],[금액]]*1.1</f>
        <v>275000</v>
      </c>
      <c r="L153" s="458">
        <v>45721</v>
      </c>
      <c r="M153" s="141">
        <v>45722</v>
      </c>
      <c r="N153" s="457">
        <v>275000</v>
      </c>
      <c r="O153" s="141">
        <v>45734</v>
      </c>
      <c r="P153" s="141" t="s">
        <v>8779</v>
      </c>
      <c r="Q153" s="616"/>
      <c r="R153" s="616">
        <f>YEAR(tbl_국내[[#This Row],[계산서
발행일/구매확정일]])</f>
        <v>2025</v>
      </c>
      <c r="S153" s="617">
        <f>IF(국내!$P153="",0,MONTH(국내!$P153))</f>
        <v>3</v>
      </c>
      <c r="T153" s="617" t="str">
        <f>IFERROR(VLOOKUP($F153,product[],6,0),"error")</f>
        <v>error</v>
      </c>
      <c r="U153" s="138"/>
      <c r="V153" s="138"/>
      <c r="W153" s="617" t="str">
        <f>IF($T153="카메라",VLOOKUP($F153,드롭다운!$A:$F,2,0),"")</f>
        <v/>
      </c>
      <c r="X153" s="617" t="str">
        <f>IF($T153="카메라",VLOOKUP($F153,드롭다운!$A:$F,3,0),"")</f>
        <v/>
      </c>
      <c r="Y153" s="617" t="str">
        <f>IF($T153="카메라",VLOOKUP($F153,드롭다운!$A:$F,4,0),"")</f>
        <v/>
      </c>
      <c r="Z153" s="617" t="str">
        <f>IF($T153="카메라",VLOOKUP($F153,드롭다운!$A:$F,5,0),"")</f>
        <v/>
      </c>
      <c r="AA153" s="617"/>
    </row>
    <row r="154" spans="1:27">
      <c r="A154" s="135" t="s">
        <v>8781</v>
      </c>
      <c r="B154" s="491">
        <v>3</v>
      </c>
      <c r="C154" s="100" t="str">
        <f>"KR"&amp;TEXT(tbl_국내[[#This Row],[발주일]],"yymmdd")&amp;"-"&amp;TEXT(tbl_국내[[#This Row],[일렬번호]],"00")</f>
        <v>KR250311-03</v>
      </c>
      <c r="D154" s="138" t="s">
        <v>127</v>
      </c>
      <c r="E154" s="138" t="s">
        <v>8815</v>
      </c>
      <c r="F154" s="138" t="s">
        <v>8814</v>
      </c>
      <c r="G154" s="138" t="s">
        <v>8782</v>
      </c>
      <c r="H154" s="138">
        <v>1</v>
      </c>
      <c r="I154" s="457">
        <v>730000</v>
      </c>
      <c r="J154" s="457">
        <f t="shared" si="2"/>
        <v>730000</v>
      </c>
      <c r="K154" s="457">
        <f>tbl_국내[[#This Row],[금액]]*1.1</f>
        <v>803000.00000000012</v>
      </c>
      <c r="L154" s="458">
        <v>45726</v>
      </c>
      <c r="M154" s="141">
        <v>45727</v>
      </c>
      <c r="N154" s="457">
        <v>803000</v>
      </c>
      <c r="O154" s="141">
        <v>45743</v>
      </c>
      <c r="P154" s="141" t="s">
        <v>8781</v>
      </c>
      <c r="Q154" s="616"/>
      <c r="R154" s="616">
        <f>YEAR(tbl_국내[[#This Row],[계산서
발행일/구매확정일]])</f>
        <v>2025</v>
      </c>
      <c r="S154" s="617">
        <f>IF(국내!$P154="",0,MONTH(국내!$P154))</f>
        <v>3</v>
      </c>
      <c r="T154" s="617" t="str">
        <f>IFERROR(VLOOKUP($F154,product[],6,0),"error")</f>
        <v>error</v>
      </c>
      <c r="U154" s="138"/>
      <c r="V154" s="138"/>
      <c r="W154" s="617" t="str">
        <f>IF($T154="카메라",VLOOKUP($F154,드롭다운!$A:$F,2,0),"")</f>
        <v/>
      </c>
      <c r="X154" s="617" t="str">
        <f>IF($T154="카메라",VLOOKUP($F154,드롭다운!$A:$F,3,0),"")</f>
        <v/>
      </c>
      <c r="Y154" s="617" t="str">
        <f>IF($T154="카메라",VLOOKUP($F154,드롭다운!$A:$F,4,0),"")</f>
        <v/>
      </c>
      <c r="Z154" s="617" t="str">
        <f>IF($T154="카메라",VLOOKUP($F154,드롭다운!$A:$F,5,0),"")</f>
        <v/>
      </c>
      <c r="AA154" s="617"/>
    </row>
    <row r="155" spans="1:27">
      <c r="A155" s="135" t="s">
        <v>8783</v>
      </c>
      <c r="B155" s="491">
        <v>4</v>
      </c>
      <c r="C155" s="100" t="str">
        <f>"KR"&amp;TEXT(tbl_국내[[#This Row],[발주일]],"yymmdd")&amp;"-"&amp;TEXT(tbl_국내[[#This Row],[일렬번호]],"00")</f>
        <v>KR250317-04</v>
      </c>
      <c r="D155" s="138" t="s">
        <v>8600</v>
      </c>
      <c r="E155" s="138" t="s">
        <v>8815</v>
      </c>
      <c r="F155" s="138" t="s">
        <v>8814</v>
      </c>
      <c r="G155" s="138" t="s">
        <v>8784</v>
      </c>
      <c r="H155" s="138">
        <v>1</v>
      </c>
      <c r="I155" s="457">
        <v>250000</v>
      </c>
      <c r="J155" s="457">
        <f t="shared" si="2"/>
        <v>250000</v>
      </c>
      <c r="K155" s="457">
        <f>tbl_국내[[#This Row],[금액]]*1.1</f>
        <v>275000</v>
      </c>
      <c r="L155" s="458">
        <v>45732</v>
      </c>
      <c r="M155" s="141">
        <v>45733</v>
      </c>
      <c r="N155" s="457">
        <v>275000</v>
      </c>
      <c r="O155" s="141">
        <v>45734</v>
      </c>
      <c r="P155" s="141" t="s">
        <v>8783</v>
      </c>
      <c r="Q155" s="616"/>
      <c r="R155" s="616">
        <f>YEAR(tbl_국내[[#This Row],[계산서
발행일/구매확정일]])</f>
        <v>2025</v>
      </c>
      <c r="S155" s="617">
        <f>IF(국내!$P155="",0,MONTH(국내!$P155))</f>
        <v>3</v>
      </c>
      <c r="T155" s="617" t="str">
        <f>IFERROR(VLOOKUP($F155,product[],6,0),"error")</f>
        <v>error</v>
      </c>
      <c r="U155" s="138"/>
      <c r="V155" s="138"/>
      <c r="W155" s="617" t="str">
        <f>IF($T155="카메라",VLOOKUP($F155,드롭다운!$A:$F,2,0),"")</f>
        <v/>
      </c>
      <c r="X155" s="617" t="str">
        <f>IF($T155="카메라",VLOOKUP($F155,드롭다운!$A:$F,3,0),"")</f>
        <v/>
      </c>
      <c r="Y155" s="617" t="str">
        <f>IF($T155="카메라",VLOOKUP($F155,드롭다운!$A:$F,4,0),"")</f>
        <v/>
      </c>
      <c r="Z155" s="617" t="str">
        <f>IF($T155="카메라",VLOOKUP($F155,드롭다운!$A:$F,5,0),"")</f>
        <v/>
      </c>
      <c r="AA155" s="617"/>
    </row>
    <row r="156" spans="1:27">
      <c r="A156" s="135" t="s">
        <v>8785</v>
      </c>
      <c r="B156" s="491">
        <v>6</v>
      </c>
      <c r="C156" s="100" t="str">
        <f>"KR"&amp;TEXT(tbl_국내[[#This Row],[발주일]],"yymmdd")&amp;"-"&amp;TEXT(tbl_국내[[#This Row],[일렬번호]],"00")</f>
        <v>KR250320-06</v>
      </c>
      <c r="D156" s="138" t="s">
        <v>128</v>
      </c>
      <c r="E156" s="138" t="s">
        <v>7572</v>
      </c>
      <c r="F156" s="138" t="s">
        <v>103</v>
      </c>
      <c r="G156" s="138" t="s">
        <v>8308</v>
      </c>
      <c r="H156" s="138">
        <v>5</v>
      </c>
      <c r="I156" s="457">
        <v>5216400</v>
      </c>
      <c r="J156" s="457">
        <f t="shared" si="2"/>
        <v>26082000</v>
      </c>
      <c r="K156" s="457">
        <f>tbl_국내[[#This Row],[금액]]*1.1</f>
        <v>28690200.000000004</v>
      </c>
      <c r="L156" s="458">
        <v>45735</v>
      </c>
      <c r="M156" s="141">
        <v>45736</v>
      </c>
      <c r="N156" s="457" t="s">
        <v>172</v>
      </c>
      <c r="O156" s="457" t="s">
        <v>172</v>
      </c>
      <c r="P156" s="141" t="s">
        <v>8785</v>
      </c>
      <c r="Q156" s="616"/>
      <c r="R156" s="616">
        <f>YEAR(tbl_국내[[#This Row],[계산서
발행일/구매확정일]])</f>
        <v>2025</v>
      </c>
      <c r="S156" s="617">
        <f>IF(국내!$P156="",0,MONTH(국내!$P156))</f>
        <v>3</v>
      </c>
      <c r="T156" s="617" t="str">
        <f>IFERROR(VLOOKUP($F156,product[],6,0),"error")</f>
        <v>카메라</v>
      </c>
      <c r="U156" s="138"/>
      <c r="V156" s="138"/>
      <c r="W156" s="617" t="str">
        <f>IF($T156="카메라",VLOOKUP($F156,드롭다운!$A:$F,2,0),"")</f>
        <v>VGA</v>
      </c>
      <c r="X156" s="617" t="str">
        <f>IF($T156="카메라",VLOOKUP($F156,드롭다운!$A:$F,3,0),"")</f>
        <v>Radiometric</v>
      </c>
      <c r="Y156" s="617" t="str">
        <f>IF($T156="카메라",VLOOKUP($F156,드롭다운!$A:$F,4,0),"")</f>
        <v>Network</v>
      </c>
      <c r="Z156" s="617">
        <f>IF($T156="카메라",VLOOKUP($F156,드롭다운!$A:$F,5,0),"")</f>
        <v>17</v>
      </c>
      <c r="AA156" s="617"/>
    </row>
    <row r="157" spans="1:27">
      <c r="A157" s="135" t="s">
        <v>8785</v>
      </c>
      <c r="B157" s="491">
        <v>6</v>
      </c>
      <c r="C157" s="100" t="str">
        <f>"KR"&amp;TEXT(tbl_국내[[#This Row],[발주일]],"yymmdd")&amp;"-"&amp;TEXT(tbl_국내[[#This Row],[일렬번호]],"00")</f>
        <v>KR250320-06</v>
      </c>
      <c r="D157" s="138" t="s">
        <v>128</v>
      </c>
      <c r="E157" s="138" t="s">
        <v>7572</v>
      </c>
      <c r="F157" s="138" t="s">
        <v>103</v>
      </c>
      <c r="G157" s="138" t="s">
        <v>7550</v>
      </c>
      <c r="H157" s="138">
        <v>1</v>
      </c>
      <c r="I157" s="457">
        <v>5292000</v>
      </c>
      <c r="J157" s="457">
        <f t="shared" si="2"/>
        <v>5292000</v>
      </c>
      <c r="K157" s="457">
        <f>tbl_국내[[#This Row],[금액]]*1.1</f>
        <v>5821200.0000000009</v>
      </c>
      <c r="L157" s="458">
        <v>45735</v>
      </c>
      <c r="M157" s="141">
        <v>45736</v>
      </c>
      <c r="N157" s="457" t="s">
        <v>172</v>
      </c>
      <c r="O157" s="457" t="s">
        <v>172</v>
      </c>
      <c r="P157" s="141" t="s">
        <v>8785</v>
      </c>
      <c r="Q157" s="616"/>
      <c r="R157" s="616">
        <f>YEAR(tbl_국내[[#This Row],[계산서
발행일/구매확정일]])</f>
        <v>2025</v>
      </c>
      <c r="S157" s="617">
        <f>IF(국내!$P157="",0,MONTH(국내!$P157))</f>
        <v>3</v>
      </c>
      <c r="T157" s="617" t="str">
        <f>IFERROR(VLOOKUP($F157,product[],6,0),"error")</f>
        <v>카메라</v>
      </c>
      <c r="U157" s="138"/>
      <c r="V157" s="138"/>
      <c r="W157" s="617" t="str">
        <f>IF($T157="카메라",VLOOKUP($F157,드롭다운!$A:$F,2,0),"")</f>
        <v>VGA</v>
      </c>
      <c r="X157" s="617" t="str">
        <f>IF($T157="카메라",VLOOKUP($F157,드롭다운!$A:$F,3,0),"")</f>
        <v>Radiometric</v>
      </c>
      <c r="Y157" s="617" t="str">
        <f>IF($T157="카메라",VLOOKUP($F157,드롭다운!$A:$F,4,0),"")</f>
        <v>Network</v>
      </c>
      <c r="Z157" s="617">
        <f>IF($T157="카메라",VLOOKUP($F157,드롭다운!$A:$F,5,0),"")</f>
        <v>17</v>
      </c>
      <c r="AA157" s="617"/>
    </row>
    <row r="158" spans="1:27">
      <c r="A158" s="135" t="s">
        <v>8785</v>
      </c>
      <c r="B158" s="491">
        <v>7</v>
      </c>
      <c r="C158" s="100" t="str">
        <f>"KR"&amp;TEXT(tbl_국내[[#This Row],[발주일]],"yymmdd")&amp;"-"&amp;TEXT(tbl_국내[[#This Row],[일렬번호]],"00")</f>
        <v>KR250320-07</v>
      </c>
      <c r="D158" s="138" t="s">
        <v>1800</v>
      </c>
      <c r="E158" s="138" t="s">
        <v>7572</v>
      </c>
      <c r="F158" s="462" t="s">
        <v>251</v>
      </c>
      <c r="G158" s="462" t="s">
        <v>7565</v>
      </c>
      <c r="H158" s="462">
        <v>3</v>
      </c>
      <c r="I158" s="457">
        <v>5000000</v>
      </c>
      <c r="J158" s="457">
        <f t="shared" si="2"/>
        <v>15000000</v>
      </c>
      <c r="K158" s="457">
        <f>tbl_국내[[#This Row],[금액]]*1.1</f>
        <v>16500000.000000002</v>
      </c>
      <c r="L158" s="458">
        <v>45735</v>
      </c>
      <c r="M158" s="141">
        <v>45736</v>
      </c>
      <c r="N158" s="457">
        <v>16500000</v>
      </c>
      <c r="O158" s="141">
        <v>45741</v>
      </c>
      <c r="P158" s="141" t="s">
        <v>8785</v>
      </c>
      <c r="Q158" s="616"/>
      <c r="R158" s="616">
        <f>YEAR(tbl_국내[[#This Row],[계산서
발행일/구매확정일]])</f>
        <v>2025</v>
      </c>
      <c r="S158" s="617">
        <f>IF(국내!$P158="",0,MONTH(국내!$P158))</f>
        <v>3</v>
      </c>
      <c r="T158" s="617" t="str">
        <f>IFERROR(VLOOKUP($F158,product[],6,0),"error")</f>
        <v>카메라</v>
      </c>
      <c r="U158" s="138"/>
      <c r="V158" s="138"/>
      <c r="W158" s="617" t="str">
        <f>IF($T158="카메라",VLOOKUP($F158,드롭다운!$A:$F,2,0),"")</f>
        <v>VGA</v>
      </c>
      <c r="X158" s="617" t="str">
        <f>IF($T158="카메라",VLOOKUP($F158,드롭다운!$A:$F,3,0),"")</f>
        <v>Radiometric</v>
      </c>
      <c r="Y158" s="617" t="str">
        <f>IF($T158="카메라",VLOOKUP($F158,드롭다운!$A:$F,4,0),"")</f>
        <v>Network</v>
      </c>
      <c r="Z158" s="617">
        <f>IF($T158="카메라",VLOOKUP($F158,드롭다운!$A:$F,5,0),"")</f>
        <v>17</v>
      </c>
      <c r="AA158" s="617"/>
    </row>
    <row r="159" spans="1:27">
      <c r="A159" s="135" t="s">
        <v>8785</v>
      </c>
      <c r="B159" s="491">
        <v>7</v>
      </c>
      <c r="C159" s="100" t="str">
        <f>"KR"&amp;TEXT(tbl_국내[[#This Row],[발주일]],"yymmdd")&amp;"-"&amp;TEXT(tbl_국내[[#This Row],[일렬번호]],"00")</f>
        <v>KR250320-07</v>
      </c>
      <c r="D159" s="138" t="s">
        <v>1800</v>
      </c>
      <c r="E159" s="138" t="s">
        <v>7574</v>
      </c>
      <c r="F159" s="138" t="s">
        <v>7567</v>
      </c>
      <c r="G159" s="138" t="s">
        <v>7647</v>
      </c>
      <c r="H159" s="138">
        <v>3</v>
      </c>
      <c r="I159" s="457">
        <v>0</v>
      </c>
      <c r="J159" s="457">
        <f t="shared" si="2"/>
        <v>0</v>
      </c>
      <c r="K159" s="457">
        <f>tbl_국내[[#This Row],[금액]]*1.1</f>
        <v>0</v>
      </c>
      <c r="L159" s="458">
        <v>45735</v>
      </c>
      <c r="M159" s="141">
        <v>45736</v>
      </c>
      <c r="N159" s="457">
        <v>0</v>
      </c>
      <c r="O159" s="141">
        <v>45741</v>
      </c>
      <c r="P159" s="141" t="s">
        <v>8785</v>
      </c>
      <c r="Q159" s="616"/>
      <c r="R159" s="616">
        <f>YEAR(tbl_국내[[#This Row],[계산서
발행일/구매확정일]])</f>
        <v>2025</v>
      </c>
      <c r="S159" s="617">
        <f>IF(국내!$P159="",0,MONTH(국내!$P159))</f>
        <v>3</v>
      </c>
      <c r="T159" s="617" t="str">
        <f>IFERROR(VLOOKUP($F159,product[],6,0),"error")</f>
        <v>error</v>
      </c>
      <c r="U159" s="138"/>
      <c r="V159" s="138"/>
      <c r="W159" s="617" t="str">
        <f>IF($T159="카메라",VLOOKUP($F159,드롭다운!$A:$F,2,0),"")</f>
        <v/>
      </c>
      <c r="X159" s="617" t="str">
        <f>IF($T159="카메라",VLOOKUP($F159,드롭다운!$A:$F,3,0),"")</f>
        <v/>
      </c>
      <c r="Y159" s="617" t="str">
        <f>IF($T159="카메라",VLOOKUP($F159,드롭다운!$A:$F,4,0),"")</f>
        <v/>
      </c>
      <c r="Z159" s="617" t="str">
        <f>IF($T159="카메라",VLOOKUP($F159,드롭다운!$A:$F,5,0),"")</f>
        <v/>
      </c>
      <c r="AA159" s="617"/>
    </row>
    <row r="160" spans="1:27">
      <c r="A160" s="135" t="s">
        <v>8785</v>
      </c>
      <c r="B160" s="491">
        <v>7</v>
      </c>
      <c r="C160" s="100" t="str">
        <f>"KR"&amp;TEXT(tbl_국내[[#This Row],[발주일]],"yymmdd")&amp;"-"&amp;TEXT(tbl_국내[[#This Row],[일렬번호]],"00")</f>
        <v>KR250320-07</v>
      </c>
      <c r="D160" s="138" t="s">
        <v>1800</v>
      </c>
      <c r="E160" s="138" t="s">
        <v>7575</v>
      </c>
      <c r="F160" s="138" t="s">
        <v>8542</v>
      </c>
      <c r="G160" s="138" t="s">
        <v>7647</v>
      </c>
      <c r="H160" s="138">
        <v>3</v>
      </c>
      <c r="I160" s="457">
        <v>0</v>
      </c>
      <c r="J160" s="457">
        <f t="shared" si="2"/>
        <v>0</v>
      </c>
      <c r="K160" s="457">
        <f>tbl_국내[[#This Row],[금액]]*1.1</f>
        <v>0</v>
      </c>
      <c r="L160" s="458">
        <v>45735</v>
      </c>
      <c r="M160" s="141">
        <v>45736</v>
      </c>
      <c r="N160" s="457">
        <v>0</v>
      </c>
      <c r="O160" s="141">
        <v>45741</v>
      </c>
      <c r="P160" s="141" t="s">
        <v>8785</v>
      </c>
      <c r="Q160" s="616"/>
      <c r="R160" s="616">
        <f>YEAR(tbl_국내[[#This Row],[계산서
발행일/구매확정일]])</f>
        <v>2025</v>
      </c>
      <c r="S160" s="617">
        <f>IF(국내!$P160="",0,MONTH(국내!$P160))</f>
        <v>3</v>
      </c>
      <c r="T160" s="617" t="str">
        <f>IFERROR(VLOOKUP($F160,product[],6,0),"error")</f>
        <v>error</v>
      </c>
      <c r="U160" s="138"/>
      <c r="V160" s="138"/>
      <c r="W160" s="617" t="str">
        <f>IF($T160="카메라",VLOOKUP($F160,드롭다운!$A:$F,2,0),"")</f>
        <v/>
      </c>
      <c r="X160" s="617" t="str">
        <f>IF($T160="카메라",VLOOKUP($F160,드롭다운!$A:$F,3,0),"")</f>
        <v/>
      </c>
      <c r="Y160" s="617" t="str">
        <f>IF($T160="카메라",VLOOKUP($F160,드롭다운!$A:$F,4,0),"")</f>
        <v/>
      </c>
      <c r="Z160" s="617" t="str">
        <f>IF($T160="카메라",VLOOKUP($F160,드롭다운!$A:$F,5,0),"")</f>
        <v/>
      </c>
      <c r="AA160" s="617"/>
    </row>
    <row r="161" spans="1:27">
      <c r="A161" s="135" t="s">
        <v>8786</v>
      </c>
      <c r="B161" s="491">
        <v>8</v>
      </c>
      <c r="C161" s="100" t="str">
        <f>"KR"&amp;TEXT(tbl_국내[[#This Row],[발주일]],"yymmdd")&amp;"-"&amp;TEXT(tbl_국내[[#This Row],[일렬번호]],"00")</f>
        <v>KR250327-08</v>
      </c>
      <c r="D161" s="138" t="s">
        <v>8578</v>
      </c>
      <c r="E161" s="138" t="s">
        <v>7572</v>
      </c>
      <c r="F161" s="462" t="s">
        <v>252</v>
      </c>
      <c r="G161" s="462" t="s">
        <v>8618</v>
      </c>
      <c r="H161" s="462">
        <v>3</v>
      </c>
      <c r="I161" s="457">
        <v>2866000</v>
      </c>
      <c r="J161" s="457">
        <f t="shared" si="2"/>
        <v>8598000</v>
      </c>
      <c r="K161" s="457">
        <f>tbl_국내[[#This Row],[금액]]*1.1</f>
        <v>9457800</v>
      </c>
      <c r="L161" s="458">
        <v>45742</v>
      </c>
      <c r="M161" s="141">
        <v>45743</v>
      </c>
      <c r="N161" s="457">
        <v>9457800</v>
      </c>
      <c r="O161" s="141">
        <v>45747</v>
      </c>
      <c r="P161" s="141" t="s">
        <v>8786</v>
      </c>
      <c r="Q161" s="616"/>
      <c r="R161" s="616">
        <f>YEAR(tbl_국내[[#This Row],[계산서
발행일/구매확정일]])</f>
        <v>2025</v>
      </c>
      <c r="S161" s="617">
        <f>IF(국내!$P161="",0,MONTH(국내!$P161))</f>
        <v>3</v>
      </c>
      <c r="T161" s="617" t="str">
        <f>IFERROR(VLOOKUP($F161,product[],6,0),"error")</f>
        <v>카메라</v>
      </c>
      <c r="U161" s="138"/>
      <c r="V161" s="138"/>
      <c r="W161" s="617" t="str">
        <f>IF($T161="카메라",VLOOKUP($F161,드롭다운!$A:$F,2,0),"")</f>
        <v>QVGA</v>
      </c>
      <c r="X161" s="617" t="str">
        <f>IF($T161="카메라",VLOOKUP($F161,드롭다운!$A:$F,3,0),"")</f>
        <v>Radiometric</v>
      </c>
      <c r="Y161" s="617" t="str">
        <f>IF($T161="카메라",VLOOKUP($F161,드롭다운!$A:$F,4,0),"")</f>
        <v>Analogue</v>
      </c>
      <c r="Z161" s="617">
        <f>IF($T161="카메라",VLOOKUP($F161,드롭다운!$A:$F,5,0),"")</f>
        <v>17</v>
      </c>
      <c r="AA161" s="617"/>
    </row>
    <row r="162" spans="1:27">
      <c r="A162" s="135" t="s">
        <v>8786</v>
      </c>
      <c r="B162" s="491">
        <v>9</v>
      </c>
      <c r="C162" s="100" t="str">
        <f>"KR"&amp;TEXT(tbl_국내[[#This Row],[발주일]],"yymmdd")&amp;"-"&amp;TEXT(tbl_국내[[#This Row],[일렬번호]],"00")</f>
        <v>KR250327-09</v>
      </c>
      <c r="D162" s="138" t="s">
        <v>199</v>
      </c>
      <c r="E162" s="138" t="s">
        <v>7572</v>
      </c>
      <c r="F162" s="138" t="s">
        <v>8787</v>
      </c>
      <c r="G162" s="138" t="s">
        <v>832</v>
      </c>
      <c r="H162" s="138">
        <v>2</v>
      </c>
      <c r="I162" s="457">
        <v>3300000</v>
      </c>
      <c r="J162" s="457">
        <f t="shared" si="2"/>
        <v>6600000</v>
      </c>
      <c r="K162" s="457">
        <f>tbl_국내[[#This Row],[금액]]*1.1</f>
        <v>7260000.0000000009</v>
      </c>
      <c r="L162" s="458">
        <v>45742</v>
      </c>
      <c r="M162" s="141">
        <v>45743</v>
      </c>
      <c r="N162" s="457">
        <v>7260000</v>
      </c>
      <c r="O162" s="141">
        <v>45777</v>
      </c>
      <c r="P162" s="141" t="s">
        <v>8786</v>
      </c>
      <c r="Q162" s="616"/>
      <c r="R162" s="616">
        <f>YEAR(tbl_국내[[#This Row],[계산서
발행일/구매확정일]])</f>
        <v>2025</v>
      </c>
      <c r="S162" s="617">
        <f>IF(국내!$P162="",0,MONTH(국내!$P162))</f>
        <v>3</v>
      </c>
      <c r="T162" s="617" t="str">
        <f>IFERROR(VLOOKUP($F162,product[],6,0),"error")</f>
        <v>error</v>
      </c>
      <c r="U162" s="138"/>
      <c r="V162" s="138"/>
      <c r="W162" s="617" t="str">
        <f>IF($T162="카메라",VLOOKUP($F162,드롭다운!$A:$F,2,0),"")</f>
        <v/>
      </c>
      <c r="X162" s="617" t="str">
        <f>IF($T162="카메라",VLOOKUP($F162,드롭다운!$A:$F,3,0),"")</f>
        <v/>
      </c>
      <c r="Y162" s="617" t="str">
        <f>IF($T162="카메라",VLOOKUP($F162,드롭다운!$A:$F,4,0),"")</f>
        <v/>
      </c>
      <c r="Z162" s="617" t="str">
        <f>IF($T162="카메라",VLOOKUP($F162,드롭다운!$A:$F,5,0),"")</f>
        <v/>
      </c>
      <c r="AA162" s="617"/>
    </row>
    <row r="163" spans="1:27">
      <c r="A163" s="135" t="s">
        <v>8786</v>
      </c>
      <c r="B163" s="491">
        <v>10</v>
      </c>
      <c r="C163" s="100" t="str">
        <f>"KR"&amp;TEXT(tbl_국내[[#This Row],[발주일]],"yymmdd")&amp;"-"&amp;TEXT(tbl_국내[[#This Row],[일렬번호]],"00")</f>
        <v>KR250327-10</v>
      </c>
      <c r="D163" s="462" t="s">
        <v>8619</v>
      </c>
      <c r="E163" s="138" t="s">
        <v>7572</v>
      </c>
      <c r="F163" s="462" t="s">
        <v>7556</v>
      </c>
      <c r="G163" s="462" t="s">
        <v>8625</v>
      </c>
      <c r="H163" s="462">
        <v>2</v>
      </c>
      <c r="I163" s="457">
        <v>5628000</v>
      </c>
      <c r="J163" s="457">
        <f t="shared" si="2"/>
        <v>11256000</v>
      </c>
      <c r="K163" s="457">
        <f>tbl_국내[[#This Row],[금액]]*1.1</f>
        <v>12381600.000000002</v>
      </c>
      <c r="L163" s="458">
        <v>45742</v>
      </c>
      <c r="M163" s="141">
        <v>45743</v>
      </c>
      <c r="N163" s="457">
        <v>12381600</v>
      </c>
      <c r="O163" s="141">
        <v>45747</v>
      </c>
      <c r="P163" s="141" t="s">
        <v>8786</v>
      </c>
      <c r="Q163" s="616"/>
      <c r="R163" s="616">
        <f>YEAR(tbl_국내[[#This Row],[계산서
발행일/구매확정일]])</f>
        <v>2025</v>
      </c>
      <c r="S163" s="617">
        <f>IF(국내!$P163="",0,MONTH(국내!$P163))</f>
        <v>3</v>
      </c>
      <c r="T163" s="617" t="str">
        <f>IFERROR(VLOOKUP($F163,product[],6,0),"error")</f>
        <v>카메라</v>
      </c>
      <c r="U163" s="138"/>
      <c r="V163" s="138"/>
      <c r="W163" s="617" t="str">
        <f>IF($T163="카메라",VLOOKUP($F163,드롭다운!$A:$F,2,0),"")</f>
        <v>VGA</v>
      </c>
      <c r="X163" s="617" t="str">
        <f>IF($T163="카메라",VLOOKUP($F163,드롭다운!$A:$F,3,0),"")</f>
        <v>Security</v>
      </c>
      <c r="Y163" s="617" t="str">
        <f>IF($T163="카메라",VLOOKUP($F163,드롭다운!$A:$F,4,0),"")</f>
        <v>Network</v>
      </c>
      <c r="Z163" s="617">
        <f>IF($T163="카메라",VLOOKUP($F163,드롭다운!$A:$F,5,0),"")</f>
        <v>12</v>
      </c>
      <c r="AA163" s="617"/>
    </row>
    <row r="164" spans="1:27">
      <c r="A164" s="135" t="s">
        <v>8788</v>
      </c>
      <c r="B164" s="491">
        <v>11</v>
      </c>
      <c r="C164" s="100" t="str">
        <f>"KR"&amp;TEXT(tbl_국내[[#This Row],[발주일]],"yymmdd")&amp;"-"&amp;TEXT(tbl_국내[[#This Row],[일렬번호]],"00")</f>
        <v>KR250331-11</v>
      </c>
      <c r="D164" s="138" t="s">
        <v>8501</v>
      </c>
      <c r="E164" s="138" t="s">
        <v>7572</v>
      </c>
      <c r="F164" s="138" t="s">
        <v>7695</v>
      </c>
      <c r="G164" s="138" t="s">
        <v>8505</v>
      </c>
      <c r="H164" s="138">
        <v>2</v>
      </c>
      <c r="I164" s="457">
        <v>6000000</v>
      </c>
      <c r="J164" s="457">
        <f t="shared" si="2"/>
        <v>12000000</v>
      </c>
      <c r="K164" s="457">
        <f>tbl_국내[[#This Row],[금액]]*1.1</f>
        <v>13200000.000000002</v>
      </c>
      <c r="L164" s="458">
        <v>45746</v>
      </c>
      <c r="M164" s="141">
        <v>45747</v>
      </c>
      <c r="N164" s="457">
        <v>14520000</v>
      </c>
      <c r="O164" s="141">
        <v>45747</v>
      </c>
      <c r="P164" s="141" t="s">
        <v>8788</v>
      </c>
      <c r="Q164" s="616"/>
      <c r="R164" s="616">
        <f>YEAR(tbl_국내[[#This Row],[계산서
발행일/구매확정일]])</f>
        <v>2025</v>
      </c>
      <c r="S164" s="617">
        <f>IF(국내!$P164="",0,MONTH(국내!$P164))</f>
        <v>3</v>
      </c>
      <c r="T164" s="617" t="str">
        <f>IFERROR(VLOOKUP($F164,product[],6,0),"error")</f>
        <v>카메라</v>
      </c>
      <c r="U164" s="138"/>
      <c r="V164" s="138"/>
      <c r="W164" s="617" t="str">
        <f>IF($T164="카메라",VLOOKUP($F164,드롭다운!$A:$F,2,0),"")</f>
        <v>VGA</v>
      </c>
      <c r="X164" s="617" t="str">
        <f>IF($T164="카메라",VLOOKUP($F164,드롭다운!$A:$F,3,0),"")</f>
        <v>Radiometric</v>
      </c>
      <c r="Y164" s="617" t="str">
        <f>IF($T164="카메라",VLOOKUP($F164,드롭다운!$A:$F,4,0),"")</f>
        <v>Network</v>
      </c>
      <c r="Z164" s="617">
        <f>IF($T164="카메라",VLOOKUP($F164,드롭다운!$A:$F,5,0),"")</f>
        <v>17</v>
      </c>
      <c r="AA164" s="617"/>
    </row>
    <row r="165" spans="1:27">
      <c r="A165" s="135" t="s">
        <v>8788</v>
      </c>
      <c r="B165" s="491">
        <v>11</v>
      </c>
      <c r="C165" s="100" t="str">
        <f>"KR"&amp;TEXT(tbl_국내[[#This Row],[발주일]],"yymmdd")&amp;"-"&amp;TEXT(tbl_국내[[#This Row],[일렬번호]],"00")</f>
        <v>KR250331-11</v>
      </c>
      <c r="D165" s="138" t="s">
        <v>8501</v>
      </c>
      <c r="E165" s="138" t="s">
        <v>7574</v>
      </c>
      <c r="F165" s="462" t="s">
        <v>7567</v>
      </c>
      <c r="G165" s="462" t="s">
        <v>7394</v>
      </c>
      <c r="H165" s="138">
        <v>2</v>
      </c>
      <c r="I165" s="457">
        <v>600000</v>
      </c>
      <c r="J165" s="457">
        <f t="shared" si="2"/>
        <v>1200000</v>
      </c>
      <c r="K165" s="457">
        <f>tbl_국내[[#This Row],[금액]]*1.1</f>
        <v>1320000</v>
      </c>
      <c r="L165" s="458">
        <v>45746</v>
      </c>
      <c r="M165" s="141">
        <v>45747</v>
      </c>
      <c r="N165" s="457">
        <v>0</v>
      </c>
      <c r="O165" s="141">
        <v>45747</v>
      </c>
      <c r="P165" s="141" t="s">
        <v>8788</v>
      </c>
      <c r="Q165" s="616"/>
      <c r="R165" s="616">
        <f>YEAR(tbl_국내[[#This Row],[계산서
발행일/구매확정일]])</f>
        <v>2025</v>
      </c>
      <c r="S165" s="617">
        <f>IF(국내!$P165="",0,MONTH(국내!$P165))</f>
        <v>3</v>
      </c>
      <c r="T165" s="617" t="str">
        <f>IFERROR(VLOOKUP($F165,product[],6,0),"error")</f>
        <v>error</v>
      </c>
      <c r="U165" s="138"/>
      <c r="V165" s="138"/>
      <c r="W165" s="617" t="str">
        <f>IF($T165="카메라",VLOOKUP($F165,드롭다운!$A:$F,2,0),"")</f>
        <v/>
      </c>
      <c r="X165" s="617" t="str">
        <f>IF($T165="카메라",VLOOKUP($F165,드롭다운!$A:$F,3,0),"")</f>
        <v/>
      </c>
      <c r="Y165" s="617" t="str">
        <f>IF($T165="카메라",VLOOKUP($F165,드롭다운!$A:$F,4,0),"")</f>
        <v/>
      </c>
      <c r="Z165" s="617" t="str">
        <f>IF($T165="카메라",VLOOKUP($F165,드롭다운!$A:$F,5,0),"")</f>
        <v/>
      </c>
      <c r="AA165" s="617"/>
    </row>
    <row r="166" spans="1:27">
      <c r="A166" s="135" t="s">
        <v>8789</v>
      </c>
      <c r="B166" s="491">
        <v>1</v>
      </c>
      <c r="C166" s="100" t="str">
        <f>"KR"&amp;TEXT(tbl_국내[[#This Row],[발주일]],"yymmdd")&amp;"-"&amp;TEXT(tbl_국내[[#This Row],[일렬번호]],"00")</f>
        <v>KR250402-01</v>
      </c>
      <c r="D166" s="138" t="s">
        <v>127</v>
      </c>
      <c r="E166" s="138" t="s">
        <v>7572</v>
      </c>
      <c r="F166" s="138" t="s">
        <v>8819</v>
      </c>
      <c r="G166" s="138" t="s">
        <v>8821</v>
      </c>
      <c r="H166" s="138">
        <v>1</v>
      </c>
      <c r="I166" s="457">
        <v>2600000</v>
      </c>
      <c r="J166" s="457">
        <f t="shared" si="2"/>
        <v>2600000</v>
      </c>
      <c r="K166" s="457">
        <f>tbl_국내[[#This Row],[금액]]*1.1</f>
        <v>2860000</v>
      </c>
      <c r="L166" s="458">
        <v>45748</v>
      </c>
      <c r="M166" s="141">
        <v>45749</v>
      </c>
      <c r="N166" s="457">
        <v>2860000</v>
      </c>
      <c r="O166" s="141">
        <v>45762</v>
      </c>
      <c r="P166" s="141" t="s">
        <v>8789</v>
      </c>
      <c r="Q166" s="616"/>
      <c r="R166" s="616">
        <f>YEAR(tbl_국내[[#This Row],[계산서
발행일/구매확정일]])</f>
        <v>2025</v>
      </c>
      <c r="S166" s="617">
        <f>IF(국내!$P166="",0,MONTH(국내!$P166))</f>
        <v>4</v>
      </c>
      <c r="T166" s="617" t="str">
        <f>IFERROR(VLOOKUP($F166,product[],6,0),"error")</f>
        <v>카메라</v>
      </c>
      <c r="U166" s="138"/>
      <c r="V166" s="138"/>
      <c r="W166" s="617" t="str">
        <f>IF($T166="카메라",VLOOKUP($F166,드롭다운!$A:$F,2,0),"")</f>
        <v>QVGA</v>
      </c>
      <c r="X166" s="617" t="str">
        <f>IF($T166="카메라",VLOOKUP($F166,드롭다운!$A:$F,3,0),"")</f>
        <v>Radiometric</v>
      </c>
      <c r="Y166" s="617" t="str">
        <f>IF($T166="카메라",VLOOKUP($F166,드롭다운!$A:$F,4,0),"")</f>
        <v>Analogue</v>
      </c>
      <c r="Z166" s="617">
        <f>IF($T166="카메라",VLOOKUP($F166,드롭다운!$A:$F,5,0),"")</f>
        <v>17</v>
      </c>
      <c r="AA166" s="617"/>
    </row>
    <row r="167" spans="1:27">
      <c r="A167" s="135" t="s">
        <v>8790</v>
      </c>
      <c r="B167" s="491">
        <v>2</v>
      </c>
      <c r="C167" s="100" t="str">
        <f>"KR"&amp;TEXT(tbl_국내[[#This Row],[발주일]],"yymmdd")&amp;"-"&amp;TEXT(tbl_국내[[#This Row],[일렬번호]],"00")</f>
        <v>KR250411-02</v>
      </c>
      <c r="D167" s="138" t="s">
        <v>7640</v>
      </c>
      <c r="E167" s="138" t="s">
        <v>8817</v>
      </c>
      <c r="F167" s="138" t="s">
        <v>8822</v>
      </c>
      <c r="G167" s="138" t="s">
        <v>8823</v>
      </c>
      <c r="H167" s="138">
        <v>2</v>
      </c>
      <c r="I167" s="457">
        <v>275000</v>
      </c>
      <c r="J167" s="457">
        <f t="shared" si="2"/>
        <v>550000</v>
      </c>
      <c r="K167" s="457">
        <f>tbl_국내[[#This Row],[금액]]*1.1</f>
        <v>605000</v>
      </c>
      <c r="L167" s="458">
        <v>45757</v>
      </c>
      <c r="M167" s="141">
        <v>45758</v>
      </c>
      <c r="N167" s="457">
        <v>605000</v>
      </c>
      <c r="O167" s="141">
        <v>45765</v>
      </c>
      <c r="P167" s="141" t="s">
        <v>8790</v>
      </c>
      <c r="Q167" s="616"/>
      <c r="R167" s="616">
        <f>YEAR(tbl_국내[[#This Row],[계산서
발행일/구매확정일]])</f>
        <v>2025</v>
      </c>
      <c r="S167" s="617">
        <f>IF(국내!$P167="",0,MONTH(국내!$P167))</f>
        <v>4</v>
      </c>
      <c r="T167" s="617" t="str">
        <f>IFERROR(VLOOKUP($F167,product[],6,0),"error")</f>
        <v>error</v>
      </c>
      <c r="U167" s="138"/>
      <c r="V167" s="138"/>
      <c r="W167" s="617" t="str">
        <f>IF($T167="카메라",VLOOKUP($F167,드롭다운!$A:$F,2,0),"")</f>
        <v/>
      </c>
      <c r="X167" s="617" t="str">
        <f>IF($T167="카메라",VLOOKUP($F167,드롭다운!$A:$F,3,0),"")</f>
        <v/>
      </c>
      <c r="Y167" s="617" t="str">
        <f>IF($T167="카메라",VLOOKUP($F167,드롭다운!$A:$F,4,0),"")</f>
        <v/>
      </c>
      <c r="Z167" s="617" t="str">
        <f>IF($T167="카메라",VLOOKUP($F167,드롭다운!$A:$F,5,0),"")</f>
        <v/>
      </c>
      <c r="AA167" s="617"/>
    </row>
    <row r="168" spans="1:27">
      <c r="A168" s="135" t="s">
        <v>8791</v>
      </c>
      <c r="B168" s="491">
        <v>3</v>
      </c>
      <c r="C168" s="100" t="str">
        <f>"KR"&amp;TEXT(tbl_국내[[#This Row],[발주일]],"yymmdd")&amp;"-"&amp;TEXT(tbl_국내[[#This Row],[일렬번호]],"00")</f>
        <v>KR250416-03</v>
      </c>
      <c r="D168" s="138" t="s">
        <v>8792</v>
      </c>
      <c r="E168" s="138" t="s">
        <v>7576</v>
      </c>
      <c r="F168" s="138" t="s">
        <v>8814</v>
      </c>
      <c r="G168" s="138" t="s">
        <v>8824</v>
      </c>
      <c r="H168" s="138">
        <v>1</v>
      </c>
      <c r="I168" s="457">
        <v>200000</v>
      </c>
      <c r="J168" s="457">
        <f t="shared" si="2"/>
        <v>200000</v>
      </c>
      <c r="K168" s="457">
        <f>tbl_국내[[#This Row],[금액]]*1.1</f>
        <v>220000.00000000003</v>
      </c>
      <c r="L168" s="458">
        <v>45762</v>
      </c>
      <c r="M168" s="141">
        <v>45763</v>
      </c>
      <c r="N168" s="457">
        <v>495000</v>
      </c>
      <c r="O168" s="141">
        <v>45771</v>
      </c>
      <c r="P168" s="141" t="s">
        <v>8791</v>
      </c>
      <c r="Q168" s="616"/>
      <c r="R168" s="616">
        <f>YEAR(tbl_국내[[#This Row],[계산서
발행일/구매확정일]])</f>
        <v>2025</v>
      </c>
      <c r="S168" s="617">
        <f>IF(국내!$P168="",0,MONTH(국내!$P168))</f>
        <v>4</v>
      </c>
      <c r="T168" s="617" t="str">
        <f>IFERROR(VLOOKUP($F168,product[],6,0),"error")</f>
        <v>error</v>
      </c>
      <c r="U168" s="138"/>
      <c r="V168" s="138"/>
      <c r="W168" s="617" t="str">
        <f>IF($T168="카메라",VLOOKUP($F168,드롭다운!$A:$F,2,0),"")</f>
        <v/>
      </c>
      <c r="X168" s="617" t="str">
        <f>IF($T168="카메라",VLOOKUP($F168,드롭다운!$A:$F,3,0),"")</f>
        <v/>
      </c>
      <c r="Y168" s="617" t="str">
        <f>IF($T168="카메라",VLOOKUP($F168,드롭다운!$A:$F,4,0),"")</f>
        <v/>
      </c>
      <c r="Z168" s="617" t="str">
        <f>IF($T168="카메라",VLOOKUP($F168,드롭다운!$A:$F,5,0),"")</f>
        <v/>
      </c>
      <c r="AA168" s="617"/>
    </row>
    <row r="169" spans="1:27">
      <c r="A169" s="135" t="s">
        <v>8791</v>
      </c>
      <c r="B169" s="491">
        <v>3</v>
      </c>
      <c r="C169" s="100" t="str">
        <f>"KR"&amp;TEXT(tbl_국내[[#This Row],[발주일]],"yymmdd")&amp;"-"&amp;TEXT(tbl_국내[[#This Row],[일렬번호]],"00")</f>
        <v>KR250416-03</v>
      </c>
      <c r="D169" s="138" t="s">
        <v>8792</v>
      </c>
      <c r="E169" s="138" t="s">
        <v>7576</v>
      </c>
      <c r="F169" s="138" t="s">
        <v>8847</v>
      </c>
      <c r="G169" s="138" t="s">
        <v>8793</v>
      </c>
      <c r="H169" s="138">
        <v>1</v>
      </c>
      <c r="I169" s="457">
        <v>250000</v>
      </c>
      <c r="J169" s="457">
        <f t="shared" si="2"/>
        <v>250000</v>
      </c>
      <c r="K169" s="457">
        <f>tbl_국내[[#This Row],[금액]]*1.1</f>
        <v>275000</v>
      </c>
      <c r="L169" s="458">
        <v>45762</v>
      </c>
      <c r="M169" s="141">
        <v>45763</v>
      </c>
      <c r="N169" s="457">
        <v>0</v>
      </c>
      <c r="O169" s="141">
        <v>45771</v>
      </c>
      <c r="P169" s="141" t="s">
        <v>8791</v>
      </c>
      <c r="Q169" s="616"/>
      <c r="R169" s="616">
        <f>YEAR(tbl_국내[[#This Row],[계산서
발행일/구매확정일]])</f>
        <v>2025</v>
      </c>
      <c r="S169" s="617">
        <f>IF(국내!$P169="",0,MONTH(국내!$P169))</f>
        <v>4</v>
      </c>
      <c r="T169" s="617" t="str">
        <f>IFERROR(VLOOKUP($F169,product[],6,0),"error")</f>
        <v>error</v>
      </c>
      <c r="U169" s="138"/>
      <c r="V169" s="138"/>
      <c r="W169" s="617" t="str">
        <f>IF($T169="카메라",VLOOKUP($F169,드롭다운!$A:$F,2,0),"")</f>
        <v/>
      </c>
      <c r="X169" s="617" t="str">
        <f>IF($T169="카메라",VLOOKUP($F169,드롭다운!$A:$F,3,0),"")</f>
        <v/>
      </c>
      <c r="Y169" s="617" t="str">
        <f>IF($T169="카메라",VLOOKUP($F169,드롭다운!$A:$F,4,0),"")</f>
        <v/>
      </c>
      <c r="Z169" s="617" t="str">
        <f>IF($T169="카메라",VLOOKUP($F169,드롭다운!$A:$F,5,0),"")</f>
        <v/>
      </c>
      <c r="AA169" s="617"/>
    </row>
    <row r="170" spans="1:27">
      <c r="A170" s="135" t="s">
        <v>8794</v>
      </c>
      <c r="B170" s="491">
        <v>4</v>
      </c>
      <c r="C170" s="100" t="str">
        <f>"KR"&amp;TEXT(tbl_국내[[#This Row],[발주일]],"yymmdd")&amp;"-"&amp;TEXT(tbl_국내[[#This Row],[일렬번호]],"00")</f>
        <v>KR250417-04</v>
      </c>
      <c r="D170" s="138" t="s">
        <v>8648</v>
      </c>
      <c r="E170" s="138" t="s">
        <v>8815</v>
      </c>
      <c r="F170" s="138" t="s">
        <v>108</v>
      </c>
      <c r="G170" s="138" t="s">
        <v>8795</v>
      </c>
      <c r="H170" s="138">
        <v>1</v>
      </c>
      <c r="I170" s="457">
        <v>200000</v>
      </c>
      <c r="J170" s="457">
        <f t="shared" si="2"/>
        <v>200000</v>
      </c>
      <c r="K170" s="457">
        <f>tbl_국내[[#This Row],[금액]]*1.1</f>
        <v>220000.00000000003</v>
      </c>
      <c r="L170" s="458">
        <v>45763</v>
      </c>
      <c r="M170" s="141">
        <v>45764</v>
      </c>
      <c r="N170" s="457">
        <v>220000</v>
      </c>
      <c r="O170" s="141">
        <v>45765</v>
      </c>
      <c r="P170" s="141" t="s">
        <v>8794</v>
      </c>
      <c r="Q170" s="616"/>
      <c r="R170" s="616">
        <f>YEAR(tbl_국내[[#This Row],[계산서
발행일/구매확정일]])</f>
        <v>2025</v>
      </c>
      <c r="S170" s="617">
        <f>IF(국내!$P170="",0,MONTH(국내!$P170))</f>
        <v>4</v>
      </c>
      <c r="T170" s="617" t="str">
        <f>IFERROR(VLOOKUP($F170,product[],6,0),"error")</f>
        <v>error</v>
      </c>
      <c r="U170" s="138"/>
      <c r="V170" s="138"/>
      <c r="W170" s="617" t="str">
        <f>IF($T170="카메라",VLOOKUP($F170,드롭다운!$A:$F,2,0),"")</f>
        <v/>
      </c>
      <c r="X170" s="617" t="str">
        <f>IF($T170="카메라",VLOOKUP($F170,드롭다운!$A:$F,3,0),"")</f>
        <v/>
      </c>
      <c r="Y170" s="617" t="str">
        <f>IF($T170="카메라",VLOOKUP($F170,드롭다운!$A:$F,4,0),"")</f>
        <v/>
      </c>
      <c r="Z170" s="617" t="str">
        <f>IF($T170="카메라",VLOOKUP($F170,드롭다운!$A:$F,5,0),"")</f>
        <v/>
      </c>
      <c r="AA170" s="617"/>
    </row>
    <row r="171" spans="1:27">
      <c r="A171" s="135" t="s">
        <v>8796</v>
      </c>
      <c r="B171" s="491">
        <v>5</v>
      </c>
      <c r="C171" s="100" t="str">
        <f>"KR"&amp;TEXT(tbl_국내[[#This Row],[발주일]],"yymmdd")&amp;"-"&amp;TEXT(tbl_국내[[#This Row],[일렬번호]],"00")</f>
        <v>KR250430-05</v>
      </c>
      <c r="D171" s="138" t="s">
        <v>8777</v>
      </c>
      <c r="E171" s="138" t="s">
        <v>7572</v>
      </c>
      <c r="F171" s="138" t="s">
        <v>7645</v>
      </c>
      <c r="G171" s="462" t="s">
        <v>8518</v>
      </c>
      <c r="H171" s="462">
        <v>2</v>
      </c>
      <c r="I171" s="484">
        <v>74000000</v>
      </c>
      <c r="J171" s="457">
        <f t="shared" si="2"/>
        <v>148000000</v>
      </c>
      <c r="K171" s="457">
        <f>tbl_국내[[#This Row],[금액]]*1.1</f>
        <v>162800000</v>
      </c>
      <c r="L171" s="458">
        <v>45776</v>
      </c>
      <c r="M171" s="141">
        <v>45777</v>
      </c>
      <c r="N171" s="457">
        <v>162800000</v>
      </c>
      <c r="O171" s="141">
        <v>45792</v>
      </c>
      <c r="P171" s="141" t="s">
        <v>8796</v>
      </c>
      <c r="Q171" s="616"/>
      <c r="R171" s="616">
        <f>YEAR(tbl_국내[[#This Row],[계산서
발행일/구매확정일]])</f>
        <v>2025</v>
      </c>
      <c r="S171" s="617">
        <f>IF(국내!$P171="",0,MONTH(국내!$P171))</f>
        <v>4</v>
      </c>
      <c r="T171" s="617" t="str">
        <f>IFERROR(VLOOKUP($F171,product[],6,0),"error")</f>
        <v>error</v>
      </c>
      <c r="U171" s="138"/>
      <c r="V171" s="138"/>
      <c r="W171" s="617" t="str">
        <f>IF($T171="카메라",VLOOKUP($F171,드롭다운!$A:$F,2,0),"")</f>
        <v/>
      </c>
      <c r="X171" s="617" t="str">
        <f>IF($T171="카메라",VLOOKUP($F171,드롭다운!$A:$F,3,0),"")</f>
        <v/>
      </c>
      <c r="Y171" s="617" t="str">
        <f>IF($T171="카메라",VLOOKUP($F171,드롭다운!$A:$F,4,0),"")</f>
        <v/>
      </c>
      <c r="Z171" s="617" t="str">
        <f>IF($T171="카메라",VLOOKUP($F171,드롭다운!$A:$F,5,0),"")</f>
        <v/>
      </c>
      <c r="AA171" s="617"/>
    </row>
    <row r="172" spans="1:27">
      <c r="A172" s="135" t="s">
        <v>8796</v>
      </c>
      <c r="B172" s="491">
        <v>6</v>
      </c>
      <c r="C172" s="100" t="str">
        <f>"KR"&amp;TEXT(tbl_국내[[#This Row],[발주일]],"yymmdd")&amp;"-"&amp;TEXT(tbl_국내[[#This Row],[일렬번호]],"00")</f>
        <v>KR250430-06</v>
      </c>
      <c r="D172" s="138" t="s">
        <v>8535</v>
      </c>
      <c r="E172" s="138" t="s">
        <v>7574</v>
      </c>
      <c r="F172" s="138" t="s">
        <v>7567</v>
      </c>
      <c r="G172" s="138" t="s">
        <v>8827</v>
      </c>
      <c r="H172" s="138">
        <v>1</v>
      </c>
      <c r="I172" s="457">
        <v>1654000</v>
      </c>
      <c r="J172" s="457">
        <f t="shared" si="2"/>
        <v>1654000</v>
      </c>
      <c r="K172" s="457">
        <f>tbl_국내[[#This Row],[금액]]*1.1</f>
        <v>1819400.0000000002</v>
      </c>
      <c r="L172" s="458">
        <v>45776</v>
      </c>
      <c r="M172" s="141">
        <v>45777</v>
      </c>
      <c r="N172" s="457">
        <v>1819400</v>
      </c>
      <c r="O172" s="141">
        <v>45786</v>
      </c>
      <c r="P172" s="141" t="s">
        <v>8796</v>
      </c>
      <c r="Q172" s="616"/>
      <c r="R172" s="616">
        <f>YEAR(tbl_국내[[#This Row],[계산서
발행일/구매확정일]])</f>
        <v>2025</v>
      </c>
      <c r="S172" s="617">
        <f>IF(국내!$P172="",0,MONTH(국내!$P172))</f>
        <v>4</v>
      </c>
      <c r="T172" s="617" t="str">
        <f>IFERROR(VLOOKUP($F172,product[],6,0),"error")</f>
        <v>error</v>
      </c>
      <c r="U172" s="138"/>
      <c r="V172" s="138"/>
      <c r="W172" s="617" t="str">
        <f>IF($T172="카메라",VLOOKUP($F172,드롭다운!$A:$F,2,0),"")</f>
        <v/>
      </c>
      <c r="X172" s="617" t="str">
        <f>IF($T172="카메라",VLOOKUP($F172,드롭다운!$A:$F,3,0),"")</f>
        <v/>
      </c>
      <c r="Y172" s="617" t="str">
        <f>IF($T172="카메라",VLOOKUP($F172,드롭다운!$A:$F,4,0),"")</f>
        <v/>
      </c>
      <c r="Z172" s="617" t="str">
        <f>IF($T172="카메라",VLOOKUP($F172,드롭다운!$A:$F,5,0),"")</f>
        <v/>
      </c>
      <c r="AA172" s="617"/>
    </row>
    <row r="173" spans="1:27">
      <c r="A173" s="135" t="s">
        <v>8797</v>
      </c>
      <c r="B173" s="491">
        <v>7</v>
      </c>
      <c r="C173" s="100" t="str">
        <f>"KR"&amp;TEXT(tbl_국내[[#This Row],[발주일]],"yymmdd")&amp;"-"&amp;TEXT(tbl_국내[[#This Row],[일렬번호]],"00")</f>
        <v>KR250507-07</v>
      </c>
      <c r="D173" s="138" t="s">
        <v>8836</v>
      </c>
      <c r="E173" s="138" t="s">
        <v>7576</v>
      </c>
      <c r="F173" s="138" t="s">
        <v>8814</v>
      </c>
      <c r="G173" s="138" t="s">
        <v>8826</v>
      </c>
      <c r="H173" s="138">
        <v>1</v>
      </c>
      <c r="I173" s="457">
        <v>200000</v>
      </c>
      <c r="J173" s="457">
        <f t="shared" si="2"/>
        <v>200000</v>
      </c>
      <c r="K173" s="457">
        <f>tbl_국내[[#This Row],[금액]]*1.1</f>
        <v>220000.00000000003</v>
      </c>
      <c r="L173" s="458">
        <v>45783</v>
      </c>
      <c r="M173" s="141">
        <v>45784</v>
      </c>
      <c r="N173" s="457">
        <v>220000</v>
      </c>
      <c r="O173" s="141">
        <v>45786</v>
      </c>
      <c r="P173" s="141" t="s">
        <v>8797</v>
      </c>
      <c r="Q173" s="616"/>
      <c r="R173" s="616">
        <f>YEAR(tbl_국내[[#This Row],[계산서
발행일/구매확정일]])</f>
        <v>2025</v>
      </c>
      <c r="S173" s="617">
        <f>IF(국내!$P173="",0,MONTH(국내!$P173))</f>
        <v>5</v>
      </c>
      <c r="T173" s="617" t="str">
        <f>IFERROR(VLOOKUP($F173,product[],6,0),"error")</f>
        <v>error</v>
      </c>
      <c r="U173" s="138"/>
      <c r="V173" s="138"/>
      <c r="W173" s="617" t="str">
        <f>IF($T173="카메라",VLOOKUP($F173,드롭다운!$A:$F,2,0),"")</f>
        <v/>
      </c>
      <c r="X173" s="617" t="str">
        <f>IF($T173="카메라",VLOOKUP($F173,드롭다운!$A:$F,3,0),"")</f>
        <v/>
      </c>
      <c r="Y173" s="617" t="str">
        <f>IF($T173="카메라",VLOOKUP($F173,드롭다운!$A:$F,4,0),"")</f>
        <v/>
      </c>
      <c r="Z173" s="617" t="str">
        <f>IF($T173="카메라",VLOOKUP($F173,드롭다운!$A:$F,5,0),"")</f>
        <v/>
      </c>
      <c r="AA173" s="617"/>
    </row>
    <row r="174" spans="1:27">
      <c r="A174" s="135" t="s">
        <v>8797</v>
      </c>
      <c r="B174" s="491">
        <v>8</v>
      </c>
      <c r="C174" s="100" t="str">
        <f>"KR"&amp;TEXT(tbl_국내[[#This Row],[발주일]],"yymmdd")&amp;"-"&amp;TEXT(tbl_국내[[#This Row],[일렬번호]],"00")</f>
        <v>KR250507-08</v>
      </c>
      <c r="D174" s="138" t="s">
        <v>8661</v>
      </c>
      <c r="E174" s="138" t="s">
        <v>8815</v>
      </c>
      <c r="F174" s="138" t="s">
        <v>8814</v>
      </c>
      <c r="G174" s="138" t="s">
        <v>8825</v>
      </c>
      <c r="H174" s="138">
        <v>1</v>
      </c>
      <c r="I174" s="457">
        <v>650000</v>
      </c>
      <c r="J174" s="457">
        <f t="shared" si="2"/>
        <v>650000</v>
      </c>
      <c r="K174" s="457">
        <f>tbl_국내[[#This Row],[금액]]*1.1</f>
        <v>715000</v>
      </c>
      <c r="L174" s="458">
        <v>45783</v>
      </c>
      <c r="M174" s="141">
        <v>45784</v>
      </c>
      <c r="N174" s="457">
        <v>715000</v>
      </c>
      <c r="O174" s="141">
        <v>45789</v>
      </c>
      <c r="P174" s="141" t="s">
        <v>8797</v>
      </c>
      <c r="Q174" s="616"/>
      <c r="R174" s="616">
        <f>YEAR(tbl_국내[[#This Row],[계산서
발행일/구매확정일]])</f>
        <v>2025</v>
      </c>
      <c r="S174" s="617">
        <f>IF(국내!$P174="",0,MONTH(국내!$P174))</f>
        <v>5</v>
      </c>
      <c r="T174" s="617" t="str">
        <f>IFERROR(VLOOKUP($F174,product[],6,0),"error")</f>
        <v>error</v>
      </c>
      <c r="U174" s="138"/>
      <c r="V174" s="138"/>
      <c r="W174" s="617" t="str">
        <f>IF($T174="카메라",VLOOKUP($F174,드롭다운!$A:$F,2,0),"")</f>
        <v/>
      </c>
      <c r="X174" s="617" t="str">
        <f>IF($T174="카메라",VLOOKUP($F174,드롭다운!$A:$F,3,0),"")</f>
        <v/>
      </c>
      <c r="Y174" s="617" t="str">
        <f>IF($T174="카메라",VLOOKUP($F174,드롭다운!$A:$F,4,0),"")</f>
        <v/>
      </c>
      <c r="Z174" s="617" t="str">
        <f>IF($T174="카메라",VLOOKUP($F174,드롭다운!$A:$F,5,0),"")</f>
        <v/>
      </c>
      <c r="AA174" s="617"/>
    </row>
    <row r="175" spans="1:27">
      <c r="A175" s="135" t="s">
        <v>8798</v>
      </c>
      <c r="B175" s="491">
        <v>9</v>
      </c>
      <c r="C175" s="100" t="str">
        <f>"KR"&amp;TEXT(tbl_국내[[#This Row],[발주일]],"yymmdd")&amp;"-"&amp;TEXT(tbl_국내[[#This Row],[일렬번호]],"00")</f>
        <v>KR250508-09</v>
      </c>
      <c r="D175" s="138" t="s">
        <v>8700</v>
      </c>
      <c r="E175" s="138" t="s">
        <v>8848</v>
      </c>
      <c r="F175" s="138" t="s">
        <v>8849</v>
      </c>
      <c r="G175" s="138" t="s">
        <v>8850</v>
      </c>
      <c r="H175" s="138">
        <v>1</v>
      </c>
      <c r="I175" s="457">
        <v>1456000</v>
      </c>
      <c r="J175" s="457">
        <f t="shared" si="2"/>
        <v>1456000</v>
      </c>
      <c r="K175" s="457">
        <f>tbl_국내[[#This Row],[금액]]*1.1</f>
        <v>1601600.0000000002</v>
      </c>
      <c r="L175" s="458">
        <v>45784</v>
      </c>
      <c r="M175" s="141">
        <v>45785</v>
      </c>
      <c r="N175" s="457">
        <v>1766600</v>
      </c>
      <c r="O175" s="141">
        <v>45813</v>
      </c>
      <c r="P175" s="141" t="s">
        <v>8798</v>
      </c>
      <c r="Q175" s="616"/>
      <c r="R175" s="616">
        <f>YEAR(tbl_국내[[#This Row],[계산서
발행일/구매확정일]])</f>
        <v>2025</v>
      </c>
      <c r="S175" s="617">
        <f>IF(국내!$P175="",0,MONTH(국내!$P175))</f>
        <v>5</v>
      </c>
      <c r="T175" s="617" t="str">
        <f>IFERROR(VLOOKUP($F175,product[],6,0),"error")</f>
        <v>error</v>
      </c>
      <c r="U175" s="138"/>
      <c r="V175" s="138"/>
      <c r="W175" s="617" t="str">
        <f>IF($T175="카메라",VLOOKUP($F175,드롭다운!$A:$F,2,0),"")</f>
        <v/>
      </c>
      <c r="X175" s="617" t="str">
        <f>IF($T175="카메라",VLOOKUP($F175,드롭다운!$A:$F,3,0),"")</f>
        <v/>
      </c>
      <c r="Y175" s="617" t="str">
        <f>IF($T175="카메라",VLOOKUP($F175,드롭다운!$A:$F,4,0),"")</f>
        <v/>
      </c>
      <c r="Z175" s="617" t="str">
        <f>IF($T175="카메라",VLOOKUP($F175,드롭다운!$A:$F,5,0),"")</f>
        <v/>
      </c>
      <c r="AA175" s="617"/>
    </row>
    <row r="176" spans="1:27">
      <c r="A176" s="135" t="s">
        <v>8798</v>
      </c>
      <c r="B176" s="491">
        <v>9</v>
      </c>
      <c r="C176" s="100" t="str">
        <f>"KR"&amp;TEXT(tbl_국내[[#This Row],[발주일]],"yymmdd")&amp;"-"&amp;TEXT(tbl_국내[[#This Row],[일렬번호]],"00")</f>
        <v>KR250508-09</v>
      </c>
      <c r="D176" s="138" t="s">
        <v>8700</v>
      </c>
      <c r="E176" s="138" t="s">
        <v>7575</v>
      </c>
      <c r="F176" s="138" t="s">
        <v>8827</v>
      </c>
      <c r="G176" s="138" t="s">
        <v>8820</v>
      </c>
      <c r="H176" s="138">
        <v>1</v>
      </c>
      <c r="I176" s="457">
        <v>150000</v>
      </c>
      <c r="J176" s="457">
        <f t="shared" si="2"/>
        <v>150000</v>
      </c>
      <c r="K176" s="457">
        <f>tbl_국내[[#This Row],[금액]]*1.1</f>
        <v>165000</v>
      </c>
      <c r="L176" s="458">
        <v>45784</v>
      </c>
      <c r="M176" s="141">
        <v>45785</v>
      </c>
      <c r="N176" s="457">
        <v>0</v>
      </c>
      <c r="O176" s="141">
        <v>45813</v>
      </c>
      <c r="P176" s="141" t="s">
        <v>8798</v>
      </c>
      <c r="Q176" s="616"/>
      <c r="R176" s="616">
        <f>YEAR(tbl_국내[[#This Row],[계산서
발행일/구매확정일]])</f>
        <v>2025</v>
      </c>
      <c r="S176" s="617">
        <f>IF(국내!$P176="",0,MONTH(국내!$P176))</f>
        <v>5</v>
      </c>
      <c r="T176" s="617" t="str">
        <f>IFERROR(VLOOKUP($F176,product[],6,0),"error")</f>
        <v>error</v>
      </c>
      <c r="U176" s="138"/>
      <c r="V176" s="138"/>
      <c r="W176" s="617" t="str">
        <f>IF($T176="카메라",VLOOKUP($F176,드롭다운!$A:$F,2,0),"")</f>
        <v/>
      </c>
      <c r="X176" s="617" t="str">
        <f>IF($T176="카메라",VLOOKUP($F176,드롭다운!$A:$F,3,0),"")</f>
        <v/>
      </c>
      <c r="Y176" s="617" t="str">
        <f>IF($T176="카메라",VLOOKUP($F176,드롭다운!$A:$F,4,0),"")</f>
        <v/>
      </c>
      <c r="Z176" s="617" t="str">
        <f>IF($T176="카메라",VLOOKUP($F176,드롭다운!$A:$F,5,0),"")</f>
        <v/>
      </c>
      <c r="AA176" s="617"/>
    </row>
    <row r="177" spans="1:27">
      <c r="A177" s="135" t="s">
        <v>8799</v>
      </c>
      <c r="B177" s="491">
        <v>10</v>
      </c>
      <c r="C177" s="100" t="str">
        <f>"KR"&amp;TEXT(tbl_국내[[#This Row],[발주일]],"yymmdd")&amp;"-"&amp;TEXT(tbl_국내[[#This Row],[일렬번호]],"00")</f>
        <v>KR250514-10</v>
      </c>
      <c r="D177" s="138" t="s">
        <v>8851</v>
      </c>
      <c r="E177" s="138" t="s">
        <v>7572</v>
      </c>
      <c r="F177" s="462" t="s">
        <v>251</v>
      </c>
      <c r="G177" s="462" t="s">
        <v>7566</v>
      </c>
      <c r="H177" s="462">
        <v>5</v>
      </c>
      <c r="I177" s="457">
        <v>4948000</v>
      </c>
      <c r="J177" s="457">
        <f t="shared" si="2"/>
        <v>24740000</v>
      </c>
      <c r="K177" s="457">
        <f>tbl_국내[[#This Row],[금액]]*1.1</f>
        <v>27214000.000000004</v>
      </c>
      <c r="L177" s="458">
        <v>45790</v>
      </c>
      <c r="M177" s="141">
        <v>45791</v>
      </c>
      <c r="N177" s="457">
        <v>48400000</v>
      </c>
      <c r="O177" s="141">
        <v>45807</v>
      </c>
      <c r="P177" s="141" t="s">
        <v>8799</v>
      </c>
      <c r="Q177" s="616"/>
      <c r="R177" s="616">
        <f>YEAR(tbl_국내[[#This Row],[계산서
발행일/구매확정일]])</f>
        <v>2025</v>
      </c>
      <c r="S177" s="617">
        <f>IF(국내!$P177="",0,MONTH(국내!$P177))</f>
        <v>5</v>
      </c>
      <c r="T177" s="617" t="str">
        <f>IFERROR(VLOOKUP($F177,product[],6,0),"error")</f>
        <v>카메라</v>
      </c>
      <c r="U177" s="138"/>
      <c r="V177" s="138"/>
      <c r="W177" s="617" t="str">
        <f>IF($T177="카메라",VLOOKUP($F177,드롭다운!$A:$F,2,0),"")</f>
        <v>VGA</v>
      </c>
      <c r="X177" s="617" t="str">
        <f>IF($T177="카메라",VLOOKUP($F177,드롭다운!$A:$F,3,0),"")</f>
        <v>Radiometric</v>
      </c>
      <c r="Y177" s="617" t="str">
        <f>IF($T177="카메라",VLOOKUP($F177,드롭다운!$A:$F,4,0),"")</f>
        <v>Network</v>
      </c>
      <c r="Z177" s="617">
        <f>IF($T177="카메라",VLOOKUP($F177,드롭다운!$A:$F,5,0),"")</f>
        <v>17</v>
      </c>
      <c r="AA177" s="617"/>
    </row>
    <row r="178" spans="1:27">
      <c r="A178" s="135" t="s">
        <v>8799</v>
      </c>
      <c r="B178" s="491">
        <v>10</v>
      </c>
      <c r="C178" s="100" t="str">
        <f>"KR"&amp;TEXT(tbl_국내[[#This Row],[발주일]],"yymmdd")&amp;"-"&amp;TEXT(tbl_국내[[#This Row],[일렬번호]],"00")</f>
        <v>KR250514-10</v>
      </c>
      <c r="D178" s="138" t="s">
        <v>8851</v>
      </c>
      <c r="E178" s="138" t="s">
        <v>7572</v>
      </c>
      <c r="F178" s="138" t="s">
        <v>251</v>
      </c>
      <c r="G178" s="138" t="s">
        <v>8120</v>
      </c>
      <c r="H178" s="138">
        <v>3</v>
      </c>
      <c r="I178" s="457">
        <v>4948000</v>
      </c>
      <c r="J178" s="457">
        <f t="shared" si="2"/>
        <v>14844000</v>
      </c>
      <c r="K178" s="457">
        <f>tbl_국내[[#This Row],[금액]]*1.1</f>
        <v>16328400.000000002</v>
      </c>
      <c r="L178" s="458">
        <v>45790</v>
      </c>
      <c r="M178" s="141">
        <v>45791</v>
      </c>
      <c r="N178" s="457">
        <v>0</v>
      </c>
      <c r="O178" s="141">
        <v>45807</v>
      </c>
      <c r="P178" s="141" t="s">
        <v>8799</v>
      </c>
      <c r="Q178" s="616"/>
      <c r="R178" s="616">
        <f>YEAR(tbl_국내[[#This Row],[계산서
발행일/구매확정일]])</f>
        <v>2025</v>
      </c>
      <c r="S178" s="617">
        <f>IF(국내!$P178="",0,MONTH(국내!$P178))</f>
        <v>5</v>
      </c>
      <c r="T178" s="617" t="str">
        <f>IFERROR(VLOOKUP($F178,product[],6,0),"error")</f>
        <v>카메라</v>
      </c>
      <c r="U178" s="138"/>
      <c r="V178" s="138"/>
      <c r="W178" s="617" t="str">
        <f>IF($T178="카메라",VLOOKUP($F178,드롭다운!$A:$F,2,0),"")</f>
        <v>VGA</v>
      </c>
      <c r="X178" s="617" t="str">
        <f>IF($T178="카메라",VLOOKUP($F178,드롭다운!$A:$F,3,0),"")</f>
        <v>Radiometric</v>
      </c>
      <c r="Y178" s="617" t="str">
        <f>IF($T178="카메라",VLOOKUP($F178,드롭다운!$A:$F,4,0),"")</f>
        <v>Network</v>
      </c>
      <c r="Z178" s="617">
        <f>IF($T178="카메라",VLOOKUP($F178,드롭다운!$A:$F,5,0),"")</f>
        <v>17</v>
      </c>
      <c r="AA178" s="617"/>
    </row>
    <row r="179" spans="1:27">
      <c r="A179" s="135" t="s">
        <v>8799</v>
      </c>
      <c r="B179" s="491">
        <v>10</v>
      </c>
      <c r="C179" s="100" t="str">
        <f>"KR"&amp;TEXT(tbl_국내[[#This Row],[발주일]],"yymmdd")&amp;"-"&amp;TEXT(tbl_국내[[#This Row],[일렬번호]],"00")</f>
        <v>KR250514-10</v>
      </c>
      <c r="D179" s="138" t="s">
        <v>8851</v>
      </c>
      <c r="E179" s="138" t="s">
        <v>8853</v>
      </c>
      <c r="F179" s="138" t="s">
        <v>8677</v>
      </c>
      <c r="G179" s="138" t="s">
        <v>7647</v>
      </c>
      <c r="H179" s="138">
        <v>8</v>
      </c>
      <c r="I179" s="457">
        <v>96000</v>
      </c>
      <c r="J179" s="457">
        <f t="shared" si="2"/>
        <v>768000</v>
      </c>
      <c r="K179" s="457">
        <f>tbl_국내[[#This Row],[금액]]*1.1</f>
        <v>844800.00000000012</v>
      </c>
      <c r="L179" s="458">
        <v>45790</v>
      </c>
      <c r="M179" s="141">
        <v>45791</v>
      </c>
      <c r="N179" s="457">
        <v>0</v>
      </c>
      <c r="O179" s="141">
        <v>45807</v>
      </c>
      <c r="P179" s="141" t="s">
        <v>8799</v>
      </c>
      <c r="Q179" s="616"/>
      <c r="R179" s="616">
        <f>YEAR(tbl_국내[[#This Row],[계산서
발행일/구매확정일]])</f>
        <v>2025</v>
      </c>
      <c r="S179" s="617">
        <f>IF(국내!$P179="",0,MONTH(국내!$P179))</f>
        <v>5</v>
      </c>
      <c r="T179" s="617" t="str">
        <f>IFERROR(VLOOKUP($F179,product[],6,0),"error")</f>
        <v>error</v>
      </c>
      <c r="U179" s="138"/>
      <c r="V179" s="138"/>
      <c r="W179" s="617" t="str">
        <f>IF($T179="카메라",VLOOKUP($F179,드롭다운!$A:$F,2,0),"")</f>
        <v/>
      </c>
      <c r="X179" s="617" t="str">
        <f>IF($T179="카메라",VLOOKUP($F179,드롭다운!$A:$F,3,0),"")</f>
        <v/>
      </c>
      <c r="Y179" s="617" t="str">
        <f>IF($T179="카메라",VLOOKUP($F179,드롭다운!$A:$F,4,0),"")</f>
        <v/>
      </c>
      <c r="Z179" s="617" t="str">
        <f>IF($T179="카메라",VLOOKUP($F179,드롭다운!$A:$F,5,0),"")</f>
        <v/>
      </c>
      <c r="AA179" s="617"/>
    </row>
    <row r="180" spans="1:27">
      <c r="A180" s="135" t="s">
        <v>8799</v>
      </c>
      <c r="B180" s="491">
        <v>10</v>
      </c>
      <c r="C180" s="100" t="str">
        <f>"KR"&amp;TEXT(tbl_국내[[#This Row],[발주일]],"yymmdd")&amp;"-"&amp;TEXT(tbl_국내[[#This Row],[일렬번호]],"00")</f>
        <v>KR250514-10</v>
      </c>
      <c r="D180" s="138" t="s">
        <v>8851</v>
      </c>
      <c r="E180" s="138" t="s">
        <v>7574</v>
      </c>
      <c r="F180" s="138" t="s">
        <v>7567</v>
      </c>
      <c r="G180" s="138" t="s">
        <v>7647</v>
      </c>
      <c r="H180" s="138">
        <v>8</v>
      </c>
      <c r="I180" s="457">
        <v>456000</v>
      </c>
      <c r="J180" s="457">
        <f t="shared" si="2"/>
        <v>3648000</v>
      </c>
      <c r="K180" s="457">
        <f>tbl_국내[[#This Row],[금액]]*1.1</f>
        <v>4012800.0000000005</v>
      </c>
      <c r="L180" s="458">
        <v>45790</v>
      </c>
      <c r="M180" s="141">
        <v>45791</v>
      </c>
      <c r="N180" s="457">
        <v>0</v>
      </c>
      <c r="O180" s="141">
        <v>45807</v>
      </c>
      <c r="P180" s="141" t="s">
        <v>8799</v>
      </c>
      <c r="Q180" s="616"/>
      <c r="R180" s="616">
        <f>YEAR(tbl_국내[[#This Row],[계산서
발행일/구매확정일]])</f>
        <v>2025</v>
      </c>
      <c r="S180" s="617">
        <f>IF(국내!$P180="",0,MONTH(국내!$P180))</f>
        <v>5</v>
      </c>
      <c r="T180" s="617" t="str">
        <f>IFERROR(VLOOKUP($F180,product[],6,0),"error")</f>
        <v>error</v>
      </c>
      <c r="U180" s="138"/>
      <c r="V180" s="138"/>
      <c r="W180" s="617" t="str">
        <f>IF($T180="카메라",VLOOKUP($F180,드롭다운!$A:$F,2,0),"")</f>
        <v/>
      </c>
      <c r="X180" s="617" t="str">
        <f>IF($T180="카메라",VLOOKUP($F180,드롭다운!$A:$F,3,0),"")</f>
        <v/>
      </c>
      <c r="Y180" s="617" t="str">
        <f>IF($T180="카메라",VLOOKUP($F180,드롭다운!$A:$F,4,0),"")</f>
        <v/>
      </c>
      <c r="Z180" s="617" t="str">
        <f>IF($T180="카메라",VLOOKUP($F180,드롭다운!$A:$F,5,0),"")</f>
        <v/>
      </c>
      <c r="AA180" s="617"/>
    </row>
    <row r="181" spans="1:27">
      <c r="A181" s="135" t="s">
        <v>8800</v>
      </c>
      <c r="B181" s="491">
        <v>11</v>
      </c>
      <c r="C181" s="100" t="str">
        <f>"KR"&amp;TEXT(tbl_국내[[#This Row],[발주일]],"yymmdd")&amp;"-"&amp;TEXT(tbl_국내[[#This Row],[일렬번호]],"00")</f>
        <v>KR250530-11</v>
      </c>
      <c r="D181" s="138" t="s">
        <v>8057</v>
      </c>
      <c r="E181" s="138" t="s">
        <v>7571</v>
      </c>
      <c r="F181" s="138" t="s">
        <v>8801</v>
      </c>
      <c r="G181" s="138" t="s">
        <v>7647</v>
      </c>
      <c r="H181" s="138">
        <v>2</v>
      </c>
      <c r="I181" s="457">
        <v>1250000</v>
      </c>
      <c r="J181" s="457">
        <f t="shared" si="2"/>
        <v>2500000</v>
      </c>
      <c r="K181" s="457">
        <f>tbl_국내[[#This Row],[금액]]*1.1</f>
        <v>2750000</v>
      </c>
      <c r="L181" s="458">
        <v>45806</v>
      </c>
      <c r="M181" s="141">
        <v>45807</v>
      </c>
      <c r="N181" s="457">
        <v>250000</v>
      </c>
      <c r="O181" s="141">
        <v>45817</v>
      </c>
      <c r="P181" s="141" t="s">
        <v>8800</v>
      </c>
      <c r="Q181" s="616" t="s">
        <v>8863</v>
      </c>
      <c r="R181" s="616">
        <f>YEAR(tbl_국내[[#This Row],[계산서
발행일/구매확정일]])</f>
        <v>2025</v>
      </c>
      <c r="S181" s="617">
        <f>IF(국내!$P181="",0,MONTH(국내!$P181))</f>
        <v>5</v>
      </c>
      <c r="T181" s="617" t="str">
        <f>IFERROR(VLOOKUP($F181,product[],6,0),"error")</f>
        <v>error</v>
      </c>
      <c r="U181" s="138"/>
      <c r="V181" s="138"/>
      <c r="W181" s="617" t="str">
        <f>IF($T181="카메라",VLOOKUP($F181,드롭다운!$A:$F,2,0),"")</f>
        <v/>
      </c>
      <c r="X181" s="617" t="str">
        <f>IF($T181="카메라",VLOOKUP($F181,드롭다운!$A:$F,3,0),"")</f>
        <v/>
      </c>
      <c r="Y181" s="617" t="str">
        <f>IF($T181="카메라",VLOOKUP($F181,드롭다운!$A:$F,4,0),"")</f>
        <v/>
      </c>
      <c r="Z181" s="617" t="str">
        <f>IF($T181="카메라",VLOOKUP($F181,드롭다운!$A:$F,5,0),"")</f>
        <v/>
      </c>
      <c r="AA181" s="617"/>
    </row>
    <row r="182" spans="1:27">
      <c r="A182" s="135" t="s">
        <v>8802</v>
      </c>
      <c r="B182" s="491">
        <v>1</v>
      </c>
      <c r="C182" s="100" t="str">
        <f>"KR"&amp;TEXT(tbl_국내[[#This Row],[발주일]],"yymmdd")&amp;"-"&amp;TEXT(tbl_국내[[#This Row],[일렬번호]],"00")</f>
        <v>KR250611-01</v>
      </c>
      <c r="D182" s="138" t="s">
        <v>8803</v>
      </c>
      <c r="E182" s="138" t="s">
        <v>7571</v>
      </c>
      <c r="F182" s="138" t="s">
        <v>8804</v>
      </c>
      <c r="G182" s="138" t="s">
        <v>7647</v>
      </c>
      <c r="H182" s="138">
        <v>1</v>
      </c>
      <c r="I182" s="457">
        <v>7000</v>
      </c>
      <c r="J182" s="457">
        <f t="shared" si="2"/>
        <v>7000</v>
      </c>
      <c r="K182" s="457">
        <f>tbl_국내[[#This Row],[금액]]*1.1</f>
        <v>7700.0000000000009</v>
      </c>
      <c r="L182" s="458">
        <v>45818</v>
      </c>
      <c r="M182" s="141">
        <v>45819</v>
      </c>
      <c r="N182" s="457">
        <v>227700</v>
      </c>
      <c r="O182" s="141">
        <v>45831</v>
      </c>
      <c r="P182" s="141" t="s">
        <v>8802</v>
      </c>
      <c r="Q182" s="616"/>
      <c r="R182" s="616">
        <f>YEAR(tbl_국내[[#This Row],[계산서
발행일/구매확정일]])</f>
        <v>2025</v>
      </c>
      <c r="S182" s="617">
        <f>IF(국내!$P182="",0,MONTH(국내!$P182))</f>
        <v>6</v>
      </c>
      <c r="T182" s="617" t="str">
        <f>IFERROR(VLOOKUP($F182,product[],6,0),"error")</f>
        <v>error</v>
      </c>
      <c r="U182" s="138"/>
      <c r="V182" s="138"/>
      <c r="W182" s="617" t="str">
        <f>IF($T182="카메라",VLOOKUP($F182,드롭다운!$A:$F,2,0),"")</f>
        <v/>
      </c>
      <c r="X182" s="617" t="str">
        <f>IF($T182="카메라",VLOOKUP($F182,드롭다운!$A:$F,3,0),"")</f>
        <v/>
      </c>
      <c r="Y182" s="617" t="str">
        <f>IF($T182="카메라",VLOOKUP($F182,드롭다운!$A:$F,4,0),"")</f>
        <v/>
      </c>
      <c r="Z182" s="617" t="str">
        <f>IF($T182="카메라",VLOOKUP($F182,드롭다운!$A:$F,5,0),"")</f>
        <v/>
      </c>
      <c r="AA182" s="617"/>
    </row>
    <row r="183" spans="1:27">
      <c r="A183" s="135" t="s">
        <v>8802</v>
      </c>
      <c r="B183" s="491">
        <v>1</v>
      </c>
      <c r="C183" s="100" t="str">
        <f>"KR"&amp;TEXT(tbl_국내[[#This Row],[발주일]],"yymmdd")&amp;"-"&amp;TEXT(tbl_국내[[#This Row],[일렬번호]],"00")</f>
        <v>KR250611-01</v>
      </c>
      <c r="D183" s="138" t="s">
        <v>8803</v>
      </c>
      <c r="E183" s="138" t="s">
        <v>7576</v>
      </c>
      <c r="F183" s="138" t="s">
        <v>8814</v>
      </c>
      <c r="G183" s="138" t="s">
        <v>8854</v>
      </c>
      <c r="H183" s="138">
        <v>1</v>
      </c>
      <c r="I183" s="457">
        <v>200000</v>
      </c>
      <c r="J183" s="457">
        <f t="shared" si="2"/>
        <v>200000</v>
      </c>
      <c r="K183" s="457">
        <f>tbl_국내[[#This Row],[금액]]*1.1</f>
        <v>220000.00000000003</v>
      </c>
      <c r="L183" s="458">
        <v>45818</v>
      </c>
      <c r="M183" s="141">
        <v>45819</v>
      </c>
      <c r="N183" s="457">
        <v>0</v>
      </c>
      <c r="O183" s="141">
        <v>45831</v>
      </c>
      <c r="P183" s="141" t="s">
        <v>8802</v>
      </c>
      <c r="Q183" s="616"/>
      <c r="R183" s="616">
        <f>YEAR(tbl_국내[[#This Row],[계산서
발행일/구매확정일]])</f>
        <v>2025</v>
      </c>
      <c r="S183" s="617">
        <f>IF(국내!$P183="",0,MONTH(국내!$P183))</f>
        <v>6</v>
      </c>
      <c r="T183" s="617" t="str">
        <f>IFERROR(VLOOKUP($F183,product[],6,0),"error")</f>
        <v>error</v>
      </c>
      <c r="U183" s="138"/>
      <c r="V183" s="138"/>
      <c r="W183" s="617" t="str">
        <f>IF($T183="카메라",VLOOKUP($F183,드롭다운!$A:$F,2,0),"")</f>
        <v/>
      </c>
      <c r="X183" s="617" t="str">
        <f>IF($T183="카메라",VLOOKUP($F183,드롭다운!$A:$F,3,0),"")</f>
        <v/>
      </c>
      <c r="Y183" s="617" t="str">
        <f>IF($T183="카메라",VLOOKUP($F183,드롭다운!$A:$F,4,0),"")</f>
        <v/>
      </c>
      <c r="Z183" s="617" t="str">
        <f>IF($T183="카메라",VLOOKUP($F183,드롭다운!$A:$F,5,0),"")</f>
        <v/>
      </c>
      <c r="AA183" s="617"/>
    </row>
    <row r="184" spans="1:27">
      <c r="A184" s="135" t="s">
        <v>8805</v>
      </c>
      <c r="B184" s="491">
        <v>2</v>
      </c>
      <c r="C184" s="100" t="str">
        <f>"KR"&amp;TEXT(tbl_국내[[#This Row],[발주일]],"yymmdd")&amp;"-"&amp;TEXT(tbl_국내[[#This Row],[일렬번호]],"00")</f>
        <v>KR250613-02</v>
      </c>
      <c r="D184" s="138" t="s">
        <v>248</v>
      </c>
      <c r="E184" s="138" t="s">
        <v>7576</v>
      </c>
      <c r="F184" s="138" t="s">
        <v>8814</v>
      </c>
      <c r="G184" s="138" t="s">
        <v>8309</v>
      </c>
      <c r="H184" s="138">
        <v>4</v>
      </c>
      <c r="I184" s="457">
        <v>350000</v>
      </c>
      <c r="J184" s="457">
        <f t="shared" si="2"/>
        <v>1400000</v>
      </c>
      <c r="K184" s="457">
        <f>tbl_국내[[#This Row],[금액]]*1.1</f>
        <v>1540000.0000000002</v>
      </c>
      <c r="L184" s="458">
        <v>45820</v>
      </c>
      <c r="M184" s="141">
        <v>45821</v>
      </c>
      <c r="N184" s="457">
        <v>8470000</v>
      </c>
      <c r="O184" s="141">
        <v>45895</v>
      </c>
      <c r="P184" s="141" t="s">
        <v>8805</v>
      </c>
      <c r="Q184" s="616"/>
      <c r="R184" s="616">
        <f>YEAR(tbl_국내[[#This Row],[계산서
발행일/구매확정일]])</f>
        <v>2025</v>
      </c>
      <c r="S184" s="617">
        <f>IF(국내!$P184="",0,MONTH(국내!$P184))</f>
        <v>6</v>
      </c>
      <c r="T184" s="617" t="str">
        <f>IFERROR(VLOOKUP($F184,product[],6,0),"error")</f>
        <v>error</v>
      </c>
      <c r="U184" s="138"/>
      <c r="V184" s="138"/>
      <c r="W184" s="617" t="str">
        <f>IF($T184="카메라",VLOOKUP($F184,드롭다운!$A:$F,2,0),"")</f>
        <v/>
      </c>
      <c r="X184" s="617" t="str">
        <f>IF($T184="카메라",VLOOKUP($F184,드롭다운!$A:$F,3,0),"")</f>
        <v/>
      </c>
      <c r="Y184" s="617" t="str">
        <f>IF($T184="카메라",VLOOKUP($F184,드롭다운!$A:$F,4,0),"")</f>
        <v/>
      </c>
      <c r="Z184" s="617" t="str">
        <f>IF($T184="카메라",VLOOKUP($F184,드롭다운!$A:$F,5,0),"")</f>
        <v/>
      </c>
      <c r="AA184" s="617"/>
    </row>
    <row r="185" spans="1:27">
      <c r="A185" s="135" t="s">
        <v>8805</v>
      </c>
      <c r="B185" s="491">
        <v>2</v>
      </c>
      <c r="C185" s="100" t="str">
        <f>"KR"&amp;TEXT(tbl_국내[[#This Row],[발주일]],"yymmdd")&amp;"-"&amp;TEXT(tbl_국내[[#This Row],[일렬번호]],"00")</f>
        <v>KR250613-02</v>
      </c>
      <c r="D185" s="138" t="s">
        <v>248</v>
      </c>
      <c r="E185" s="138" t="s">
        <v>7576</v>
      </c>
      <c r="F185" s="138" t="s">
        <v>8814</v>
      </c>
      <c r="G185" s="138" t="s">
        <v>8807</v>
      </c>
      <c r="H185" s="138">
        <v>4</v>
      </c>
      <c r="I185" s="457">
        <v>1200000</v>
      </c>
      <c r="J185" s="457">
        <f t="shared" si="2"/>
        <v>4800000</v>
      </c>
      <c r="K185" s="457">
        <f>tbl_국내[[#This Row],[금액]]*1.1</f>
        <v>5280000</v>
      </c>
      <c r="L185" s="458">
        <v>45820</v>
      </c>
      <c r="M185" s="141">
        <v>45821</v>
      </c>
      <c r="N185" s="457">
        <v>0</v>
      </c>
      <c r="O185" s="141">
        <v>45895</v>
      </c>
      <c r="P185" s="141" t="s">
        <v>8805</v>
      </c>
      <c r="Q185" s="616"/>
      <c r="R185" s="616">
        <f>YEAR(tbl_국내[[#This Row],[계산서
발행일/구매확정일]])</f>
        <v>2025</v>
      </c>
      <c r="S185" s="617">
        <f>IF(국내!$P185="",0,MONTH(국내!$P185))</f>
        <v>6</v>
      </c>
      <c r="T185" s="617" t="str">
        <f>IFERROR(VLOOKUP($F185,product[],6,0),"error")</f>
        <v>error</v>
      </c>
      <c r="U185" s="138"/>
      <c r="V185" s="138"/>
      <c r="W185" s="617" t="str">
        <f>IF($T185="카메라",VLOOKUP($F185,드롭다운!$A:$F,2,0),"")</f>
        <v/>
      </c>
      <c r="X185" s="617" t="str">
        <f>IF($T185="카메라",VLOOKUP($F185,드롭다운!$A:$F,3,0),"")</f>
        <v/>
      </c>
      <c r="Y185" s="617" t="str">
        <f>IF($T185="카메라",VLOOKUP($F185,드롭다운!$A:$F,4,0),"")</f>
        <v/>
      </c>
      <c r="Z185" s="617" t="str">
        <f>IF($T185="카메라",VLOOKUP($F185,드롭다운!$A:$F,5,0),"")</f>
        <v/>
      </c>
      <c r="AA185" s="617"/>
    </row>
    <row r="186" spans="1:27">
      <c r="A186" s="135" t="s">
        <v>8805</v>
      </c>
      <c r="B186" s="491">
        <v>2</v>
      </c>
      <c r="C186" s="100" t="str">
        <f>"KR"&amp;TEXT(tbl_국내[[#This Row],[발주일]],"yymmdd")&amp;"-"&amp;TEXT(tbl_국내[[#This Row],[일렬번호]],"00")</f>
        <v>KR250613-02</v>
      </c>
      <c r="D186" s="138" t="s">
        <v>248</v>
      </c>
      <c r="E186" s="138" t="s">
        <v>7576</v>
      </c>
      <c r="F186" s="138" t="s">
        <v>8814</v>
      </c>
      <c r="G186" s="138" t="s">
        <v>8808</v>
      </c>
      <c r="H186" s="138">
        <v>3</v>
      </c>
      <c r="I186" s="457">
        <v>500000</v>
      </c>
      <c r="J186" s="457">
        <f t="shared" si="2"/>
        <v>1500000</v>
      </c>
      <c r="K186" s="457">
        <f>tbl_국내[[#This Row],[금액]]*1.1</f>
        <v>1650000.0000000002</v>
      </c>
      <c r="L186" s="458">
        <v>45820</v>
      </c>
      <c r="M186" s="141">
        <v>45821</v>
      </c>
      <c r="N186" s="457">
        <v>0</v>
      </c>
      <c r="O186" s="141">
        <v>45895</v>
      </c>
      <c r="P186" s="141" t="s">
        <v>8805</v>
      </c>
      <c r="Q186" s="616"/>
      <c r="R186" s="616">
        <f>YEAR(tbl_국내[[#This Row],[계산서
발행일/구매확정일]])</f>
        <v>2025</v>
      </c>
      <c r="S186" s="617">
        <f>IF(국내!$P186="",0,MONTH(국내!$P186))</f>
        <v>6</v>
      </c>
      <c r="T186" s="617" t="str">
        <f>IFERROR(VLOOKUP($F186,product[],6,0),"error")</f>
        <v>error</v>
      </c>
      <c r="U186" s="138"/>
      <c r="V186" s="138"/>
      <c r="W186" s="617" t="str">
        <f>IF($T186="카메라",VLOOKUP($F186,드롭다운!$A:$F,2,0),"")</f>
        <v/>
      </c>
      <c r="X186" s="617" t="str">
        <f>IF($T186="카메라",VLOOKUP($F186,드롭다운!$A:$F,3,0),"")</f>
        <v/>
      </c>
      <c r="Y186" s="617" t="str">
        <f>IF($T186="카메라",VLOOKUP($F186,드롭다운!$A:$F,4,0),"")</f>
        <v/>
      </c>
      <c r="Z186" s="617" t="str">
        <f>IF($T186="카메라",VLOOKUP($F186,드롭다운!$A:$F,5,0),"")</f>
        <v/>
      </c>
      <c r="AA186" s="617"/>
    </row>
    <row r="187" spans="1:27">
      <c r="A187" s="135" t="s">
        <v>8805</v>
      </c>
      <c r="B187" s="491">
        <v>3</v>
      </c>
      <c r="C187" s="100" t="str">
        <f>"KR"&amp;TEXT(tbl_국내[[#This Row],[발주일]],"yymmdd")&amp;"-"&amp;TEXT(tbl_국내[[#This Row],[일렬번호]],"00")</f>
        <v>KR250613-03</v>
      </c>
      <c r="D187" s="138" t="s">
        <v>8717</v>
      </c>
      <c r="E187" s="138" t="s">
        <v>7576</v>
      </c>
      <c r="F187" s="138" t="s">
        <v>8814</v>
      </c>
      <c r="G187" s="138" t="s">
        <v>8825</v>
      </c>
      <c r="H187" s="138">
        <v>1</v>
      </c>
      <c r="I187" s="457">
        <v>500000</v>
      </c>
      <c r="J187" s="457">
        <f t="shared" si="2"/>
        <v>500000</v>
      </c>
      <c r="K187" s="457">
        <f>tbl_국내[[#This Row],[금액]]*1.1</f>
        <v>550000</v>
      </c>
      <c r="L187" s="458">
        <v>45820</v>
      </c>
      <c r="M187" s="141">
        <v>45821</v>
      </c>
      <c r="N187" s="457">
        <v>550000</v>
      </c>
      <c r="O187" s="141">
        <v>45826</v>
      </c>
      <c r="P187" s="141" t="s">
        <v>8805</v>
      </c>
      <c r="Q187" s="616"/>
      <c r="R187" s="616">
        <f>YEAR(tbl_국내[[#This Row],[계산서
발행일/구매확정일]])</f>
        <v>2025</v>
      </c>
      <c r="S187" s="617">
        <f>IF(국내!$P187="",0,MONTH(국내!$P187))</f>
        <v>6</v>
      </c>
      <c r="T187" s="617" t="str">
        <f>IFERROR(VLOOKUP($F187,product[],6,0),"error")</f>
        <v>error</v>
      </c>
      <c r="U187" s="138"/>
      <c r="V187" s="138"/>
      <c r="W187" s="617" t="str">
        <f>IF($T187="카메라",VLOOKUP($F187,드롭다운!$A:$F,2,0),"")</f>
        <v/>
      </c>
      <c r="X187" s="617" t="str">
        <f>IF($T187="카메라",VLOOKUP($F187,드롭다운!$A:$F,3,0),"")</f>
        <v/>
      </c>
      <c r="Y187" s="617" t="str">
        <f>IF($T187="카메라",VLOOKUP($F187,드롭다운!$A:$F,4,0),"")</f>
        <v/>
      </c>
      <c r="Z187" s="617" t="str">
        <f>IF($T187="카메라",VLOOKUP($F187,드롭다운!$A:$F,5,0),"")</f>
        <v/>
      </c>
      <c r="AA187" s="617"/>
    </row>
    <row r="188" spans="1:27">
      <c r="A188" s="135" t="s">
        <v>8805</v>
      </c>
      <c r="B188" s="491">
        <v>4</v>
      </c>
      <c r="C188" s="100" t="str">
        <f>"KR"&amp;TEXT(tbl_국내[[#This Row],[발주일]],"yymmdd")&amp;"-"&amp;TEXT(tbl_국내[[#This Row],[일렬번호]],"00")</f>
        <v>KR250613-04</v>
      </c>
      <c r="D188" s="138" t="s">
        <v>8711</v>
      </c>
      <c r="E188" s="138" t="s">
        <v>7576</v>
      </c>
      <c r="F188" s="138" t="s">
        <v>8814</v>
      </c>
      <c r="G188" s="138" t="s">
        <v>8806</v>
      </c>
      <c r="H188" s="138">
        <v>1</v>
      </c>
      <c r="I188" s="457">
        <v>650000</v>
      </c>
      <c r="J188" s="457">
        <f t="shared" si="2"/>
        <v>650000</v>
      </c>
      <c r="K188" s="457">
        <f>tbl_국내[[#This Row],[금액]]*1.1</f>
        <v>715000</v>
      </c>
      <c r="L188" s="458">
        <v>45820</v>
      </c>
      <c r="M188" s="141">
        <v>45821</v>
      </c>
      <c r="N188" s="457">
        <v>715000</v>
      </c>
      <c r="O188" s="141">
        <v>45839</v>
      </c>
      <c r="P188" s="141" t="s">
        <v>8805</v>
      </c>
      <c r="Q188" s="616"/>
      <c r="R188" s="616">
        <f>YEAR(tbl_국내[[#This Row],[계산서
발행일/구매확정일]])</f>
        <v>2025</v>
      </c>
      <c r="S188" s="617">
        <f>IF(국내!$P188="",0,MONTH(국내!$P188))</f>
        <v>6</v>
      </c>
      <c r="T188" s="617" t="str">
        <f>IFERROR(VLOOKUP($F188,product[],6,0),"error")</f>
        <v>error</v>
      </c>
      <c r="U188" s="138"/>
      <c r="V188" s="138"/>
      <c r="W188" s="617" t="str">
        <f>IF($T188="카메라",VLOOKUP($F188,드롭다운!$A:$F,2,0),"")</f>
        <v/>
      </c>
      <c r="X188" s="617" t="str">
        <f>IF($T188="카메라",VLOOKUP($F188,드롭다운!$A:$F,3,0),"")</f>
        <v/>
      </c>
      <c r="Y188" s="617" t="str">
        <f>IF($T188="카메라",VLOOKUP($F188,드롭다운!$A:$F,4,0),"")</f>
        <v/>
      </c>
      <c r="Z188" s="617" t="str">
        <f>IF($T188="카메라",VLOOKUP($F188,드롭다운!$A:$F,5,0),"")</f>
        <v/>
      </c>
      <c r="AA188" s="617"/>
    </row>
    <row r="189" spans="1:27">
      <c r="A189" s="135" t="s">
        <v>8805</v>
      </c>
      <c r="B189" s="491">
        <v>5</v>
      </c>
      <c r="C189" s="100" t="str">
        <f>"KR"&amp;TEXT(tbl_국내[[#This Row],[발주일]],"yymmdd")&amp;"-"&amp;TEXT(tbl_국내[[#This Row],[일렬번호]],"00")</f>
        <v>KR250613-05</v>
      </c>
      <c r="D189" s="138" t="s">
        <v>236</v>
      </c>
      <c r="E189" s="138" t="s">
        <v>7576</v>
      </c>
      <c r="F189" s="138" t="s">
        <v>8814</v>
      </c>
      <c r="G189" s="138" t="s">
        <v>8771</v>
      </c>
      <c r="H189" s="138">
        <v>1</v>
      </c>
      <c r="I189" s="457">
        <v>1200000</v>
      </c>
      <c r="J189" s="457">
        <f t="shared" si="2"/>
        <v>1200000</v>
      </c>
      <c r="K189" s="457">
        <f>tbl_국내[[#This Row],[금액]]*1.1</f>
        <v>1320000</v>
      </c>
      <c r="L189" s="458">
        <v>45820</v>
      </c>
      <c r="M189" s="141">
        <v>45821</v>
      </c>
      <c r="N189" s="457">
        <v>1674090</v>
      </c>
      <c r="O189" s="141">
        <v>45840</v>
      </c>
      <c r="P189" s="141" t="s">
        <v>8805</v>
      </c>
      <c r="Q189" s="616"/>
      <c r="R189" s="616">
        <f>YEAR(tbl_국내[[#This Row],[계산서
발행일/구매확정일]])</f>
        <v>2025</v>
      </c>
      <c r="S189" s="617">
        <f>IF(국내!$P189="",0,MONTH(국내!$P189))</f>
        <v>6</v>
      </c>
      <c r="T189" s="617" t="str">
        <f>IFERROR(VLOOKUP($F189,product[],6,0),"error")</f>
        <v>error</v>
      </c>
      <c r="U189" s="138"/>
      <c r="V189" s="138"/>
      <c r="W189" s="617" t="str">
        <f>IF($T189="카메라",VLOOKUP($F189,드롭다운!$A:$F,2,0),"")</f>
        <v/>
      </c>
      <c r="X189" s="617" t="str">
        <f>IF($T189="카메라",VLOOKUP($F189,드롭다운!$A:$F,3,0),"")</f>
        <v/>
      </c>
      <c r="Y189" s="617" t="str">
        <f>IF($T189="카메라",VLOOKUP($F189,드롭다운!$A:$F,4,0),"")</f>
        <v/>
      </c>
      <c r="Z189" s="617" t="str">
        <f>IF($T189="카메라",VLOOKUP($F189,드롭다운!$A:$F,5,0),"")</f>
        <v/>
      </c>
      <c r="AA189" s="617"/>
    </row>
    <row r="190" spans="1:27">
      <c r="A190" s="135" t="s">
        <v>8805</v>
      </c>
      <c r="B190" s="491">
        <v>5</v>
      </c>
      <c r="C190" s="100" t="str">
        <f>"KR"&amp;TEXT(tbl_국내[[#This Row],[발주일]],"yymmdd")&amp;"-"&amp;TEXT(tbl_국내[[#This Row],[일렬번호]],"00")</f>
        <v>KR250613-05</v>
      </c>
      <c r="D190" s="138" t="s">
        <v>236</v>
      </c>
      <c r="E190" s="138" t="s">
        <v>8514</v>
      </c>
      <c r="F190" s="138" t="s">
        <v>8845</v>
      </c>
      <c r="G190" s="138" t="s">
        <v>8846</v>
      </c>
      <c r="H190" s="138">
        <v>1</v>
      </c>
      <c r="I190" s="457">
        <v>321900</v>
      </c>
      <c r="J190" s="457">
        <f t="shared" si="2"/>
        <v>321900</v>
      </c>
      <c r="K190" s="457">
        <f>tbl_국내[[#This Row],[금액]]*1.1</f>
        <v>354090</v>
      </c>
      <c r="L190" s="458">
        <v>45820</v>
      </c>
      <c r="M190" s="141">
        <v>45821</v>
      </c>
      <c r="N190" s="457">
        <v>0</v>
      </c>
      <c r="O190" s="141">
        <v>45840</v>
      </c>
      <c r="P190" s="141" t="s">
        <v>8805</v>
      </c>
      <c r="Q190" s="616"/>
      <c r="R190" s="616">
        <f>YEAR(tbl_국내[[#This Row],[계산서
발행일/구매확정일]])</f>
        <v>2025</v>
      </c>
      <c r="S190" s="617">
        <f>IF(국내!$P190="",0,MONTH(국내!$P190))</f>
        <v>6</v>
      </c>
      <c r="T190" s="617" t="str">
        <f>IFERROR(VLOOKUP($F190,product[],6,0),"error")</f>
        <v>error</v>
      </c>
      <c r="U190" s="138"/>
      <c r="V190" s="138"/>
      <c r="W190" s="617" t="str">
        <f>IF($T190="카메라",VLOOKUP($F190,드롭다운!$A:$F,2,0),"")</f>
        <v/>
      </c>
      <c r="X190" s="617" t="str">
        <f>IF($T190="카메라",VLOOKUP($F190,드롭다운!$A:$F,3,0),"")</f>
        <v/>
      </c>
      <c r="Y190" s="617" t="str">
        <f>IF($T190="카메라",VLOOKUP($F190,드롭다운!$A:$F,4,0),"")</f>
        <v/>
      </c>
      <c r="Z190" s="617" t="str">
        <f>IF($T190="카메라",VLOOKUP($F190,드롭다운!$A:$F,5,0),"")</f>
        <v/>
      </c>
      <c r="AA190" s="617"/>
    </row>
    <row r="191" spans="1:27">
      <c r="A191" s="135" t="s">
        <v>8809</v>
      </c>
      <c r="B191" s="491">
        <v>6</v>
      </c>
      <c r="C191" s="100" t="str">
        <f>"KR"&amp;TEXT(tbl_국내[[#This Row],[발주일]],"yymmdd")&amp;"-"&amp;TEXT(tbl_국내[[#This Row],[일렬번호]],"00")</f>
        <v>KR250617-06</v>
      </c>
      <c r="D191" s="138" t="s">
        <v>8728</v>
      </c>
      <c r="E191" s="138" t="s">
        <v>7575</v>
      </c>
      <c r="F191" s="138" t="s">
        <v>8827</v>
      </c>
      <c r="G191" s="138" t="s">
        <v>8820</v>
      </c>
      <c r="H191" s="138">
        <v>6</v>
      </c>
      <c r="I191" s="457">
        <v>200000</v>
      </c>
      <c r="J191" s="457">
        <f t="shared" si="2"/>
        <v>1200000</v>
      </c>
      <c r="K191" s="457">
        <f>tbl_국내[[#This Row],[금액]]*1.1</f>
        <v>1320000</v>
      </c>
      <c r="L191" s="458">
        <v>45824</v>
      </c>
      <c r="M191" s="141">
        <v>45825</v>
      </c>
      <c r="N191" s="457">
        <v>1320000</v>
      </c>
      <c r="O191" s="141">
        <v>45838</v>
      </c>
      <c r="P191" s="141" t="s">
        <v>8809</v>
      </c>
      <c r="Q191" s="616"/>
      <c r="R191" s="616">
        <f>YEAR(tbl_국내[[#This Row],[계산서
발행일/구매확정일]])</f>
        <v>2025</v>
      </c>
      <c r="S191" s="617">
        <f>IF(국내!$P191="",0,MONTH(국내!$P191))</f>
        <v>6</v>
      </c>
      <c r="T191" s="617" t="str">
        <f>IFERROR(VLOOKUP($F191,product[],6,0),"error")</f>
        <v>error</v>
      </c>
      <c r="U191" s="138"/>
      <c r="V191" s="138"/>
      <c r="W191" s="617" t="str">
        <f>IF($T191="카메라",VLOOKUP($F191,드롭다운!$A:$F,2,0),"")</f>
        <v/>
      </c>
      <c r="X191" s="617" t="str">
        <f>IF($T191="카메라",VLOOKUP($F191,드롭다운!$A:$F,3,0),"")</f>
        <v/>
      </c>
      <c r="Y191" s="617" t="str">
        <f>IF($T191="카메라",VLOOKUP($F191,드롭다운!$A:$F,4,0),"")</f>
        <v/>
      </c>
      <c r="Z191" s="617" t="str">
        <f>IF($T191="카메라",VLOOKUP($F191,드롭다운!$A:$F,5,0),"")</f>
        <v/>
      </c>
      <c r="AA191" s="617"/>
    </row>
    <row r="192" spans="1:27">
      <c r="A192" s="135" t="s">
        <v>8809</v>
      </c>
      <c r="B192" s="491">
        <v>7</v>
      </c>
      <c r="C192" s="100" t="str">
        <f>"KR"&amp;TEXT(tbl_국내[[#This Row],[발주일]],"yymmdd")&amp;"-"&amp;TEXT(tbl_국내[[#This Row],[일렬번호]],"00")</f>
        <v>KR250617-07</v>
      </c>
      <c r="D192" s="138" t="s">
        <v>8735</v>
      </c>
      <c r="E192" s="138" t="s">
        <v>7576</v>
      </c>
      <c r="F192" s="138" t="s">
        <v>8814</v>
      </c>
      <c r="G192" s="138" t="s">
        <v>8855</v>
      </c>
      <c r="H192" s="138">
        <v>1</v>
      </c>
      <c r="I192" s="457">
        <v>500000</v>
      </c>
      <c r="J192" s="457">
        <f t="shared" si="2"/>
        <v>500000</v>
      </c>
      <c r="K192" s="457">
        <f>tbl_국내[[#This Row],[금액]]*1.1</f>
        <v>550000</v>
      </c>
      <c r="L192" s="458">
        <v>45824</v>
      </c>
      <c r="M192" s="141">
        <v>45825</v>
      </c>
      <c r="N192" s="457">
        <v>550000</v>
      </c>
      <c r="O192" s="141">
        <v>45825</v>
      </c>
      <c r="P192" s="141" t="s">
        <v>8809</v>
      </c>
      <c r="Q192" s="616"/>
      <c r="R192" s="616">
        <f>YEAR(tbl_국내[[#This Row],[계산서
발행일/구매확정일]])</f>
        <v>2025</v>
      </c>
      <c r="S192" s="617">
        <f>IF(국내!$P192="",0,MONTH(국내!$P192))</f>
        <v>6</v>
      </c>
      <c r="T192" s="617" t="str">
        <f>IFERROR(VLOOKUP($F192,product[],6,0),"error")</f>
        <v>error</v>
      </c>
      <c r="U192" s="138"/>
      <c r="V192" s="138"/>
      <c r="W192" s="617" t="str">
        <f>IF($T192="카메라",VLOOKUP($F192,드롭다운!$A:$F,2,0),"")</f>
        <v/>
      </c>
      <c r="X192" s="617" t="str">
        <f>IF($T192="카메라",VLOOKUP($F192,드롭다운!$A:$F,3,0),"")</f>
        <v/>
      </c>
      <c r="Y192" s="617" t="str">
        <f>IF($T192="카메라",VLOOKUP($F192,드롭다운!$A:$F,4,0),"")</f>
        <v/>
      </c>
      <c r="Z192" s="617" t="str">
        <f>IF($T192="카메라",VLOOKUP($F192,드롭다운!$A:$F,5,0),"")</f>
        <v/>
      </c>
      <c r="AA192" s="617"/>
    </row>
    <row r="193" spans="1:27">
      <c r="A193" s="135" t="s">
        <v>8810</v>
      </c>
      <c r="B193" s="491">
        <v>8</v>
      </c>
      <c r="C193" s="100" t="str">
        <f>"KR"&amp;TEXT(tbl_국내[[#This Row],[발주일]],"yymmdd")&amp;"-"&amp;TEXT(tbl_국내[[#This Row],[일렬번호]],"00")</f>
        <v>KR250619-08</v>
      </c>
      <c r="D193" s="138" t="s">
        <v>8717</v>
      </c>
      <c r="E193" s="138" t="s">
        <v>8514</v>
      </c>
      <c r="F193" s="138" t="s">
        <v>8811</v>
      </c>
      <c r="G193" s="138" t="s">
        <v>8856</v>
      </c>
      <c r="H193" s="138">
        <v>1</v>
      </c>
      <c r="I193" s="457">
        <v>250000</v>
      </c>
      <c r="J193" s="457">
        <f t="shared" si="2"/>
        <v>250000</v>
      </c>
      <c r="K193" s="457">
        <f>tbl_국내[[#This Row],[금액]]*1.1</f>
        <v>275000</v>
      </c>
      <c r="L193" s="458">
        <v>45826</v>
      </c>
      <c r="M193" s="141">
        <v>45827</v>
      </c>
      <c r="N193" s="457">
        <v>275000</v>
      </c>
      <c r="O193" s="141">
        <v>45827</v>
      </c>
      <c r="P193" s="141" t="s">
        <v>8810</v>
      </c>
      <c r="Q193" s="616"/>
      <c r="R193" s="616">
        <f>YEAR(tbl_국내[[#This Row],[계산서
발행일/구매확정일]])</f>
        <v>2025</v>
      </c>
      <c r="S193" s="617">
        <f>IF(국내!$P193="",0,MONTH(국내!$P193))</f>
        <v>6</v>
      </c>
      <c r="T193" s="617" t="str">
        <f>IFERROR(VLOOKUP($F193,product[],6,0),"error")</f>
        <v>error</v>
      </c>
      <c r="U193" s="138"/>
      <c r="V193" s="138"/>
      <c r="W193" s="617" t="str">
        <f>IF($T193="카메라",VLOOKUP($F193,드롭다운!$A:$F,2,0),"")</f>
        <v/>
      </c>
      <c r="X193" s="617" t="str">
        <f>IF($T193="카메라",VLOOKUP($F193,드롭다운!$A:$F,3,0),"")</f>
        <v/>
      </c>
      <c r="Y193" s="617" t="str">
        <f>IF($T193="카메라",VLOOKUP($F193,드롭다운!$A:$F,4,0),"")</f>
        <v/>
      </c>
      <c r="Z193" s="617" t="str">
        <f>IF($T193="카메라",VLOOKUP($F193,드롭다운!$A:$F,5,0),"")</f>
        <v/>
      </c>
      <c r="AA193" s="617"/>
    </row>
    <row r="194" spans="1:27">
      <c r="A194" s="135" t="s">
        <v>8810</v>
      </c>
      <c r="B194" s="491">
        <v>9</v>
      </c>
      <c r="C194" s="100" t="str">
        <f>"KR"&amp;TEXT(tbl_국내[[#This Row],[발주일]],"yymmdd")&amp;"-"&amp;TEXT(tbl_국내[[#This Row],[일렬번호]],"00")</f>
        <v>KR250619-09</v>
      </c>
      <c r="D194" s="138" t="s">
        <v>8700</v>
      </c>
      <c r="E194" s="138" t="s">
        <v>7576</v>
      </c>
      <c r="F194" s="138" t="s">
        <v>8706</v>
      </c>
      <c r="G194" s="138" t="s">
        <v>8857</v>
      </c>
      <c r="H194" s="138">
        <v>2</v>
      </c>
      <c r="I194" s="457">
        <v>1456000</v>
      </c>
      <c r="J194" s="457">
        <f t="shared" ref="J194:J237" si="3">H194*I194</f>
        <v>2912000</v>
      </c>
      <c r="K194" s="457">
        <f>tbl_국내[[#This Row],[금액]]*1.1</f>
        <v>3203200.0000000005</v>
      </c>
      <c r="L194" s="458">
        <v>45826</v>
      </c>
      <c r="M194" s="141">
        <v>45827</v>
      </c>
      <c r="N194" s="457">
        <v>3533200</v>
      </c>
      <c r="O194" s="141">
        <v>45944</v>
      </c>
      <c r="P194" s="141" t="s">
        <v>8810</v>
      </c>
      <c r="Q194" s="616"/>
      <c r="R194" s="616">
        <f>YEAR(tbl_국내[[#This Row],[계산서
발행일/구매확정일]])</f>
        <v>2025</v>
      </c>
      <c r="S194" s="617">
        <f>IF(국내!$P194="",0,MONTH(국내!$P194))</f>
        <v>6</v>
      </c>
      <c r="T194" s="617" t="str">
        <f>IFERROR(VLOOKUP($F194,product[],6,0),"error")</f>
        <v>error</v>
      </c>
      <c r="U194" s="138"/>
      <c r="V194" s="138"/>
      <c r="W194" s="617" t="str">
        <f>IF($T194="카메라",VLOOKUP($F194,드롭다운!$A:$F,2,0),"")</f>
        <v/>
      </c>
      <c r="X194" s="617" t="str">
        <f>IF($T194="카메라",VLOOKUP($F194,드롭다운!$A:$F,3,0),"")</f>
        <v/>
      </c>
      <c r="Y194" s="617" t="str">
        <f>IF($T194="카메라",VLOOKUP($F194,드롭다운!$A:$F,4,0),"")</f>
        <v/>
      </c>
      <c r="Z194" s="617" t="str">
        <f>IF($T194="카메라",VLOOKUP($F194,드롭다운!$A:$F,5,0),"")</f>
        <v/>
      </c>
      <c r="AA194" s="617"/>
    </row>
    <row r="195" spans="1:27">
      <c r="A195" s="135" t="s">
        <v>8810</v>
      </c>
      <c r="B195" s="491">
        <v>9</v>
      </c>
      <c r="C195" s="100" t="str">
        <f>"KR"&amp;TEXT(tbl_국내[[#This Row],[발주일]],"yymmdd")&amp;"-"&amp;TEXT(tbl_국내[[#This Row],[일렬번호]],"00")</f>
        <v>KR250619-09</v>
      </c>
      <c r="D195" s="138" t="s">
        <v>8700</v>
      </c>
      <c r="E195" s="138" t="s">
        <v>7575</v>
      </c>
      <c r="F195" s="138" t="s">
        <v>8827</v>
      </c>
      <c r="G195" s="138" t="s">
        <v>8820</v>
      </c>
      <c r="H195" s="138">
        <v>2</v>
      </c>
      <c r="I195" s="457">
        <v>150000</v>
      </c>
      <c r="J195" s="457">
        <f t="shared" si="3"/>
        <v>300000</v>
      </c>
      <c r="K195" s="457">
        <f>tbl_국내[[#This Row],[금액]]*1.1</f>
        <v>330000</v>
      </c>
      <c r="L195" s="458">
        <v>45826</v>
      </c>
      <c r="M195" s="141">
        <v>45827</v>
      </c>
      <c r="N195" s="457">
        <v>0</v>
      </c>
      <c r="O195" s="141">
        <v>45944</v>
      </c>
      <c r="P195" s="141" t="s">
        <v>8810</v>
      </c>
      <c r="Q195" s="616"/>
      <c r="R195" s="616">
        <f>YEAR(tbl_국내[[#This Row],[계산서
발행일/구매확정일]])</f>
        <v>2025</v>
      </c>
      <c r="S195" s="617">
        <f>IF(국내!$P195="",0,MONTH(국내!$P195))</f>
        <v>6</v>
      </c>
      <c r="T195" s="617" t="str">
        <f>IFERROR(VLOOKUP($F195,product[],6,0),"error")</f>
        <v>error</v>
      </c>
      <c r="U195" s="138"/>
      <c r="V195" s="138"/>
      <c r="W195" s="617" t="str">
        <f>IF($T195="카메라",VLOOKUP($F195,드롭다운!$A:$F,2,0),"")</f>
        <v/>
      </c>
      <c r="X195" s="617" t="str">
        <f>IF($T195="카메라",VLOOKUP($F195,드롭다운!$A:$F,3,0),"")</f>
        <v/>
      </c>
      <c r="Y195" s="617" t="str">
        <f>IF($T195="카메라",VLOOKUP($F195,드롭다운!$A:$F,4,0),"")</f>
        <v/>
      </c>
      <c r="Z195" s="617" t="str">
        <f>IF($T195="카메라",VLOOKUP($F195,드롭다운!$A:$F,5,0),"")</f>
        <v/>
      </c>
      <c r="AA195" s="617"/>
    </row>
    <row r="196" spans="1:27">
      <c r="A196" s="135" t="s">
        <v>8812</v>
      </c>
      <c r="B196" s="491">
        <v>10</v>
      </c>
      <c r="C196" s="100" t="str">
        <f>"KR"&amp;TEXT(tbl_국내[[#This Row],[발주일]],"yymmdd")&amp;"-"&amp;TEXT(tbl_국내[[#This Row],[일렬번호]],"00")</f>
        <v>KR250624-10</v>
      </c>
      <c r="D196" s="138" t="s">
        <v>5600</v>
      </c>
      <c r="E196" s="138" t="s">
        <v>7572</v>
      </c>
      <c r="F196" s="138" t="s">
        <v>8860</v>
      </c>
      <c r="G196" s="138" t="s">
        <v>8858</v>
      </c>
      <c r="H196" s="138">
        <v>2</v>
      </c>
      <c r="I196" s="457">
        <v>3012542</v>
      </c>
      <c r="J196" s="457">
        <f t="shared" si="3"/>
        <v>6025084</v>
      </c>
      <c r="K196" s="457">
        <f>tbl_국내[[#This Row],[금액]]*1.1</f>
        <v>6627592.4000000004</v>
      </c>
      <c r="L196" s="458">
        <v>45831</v>
      </c>
      <c r="M196" s="141">
        <v>45832</v>
      </c>
      <c r="N196" s="457">
        <v>23342499</v>
      </c>
      <c r="O196" s="141">
        <v>45841</v>
      </c>
      <c r="P196" s="141" t="s">
        <v>8812</v>
      </c>
      <c r="Q196" s="616"/>
      <c r="R196" s="616">
        <f>YEAR(tbl_국내[[#This Row],[계산서
발행일/구매확정일]])</f>
        <v>2025</v>
      </c>
      <c r="S196" s="617">
        <f>IF(국내!$P196="",0,MONTH(국내!$P196))</f>
        <v>6</v>
      </c>
      <c r="T196" s="617" t="str">
        <f>IFERROR(VLOOKUP($F196,product[],6,0),"error")</f>
        <v>카메라</v>
      </c>
      <c r="U196" s="138"/>
      <c r="V196" s="138"/>
      <c r="W196" s="617" t="str">
        <f>IF($T196="카메라",VLOOKUP($F196,드롭다운!$A:$F,2,0),"")</f>
        <v>VGA</v>
      </c>
      <c r="X196" s="617" t="str">
        <f>IF($T196="카메라",VLOOKUP($F196,드롭다운!$A:$F,3,0),"")</f>
        <v>Security</v>
      </c>
      <c r="Y196" s="617" t="str">
        <f>IF($T196="카메라",VLOOKUP($F196,드롭다운!$A:$F,4,0),"")</f>
        <v>Analogue</v>
      </c>
      <c r="Z196" s="617">
        <f>IF($T196="카메라",VLOOKUP($F196,드롭다운!$A:$F,5,0),"")</f>
        <v>12</v>
      </c>
      <c r="AA196" s="617"/>
    </row>
    <row r="197" spans="1:27">
      <c r="A197" s="135" t="s">
        <v>8812</v>
      </c>
      <c r="B197" s="491">
        <v>10</v>
      </c>
      <c r="C197" s="100" t="str">
        <f>"KR"&amp;TEXT(tbl_국내[[#This Row],[발주일]],"yymmdd")&amp;"-"&amp;TEXT(tbl_국내[[#This Row],[일렬번호]],"00")</f>
        <v>KR250624-10</v>
      </c>
      <c r="D197" s="138" t="s">
        <v>5600</v>
      </c>
      <c r="E197" s="138" t="s">
        <v>7572</v>
      </c>
      <c r="F197" s="138" t="s">
        <v>8860</v>
      </c>
      <c r="G197" s="138" t="s">
        <v>8637</v>
      </c>
      <c r="H197" s="138">
        <v>4</v>
      </c>
      <c r="I197" s="457">
        <v>3004250</v>
      </c>
      <c r="J197" s="457">
        <f t="shared" si="3"/>
        <v>12017000</v>
      </c>
      <c r="K197" s="457">
        <f>tbl_국내[[#This Row],[금액]]*1.1</f>
        <v>13218700.000000002</v>
      </c>
      <c r="L197" s="458">
        <v>45831</v>
      </c>
      <c r="M197" s="141">
        <v>45832</v>
      </c>
      <c r="N197" s="457">
        <v>0</v>
      </c>
      <c r="O197" s="141">
        <v>45841</v>
      </c>
      <c r="P197" s="141" t="s">
        <v>8812</v>
      </c>
      <c r="Q197" s="616"/>
      <c r="R197" s="616">
        <f>YEAR(tbl_국내[[#This Row],[계산서
발행일/구매확정일]])</f>
        <v>2025</v>
      </c>
      <c r="S197" s="617">
        <f>IF(국내!$P197="",0,MONTH(국내!$P197))</f>
        <v>6</v>
      </c>
      <c r="T197" s="617" t="str">
        <f>IFERROR(VLOOKUP($F197,product[],6,0),"error")</f>
        <v>카메라</v>
      </c>
      <c r="U197" s="138"/>
      <c r="V197" s="138"/>
      <c r="W197" s="617" t="str">
        <f>IF($T197="카메라",VLOOKUP($F197,드롭다운!$A:$F,2,0),"")</f>
        <v>VGA</v>
      </c>
      <c r="X197" s="617" t="str">
        <f>IF($T197="카메라",VLOOKUP($F197,드롭다운!$A:$F,3,0),"")</f>
        <v>Security</v>
      </c>
      <c r="Y197" s="617" t="str">
        <f>IF($T197="카메라",VLOOKUP($F197,드롭다운!$A:$F,4,0),"")</f>
        <v>Analogue</v>
      </c>
      <c r="Z197" s="617">
        <f>IF($T197="카메라",VLOOKUP($F197,드롭다운!$A:$F,5,0),"")</f>
        <v>12</v>
      </c>
      <c r="AA197" s="617"/>
    </row>
    <row r="198" spans="1:27">
      <c r="A198" s="135" t="s">
        <v>8812</v>
      </c>
      <c r="B198" s="491">
        <v>10</v>
      </c>
      <c r="C198" s="100" t="str">
        <f>"KR"&amp;TEXT(tbl_국내[[#This Row],[발주일]],"yymmdd")&amp;"-"&amp;TEXT(tbl_국내[[#This Row],[일렬번호]],"00")</f>
        <v>KR250624-10</v>
      </c>
      <c r="D198" s="138" t="s">
        <v>5600</v>
      </c>
      <c r="E198" s="138" t="s">
        <v>7572</v>
      </c>
      <c r="F198" s="138" t="s">
        <v>8860</v>
      </c>
      <c r="G198" s="138" t="s">
        <v>8859</v>
      </c>
      <c r="H198" s="138">
        <v>1</v>
      </c>
      <c r="I198" s="457">
        <v>3178370</v>
      </c>
      <c r="J198" s="457">
        <f t="shared" si="3"/>
        <v>3178370</v>
      </c>
      <c r="K198" s="457">
        <f>tbl_국내[[#This Row],[금액]]*1.1</f>
        <v>3496207.0000000005</v>
      </c>
      <c r="L198" s="458">
        <v>45831</v>
      </c>
      <c r="M198" s="141">
        <v>45832</v>
      </c>
      <c r="N198" s="457">
        <v>0</v>
      </c>
      <c r="O198" s="141">
        <v>45841</v>
      </c>
      <c r="P198" s="141" t="s">
        <v>8812</v>
      </c>
      <c r="Q198" s="616"/>
      <c r="R198" s="616">
        <f>YEAR(tbl_국내[[#This Row],[계산서
발행일/구매확정일]])</f>
        <v>2025</v>
      </c>
      <c r="S198" s="617">
        <f>IF(국내!$P198="",0,MONTH(국내!$P198))</f>
        <v>6</v>
      </c>
      <c r="T198" s="617" t="str">
        <f>IFERROR(VLOOKUP($F198,product[],6,0),"error")</f>
        <v>카메라</v>
      </c>
      <c r="U198" s="138"/>
      <c r="V198" s="138"/>
      <c r="W198" s="617" t="str">
        <f>IF($T198="카메라",VLOOKUP($F198,드롭다운!$A:$F,2,0),"")</f>
        <v>VGA</v>
      </c>
      <c r="X198" s="617" t="str">
        <f>IF($T198="카메라",VLOOKUP($F198,드롭다운!$A:$F,3,0),"")</f>
        <v>Security</v>
      </c>
      <c r="Y198" s="617" t="str">
        <f>IF($T198="카메라",VLOOKUP($F198,드롭다운!$A:$F,4,0),"")</f>
        <v>Analogue</v>
      </c>
      <c r="Z198" s="617">
        <f>IF($T198="카메라",VLOOKUP($F198,드롭다운!$A:$F,5,0),"")</f>
        <v>12</v>
      </c>
      <c r="AA198" s="617"/>
    </row>
    <row r="199" spans="1:27">
      <c r="A199" s="467" t="s">
        <v>8813</v>
      </c>
      <c r="B199" s="508">
        <v>11</v>
      </c>
      <c r="C199" s="505" t="str">
        <f>"KR"&amp;TEXT(tbl_국내[[#This Row],[발주일]],"yymmdd")&amp;"-"&amp;TEXT(tbl_국내[[#This Row],[일렬번호]],"00")</f>
        <v>KR250627-11</v>
      </c>
      <c r="D199" s="462" t="s">
        <v>8596</v>
      </c>
      <c r="E199" s="462" t="s">
        <v>7572</v>
      </c>
      <c r="F199" s="462" t="s">
        <v>8842</v>
      </c>
      <c r="G199" s="462" t="s">
        <v>8843</v>
      </c>
      <c r="H199" s="462">
        <v>1</v>
      </c>
      <c r="I199" s="484">
        <v>3017944</v>
      </c>
      <c r="J199" s="484">
        <f t="shared" si="3"/>
        <v>3017944</v>
      </c>
      <c r="K199" s="484">
        <f>tbl_국내[[#This Row],[금액]]</f>
        <v>3017944</v>
      </c>
      <c r="L199" s="458">
        <v>45834</v>
      </c>
      <c r="M199" s="141">
        <v>45835</v>
      </c>
      <c r="N199" s="512">
        <v>2223</v>
      </c>
      <c r="O199" s="141">
        <v>45834</v>
      </c>
      <c r="P199" s="141" t="s">
        <v>8813</v>
      </c>
      <c r="Q199" s="637"/>
      <c r="R199" s="616">
        <f>YEAR(tbl_국내[[#This Row],[계산서
발행일/구매확정일]])</f>
        <v>2025</v>
      </c>
      <c r="S199" s="617">
        <f>IF(국내!$P199="",0,MONTH(국내!$P199))</f>
        <v>6</v>
      </c>
      <c r="T199" s="617" t="str">
        <f>IFERROR(VLOOKUP($F199,product[],6,0),"error")</f>
        <v>카메라</v>
      </c>
      <c r="U199" s="138"/>
      <c r="V199" s="138"/>
      <c r="W199" s="617" t="str">
        <f>IF($T199="카메라",VLOOKUP($F199,드롭다운!$A:$F,2,0),"")</f>
        <v>VGA</v>
      </c>
      <c r="X199" s="617" t="str">
        <f>IF($T199="카메라",VLOOKUP($F199,드롭다운!$A:$F,3,0),"")</f>
        <v>Security</v>
      </c>
      <c r="Y199" s="617" t="str">
        <f>IF($T199="카메라",VLOOKUP($F199,드롭다운!$A:$F,4,0),"")</f>
        <v>Analogue</v>
      </c>
      <c r="Z199" s="617">
        <f>IF($T199="카메라",VLOOKUP($F199,드롭다운!$A:$F,5,0),"")</f>
        <v>17</v>
      </c>
      <c r="AA199" s="617"/>
    </row>
    <row r="200" spans="1:27">
      <c r="A200" s="467">
        <v>45846</v>
      </c>
      <c r="B200" s="508">
        <v>1</v>
      </c>
      <c r="C200" s="505" t="str">
        <f>"KR"&amp;TEXT(tbl_국내[[#This Row],[발주일]],"yymmdd")&amp;"-"&amp;TEXT(tbl_국내[[#This Row],[일렬번호]],"00")</f>
        <v>KR250708-01</v>
      </c>
      <c r="D200" s="462" t="s">
        <v>8717</v>
      </c>
      <c r="E200" s="462" t="s">
        <v>8121</v>
      </c>
      <c r="F200" s="462" t="s">
        <v>108</v>
      </c>
      <c r="G200" s="462" t="s">
        <v>8309</v>
      </c>
      <c r="H200" s="462">
        <v>1</v>
      </c>
      <c r="I200" s="484">
        <v>200000</v>
      </c>
      <c r="J200" s="484">
        <f t="shared" si="3"/>
        <v>200000</v>
      </c>
      <c r="K200" s="484">
        <f>tbl_국내[[#This Row],[금액]]*1.1</f>
        <v>220000.00000000003</v>
      </c>
      <c r="L200" s="469">
        <v>45849</v>
      </c>
      <c r="M200" s="469">
        <v>45849</v>
      </c>
      <c r="N200" s="484">
        <v>220000</v>
      </c>
      <c r="O200" s="469">
        <v>45860</v>
      </c>
      <c r="P200" s="469">
        <v>45849</v>
      </c>
      <c r="Q200" s="637"/>
      <c r="R200" s="637">
        <f>YEAR(tbl_국내[[#This Row],[계산서
발행일/구매확정일]])</f>
        <v>2025</v>
      </c>
      <c r="S200" s="640">
        <f>IF(국내!$P200="",0,MONTH(국내!$P200))</f>
        <v>7</v>
      </c>
      <c r="T200" s="640" t="str">
        <f>IFERROR(VLOOKUP($F200,product[],6,0),"error")</f>
        <v>error</v>
      </c>
      <c r="U200" s="462"/>
      <c r="V200" s="462"/>
      <c r="W200" s="640" t="str">
        <f>IF($T200="카메라",VLOOKUP($F200,드롭다운!$A:$F,2,0),"")</f>
        <v/>
      </c>
      <c r="X200" s="640" t="str">
        <f>IF($T200="카메라",VLOOKUP($F200,드롭다운!$A:$F,3,0),"")</f>
        <v/>
      </c>
      <c r="Y200" s="640" t="str">
        <f>IF($T200="카메라",VLOOKUP($F200,드롭다운!$A:$F,4,0),"")</f>
        <v/>
      </c>
      <c r="Z200" s="640" t="str">
        <f>IF($T200="카메라",VLOOKUP($F200,드롭다운!$A:$F,5,0),"")</f>
        <v/>
      </c>
      <c r="AA200" s="640"/>
    </row>
    <row r="201" spans="1:27">
      <c r="A201" s="467">
        <v>45867</v>
      </c>
      <c r="B201" s="508">
        <v>3</v>
      </c>
      <c r="C201" s="100" t="str">
        <f>"KR"&amp;TEXT(tbl_국내[[#This Row],[발주일]],"yymmdd")&amp;"-"&amp;TEXT(tbl_국내[[#This Row],[일렬번호]],"00")</f>
        <v>KR250729-03</v>
      </c>
      <c r="D201" s="462" t="s">
        <v>8157</v>
      </c>
      <c r="E201" s="462" t="s">
        <v>7576</v>
      </c>
      <c r="F201" s="462" t="s">
        <v>9075</v>
      </c>
      <c r="G201" s="462" t="s">
        <v>9079</v>
      </c>
      <c r="H201" s="462">
        <v>1</v>
      </c>
      <c r="I201" s="484">
        <v>800000</v>
      </c>
      <c r="J201" s="484">
        <f t="shared" si="3"/>
        <v>800000</v>
      </c>
      <c r="K201" s="484">
        <f>tbl_국내[[#This Row],[금액]]*1.1</f>
        <v>880000.00000000012</v>
      </c>
      <c r="L201" s="469">
        <v>45867</v>
      </c>
      <c r="M201" s="469">
        <v>45867</v>
      </c>
      <c r="N201" s="484">
        <v>880000</v>
      </c>
      <c r="O201" s="469">
        <v>45880</v>
      </c>
      <c r="P201" s="469">
        <v>45867</v>
      </c>
      <c r="Q201" s="637"/>
      <c r="R201" s="637">
        <f>YEAR(tbl_국내[[#This Row],[계산서
발행일/구매확정일]])</f>
        <v>2025</v>
      </c>
      <c r="S201" s="640">
        <f>IF(국내!$P204="",0,MONTH(국내!$P204))</f>
        <v>8</v>
      </c>
      <c r="T201" s="640" t="str">
        <f>IFERROR(VLOOKUP($F201,product[],6,0),"error")</f>
        <v>error</v>
      </c>
      <c r="U201" s="462"/>
      <c r="V201" s="462"/>
      <c r="W201" s="640" t="str">
        <f>IF($T201="카메라",VLOOKUP($F201,드롭다운!$A:$F,2,0),"")</f>
        <v/>
      </c>
      <c r="X201" s="640" t="str">
        <f>IF($T201="카메라",VLOOKUP($F201,드롭다운!$A:$F,3,0),"")</f>
        <v/>
      </c>
      <c r="Y201" s="640" t="str">
        <f>IF($T201="카메라",VLOOKUP($F201,드롭다운!$A:$F,4,0),"")</f>
        <v/>
      </c>
      <c r="Z201" s="640" t="str">
        <f>IF($T201="카메라",VLOOKUP($F201,드롭다운!$A:$F,5,0),"")</f>
        <v/>
      </c>
      <c r="AA201" s="640"/>
    </row>
    <row r="202" spans="1:27">
      <c r="A202" s="467">
        <v>45867</v>
      </c>
      <c r="B202" s="508">
        <v>1</v>
      </c>
      <c r="C202" s="100" t="str">
        <f>"KR"&amp;TEXT(tbl_국내[[#This Row],[발주일]],"yymmdd")&amp;"-"&amp;TEXT(tbl_국내[[#This Row],[일렬번호]],"00")</f>
        <v>KR250729-01</v>
      </c>
      <c r="D202" s="462" t="s">
        <v>9007</v>
      </c>
      <c r="E202" s="462" t="s">
        <v>9012</v>
      </c>
      <c r="F202" s="462" t="s">
        <v>9013</v>
      </c>
      <c r="G202" s="462" t="s">
        <v>9015</v>
      </c>
      <c r="H202" s="462">
        <v>1</v>
      </c>
      <c r="I202" s="484">
        <v>300000</v>
      </c>
      <c r="J202" s="484">
        <f t="shared" si="3"/>
        <v>300000</v>
      </c>
      <c r="K202" s="484">
        <f>tbl_국내[[#This Row],[금액]]*1.1</f>
        <v>330000</v>
      </c>
      <c r="L202" s="549">
        <v>45868</v>
      </c>
      <c r="M202" s="549">
        <v>45868</v>
      </c>
      <c r="N202" s="484">
        <v>330000</v>
      </c>
      <c r="O202" s="469">
        <v>45880</v>
      </c>
      <c r="P202" s="549">
        <v>45868</v>
      </c>
      <c r="Q202" s="637"/>
      <c r="R202" s="637">
        <f>YEAR(tbl_국내[[#This Row],[계산서
발행일/구매확정일]])</f>
        <v>2025</v>
      </c>
      <c r="S202" s="640">
        <f>IF(국내!$P202="",0,MONTH(국내!$P202))</f>
        <v>7</v>
      </c>
      <c r="T202" s="640" t="str">
        <f>IFERROR(VLOOKUP($F202,product[],6,0),"error")</f>
        <v>error</v>
      </c>
      <c r="U202" s="462"/>
      <c r="V202" s="462"/>
      <c r="W202" s="640" t="str">
        <f>IF($T202="카메라",VLOOKUP($F202,드롭다운!$A:$F,2,0),"")</f>
        <v/>
      </c>
      <c r="X202" s="640" t="str">
        <f>IF($T202="카메라",VLOOKUP($F202,드롭다운!$A:$F,3,0),"")</f>
        <v/>
      </c>
      <c r="Y202" s="640" t="str">
        <f>IF($T202="카메라",VLOOKUP($F202,드롭다운!$A:$F,4,0),"")</f>
        <v/>
      </c>
      <c r="Z202" s="640" t="str">
        <f>IF($T202="카메라",VLOOKUP($F202,드롭다운!$A:$F,5,0),"")</f>
        <v/>
      </c>
      <c r="AA202" s="640"/>
    </row>
    <row r="203" spans="1:27">
      <c r="A203" s="467">
        <v>45867</v>
      </c>
      <c r="B203" s="551">
        <v>2</v>
      </c>
      <c r="C203" s="100" t="str">
        <f>"KR"&amp;TEXT(tbl_국내[[#This Row],[발주일]],"yymmdd")&amp;"-"&amp;TEXT(tbl_국내[[#This Row],[일렬번호]],"00")</f>
        <v>KR250729-02</v>
      </c>
      <c r="D203" s="544" t="s">
        <v>233</v>
      </c>
      <c r="E203" s="544" t="s">
        <v>9074</v>
      </c>
      <c r="F203" s="544" t="s">
        <v>9075</v>
      </c>
      <c r="G203" s="544" t="s">
        <v>9076</v>
      </c>
      <c r="H203" s="544">
        <v>1</v>
      </c>
      <c r="I203" s="548">
        <v>300000</v>
      </c>
      <c r="J203" s="548">
        <f t="shared" si="3"/>
        <v>300000</v>
      </c>
      <c r="K203" s="548">
        <f>tbl_국내[[#This Row],[금액]]*1.1</f>
        <v>330000</v>
      </c>
      <c r="L203" s="549">
        <v>45868</v>
      </c>
      <c r="M203" s="549">
        <v>45868</v>
      </c>
      <c r="N203" s="548">
        <v>330000</v>
      </c>
      <c r="O203" s="549">
        <v>45867</v>
      </c>
      <c r="P203" s="549">
        <v>45868</v>
      </c>
      <c r="Q203" s="641"/>
      <c r="R203" s="641">
        <f>YEAR(tbl_국내[[#This Row],[계산서
발행일/구매확정일]])</f>
        <v>2025</v>
      </c>
      <c r="S203" s="642">
        <f>IF(국내!$P203="",0,MONTH(국내!$P203))</f>
        <v>7</v>
      </c>
      <c r="T203" s="642" t="str">
        <f>IFERROR(VLOOKUP($F203,product[],6,0),"error")</f>
        <v>error</v>
      </c>
      <c r="U203" s="544"/>
      <c r="V203" s="544"/>
      <c r="W203" s="642" t="str">
        <f>IF($T203="카메라",VLOOKUP($F203,드롭다운!$A:$F,2,0),"")</f>
        <v/>
      </c>
      <c r="X203" s="642" t="str">
        <f>IF($T203="카메라",VLOOKUP($F203,드롭다운!$A:$F,3,0),"")</f>
        <v/>
      </c>
      <c r="Y203" s="642" t="str">
        <f>IF($T203="카메라",VLOOKUP($F203,드롭다운!$A:$F,4,0),"")</f>
        <v/>
      </c>
      <c r="Z203" s="642" t="str">
        <f>IF($T203="카메라",VLOOKUP($F203,드롭다운!$A:$F,5,0),"")</f>
        <v/>
      </c>
      <c r="AA203" s="642"/>
    </row>
    <row r="204" spans="1:27">
      <c r="A204" s="467">
        <v>45881</v>
      </c>
      <c r="B204" s="551">
        <v>1</v>
      </c>
      <c r="C204" s="100" t="str">
        <f>"KR"&amp;TEXT(tbl_국내[[#This Row],[발주일]],"yymmdd")&amp;"-"&amp;TEXT(tbl_국내[[#This Row],[일렬번호]],"00")</f>
        <v>KR250812-01</v>
      </c>
      <c r="D204" s="544" t="s">
        <v>199</v>
      </c>
      <c r="E204" s="544" t="s">
        <v>7572</v>
      </c>
      <c r="F204" s="544" t="s">
        <v>9052</v>
      </c>
      <c r="G204" s="544" t="s">
        <v>168</v>
      </c>
      <c r="H204" s="544">
        <v>3</v>
      </c>
      <c r="I204" s="548">
        <v>5800000</v>
      </c>
      <c r="J204" s="548">
        <f t="shared" si="3"/>
        <v>17400000</v>
      </c>
      <c r="K204" s="548">
        <f>tbl_국내[[#This Row],[금액]]*1.1</f>
        <v>19140000</v>
      </c>
      <c r="L204" s="549">
        <v>45887</v>
      </c>
      <c r="M204" s="549">
        <v>45887</v>
      </c>
      <c r="N204" s="548">
        <v>23265000</v>
      </c>
      <c r="O204" s="549">
        <v>45930</v>
      </c>
      <c r="P204" s="549">
        <v>45887</v>
      </c>
      <c r="Q204" s="641"/>
      <c r="R204" s="641">
        <f>YEAR(tbl_국내[[#This Row],[계산서
발행일/구매확정일]])</f>
        <v>2025</v>
      </c>
      <c r="S204" s="642">
        <f>IF(국내!$P206="",0,MONTH(국내!$P206))</f>
        <v>8</v>
      </c>
      <c r="T204" s="642" t="str">
        <f>IFERROR(VLOOKUP($F204,product[],6,0),"error")</f>
        <v>카메라</v>
      </c>
      <c r="U204" s="544"/>
      <c r="V204" s="544"/>
      <c r="W204" s="642" t="str">
        <f>IF($T204="카메라",VLOOKUP($F204,드롭다운!$A:$F,2,0),"")</f>
        <v>VGA</v>
      </c>
      <c r="X204" s="642" t="str">
        <f>IF($T204="카메라",VLOOKUP($F204,드롭다운!$A:$F,3,0),"")</f>
        <v>Security</v>
      </c>
      <c r="Y204" s="642" t="str">
        <f>IF($T204="카메라",VLOOKUP($F204,드롭다운!$A:$F,4,0),"")</f>
        <v>Network</v>
      </c>
      <c r="Z204" s="642">
        <f>IF($T204="카메라",VLOOKUP($F204,드롭다운!$A:$F,5,0),"")</f>
        <v>17</v>
      </c>
      <c r="AA204" s="642"/>
    </row>
    <row r="205" spans="1:27">
      <c r="A205" s="467">
        <v>45881</v>
      </c>
      <c r="B205" s="508">
        <v>1</v>
      </c>
      <c r="C205" s="100" t="str">
        <f>"KR"&amp;TEXT(tbl_국내[[#This Row],[발주일]],"yymmdd")&amp;"-"&amp;TEXT(tbl_국내[[#This Row],[일렬번호]],"00")</f>
        <v>KR250812-01</v>
      </c>
      <c r="D205" s="462" t="s">
        <v>199</v>
      </c>
      <c r="E205" s="462" t="s">
        <v>7575</v>
      </c>
      <c r="F205" s="462" t="s">
        <v>8110</v>
      </c>
      <c r="G205" s="462" t="s">
        <v>7647</v>
      </c>
      <c r="H205" s="462">
        <v>3</v>
      </c>
      <c r="I205" s="484">
        <v>1250000</v>
      </c>
      <c r="J205" s="484">
        <f t="shared" si="3"/>
        <v>3750000</v>
      </c>
      <c r="K205" s="484">
        <f>tbl_국내[[#This Row],[금액]]*1.1</f>
        <v>4125000.0000000005</v>
      </c>
      <c r="L205" s="469">
        <v>45887</v>
      </c>
      <c r="M205" s="469">
        <v>45887</v>
      </c>
      <c r="N205" s="484">
        <v>0</v>
      </c>
      <c r="O205" s="469">
        <v>45930</v>
      </c>
      <c r="P205" s="469">
        <v>45887</v>
      </c>
      <c r="Q205" s="637"/>
      <c r="R205" s="637">
        <f>YEAR(tbl_국내[[#This Row],[계산서
발행일/구매확정일]])</f>
        <v>2025</v>
      </c>
      <c r="S205" s="640">
        <f>IF(국내!$P207="",0,MONTH(국내!$P207))</f>
        <v>8</v>
      </c>
      <c r="T205" s="640" t="str">
        <f>IFERROR(VLOOKUP($F205,product[],6,0),"error")</f>
        <v>error</v>
      </c>
      <c r="U205" s="462"/>
      <c r="V205" s="462"/>
      <c r="W205" s="640" t="str">
        <f>IF($T205="카메라",VLOOKUP($F205,드롭다운!$A:$F,2,0),"")</f>
        <v/>
      </c>
      <c r="X205" s="640" t="str">
        <f>IF($T205="카메라",VLOOKUP($F205,드롭다운!$A:$F,3,0),"")</f>
        <v/>
      </c>
      <c r="Y205" s="640" t="str">
        <f>IF($T205="카메라",VLOOKUP($F205,드롭다운!$A:$F,4,0),"")</f>
        <v/>
      </c>
      <c r="Z205" s="640" t="str">
        <f>IF($T205="카메라",VLOOKUP($F205,드롭다운!$A:$F,5,0),"")</f>
        <v/>
      </c>
      <c r="AA205" s="640"/>
    </row>
    <row r="206" spans="1:27">
      <c r="A206" s="467">
        <v>45887</v>
      </c>
      <c r="B206" s="508">
        <v>1</v>
      </c>
      <c r="C206" s="100" t="str">
        <f>"KR"&amp;TEXT(tbl_국내[[#This Row],[발주일]],"yymmdd")&amp;"-"&amp;TEXT(tbl_국내[[#This Row],[일렬번호]],"00")</f>
        <v>KR250818-01</v>
      </c>
      <c r="D206" s="462" t="s">
        <v>120</v>
      </c>
      <c r="E206" s="462" t="s">
        <v>7575</v>
      </c>
      <c r="F206" s="462" t="s">
        <v>9077</v>
      </c>
      <c r="G206" s="462" t="s">
        <v>9078</v>
      </c>
      <c r="H206" s="462">
        <v>2</v>
      </c>
      <c r="I206" s="484">
        <v>750000</v>
      </c>
      <c r="J206" s="484">
        <f t="shared" si="3"/>
        <v>1500000</v>
      </c>
      <c r="K206" s="484">
        <f>tbl_국내[[#This Row],[금액]]*1.1</f>
        <v>1650000.0000000002</v>
      </c>
      <c r="L206" s="469">
        <v>45887</v>
      </c>
      <c r="M206" s="469">
        <v>45887</v>
      </c>
      <c r="N206" s="484">
        <v>1650000</v>
      </c>
      <c r="O206" s="469">
        <v>45869</v>
      </c>
      <c r="P206" s="469">
        <v>45887</v>
      </c>
      <c r="Q206" s="637"/>
      <c r="R206" s="637">
        <f>YEAR(tbl_국내[[#This Row],[계산서
발행일/구매확정일]])</f>
        <v>2025</v>
      </c>
      <c r="S206" s="640">
        <f>IF(국내!$P208="",0,MONTH(국내!$P208))</f>
        <v>8</v>
      </c>
      <c r="T206" s="640" t="str">
        <f>IFERROR(VLOOKUP($F206,product[],6,0),"error")</f>
        <v>error</v>
      </c>
      <c r="U206" s="462"/>
      <c r="V206" s="462"/>
      <c r="W206" s="640" t="str">
        <f>IF($T206="카메라",VLOOKUP($F206,드롭다운!$A:$F,2,0),"")</f>
        <v/>
      </c>
      <c r="X206" s="640" t="str">
        <f>IF($T206="카메라",VLOOKUP($F206,드롭다운!$A:$F,3,0),"")</f>
        <v/>
      </c>
      <c r="Y206" s="640" t="str">
        <f>IF($T206="카메라",VLOOKUP($F206,드롭다운!$A:$F,4,0),"")</f>
        <v/>
      </c>
      <c r="Z206" s="640" t="str">
        <f>IF($T206="카메라",VLOOKUP($F206,드롭다운!$A:$F,5,0),"")</f>
        <v/>
      </c>
      <c r="AA206" s="640"/>
    </row>
    <row r="207" spans="1:27">
      <c r="A207" s="135">
        <v>45862</v>
      </c>
      <c r="B207" s="491">
        <v>1</v>
      </c>
      <c r="C207" s="100" t="str">
        <f>"KR"&amp;TEXT(tbl_국내[[#This Row],[발주일]],"yymmdd")&amp;"-"&amp;TEXT(tbl_국내[[#This Row],[일렬번호]],"00")</f>
        <v>KR250724-01</v>
      </c>
      <c r="D207" s="138" t="s">
        <v>238</v>
      </c>
      <c r="E207" s="138" t="s">
        <v>7572</v>
      </c>
      <c r="F207" s="138" t="s">
        <v>252</v>
      </c>
      <c r="G207" s="138" t="s">
        <v>8618</v>
      </c>
      <c r="H207" s="138">
        <v>2</v>
      </c>
      <c r="I207" s="457">
        <v>2866000</v>
      </c>
      <c r="J207" s="457">
        <f t="shared" si="3"/>
        <v>5732000</v>
      </c>
      <c r="K207" s="457">
        <f>tbl_국내[[#This Row],[금액]]*1.1</f>
        <v>6305200.0000000009</v>
      </c>
      <c r="L207" s="141">
        <v>45889</v>
      </c>
      <c r="M207" s="141">
        <v>45889</v>
      </c>
      <c r="N207" s="457">
        <v>6305200</v>
      </c>
      <c r="O207" s="469">
        <v>45890</v>
      </c>
      <c r="P207" s="141">
        <v>45889</v>
      </c>
      <c r="Q207" s="616"/>
      <c r="R207" s="616">
        <f>YEAR(tbl_국내[[#This Row],[계산서
발행일/구매확정일]])</f>
        <v>2025</v>
      </c>
      <c r="S207" s="617">
        <f>IF(국내!$P201="",0,MONTH(국내!$P201))</f>
        <v>7</v>
      </c>
      <c r="T207" s="617" t="str">
        <f>IFERROR(VLOOKUP($F207,product[],6,0),"error")</f>
        <v>카메라</v>
      </c>
      <c r="U207" s="138"/>
      <c r="V207" s="138"/>
      <c r="W207" s="617" t="str">
        <f>IF($T207="카메라",VLOOKUP($F207,드롭다운!$A:$F,2,0),"")</f>
        <v>QVGA</v>
      </c>
      <c r="X207" s="617" t="str">
        <f>IF($T207="카메라",VLOOKUP($F207,드롭다운!$A:$F,3,0),"")</f>
        <v>Radiometric</v>
      </c>
      <c r="Y207" s="617" t="str">
        <f>IF($T207="카메라",VLOOKUP($F207,드롭다운!$A:$F,4,0),"")</f>
        <v>Analogue</v>
      </c>
      <c r="Z207" s="617">
        <f>IF($T207="카메라",VLOOKUP($F207,드롭다운!$A:$F,5,0),"")</f>
        <v>17</v>
      </c>
      <c r="AA207" s="617"/>
    </row>
    <row r="208" spans="1:27">
      <c r="A208" s="661">
        <v>45875</v>
      </c>
      <c r="B208" s="662">
        <v>1</v>
      </c>
      <c r="C208" s="663" t="str">
        <f>"KR"&amp;TEXT(tbl_국내[[#This Row],[발주일]],"yymmdd")&amp;"-"&amp;TEXT(tbl_국내[[#This Row],[일렬번호]],"00")</f>
        <v>KR250806-01</v>
      </c>
      <c r="D208" s="664" t="s">
        <v>8596</v>
      </c>
      <c r="E208" s="664" t="s">
        <v>9053</v>
      </c>
      <c r="F208" s="664" t="s">
        <v>9043</v>
      </c>
      <c r="G208" s="664" t="s">
        <v>9044</v>
      </c>
      <c r="H208" s="738">
        <v>1</v>
      </c>
      <c r="I208" s="665">
        <v>290384</v>
      </c>
      <c r="J208" s="665">
        <f t="shared" si="3"/>
        <v>290384</v>
      </c>
      <c r="K208" s="665">
        <v>290384</v>
      </c>
      <c r="L208" s="667">
        <v>45889</v>
      </c>
      <c r="M208" s="667">
        <v>45889</v>
      </c>
      <c r="N208" s="665"/>
      <c r="O208" s="667"/>
      <c r="P208" s="667">
        <v>45889</v>
      </c>
      <c r="Q208" s="668" t="s">
        <v>9045</v>
      </c>
      <c r="R208" s="668">
        <f>YEAR(tbl_국내[[#This Row],[계산서
발행일/구매확정일]])</f>
        <v>2025</v>
      </c>
      <c r="S208" s="669">
        <f>IF(국내!$P205="",0,MONTH(국내!$P205))</f>
        <v>8</v>
      </c>
      <c r="T208" s="669" t="str">
        <f>IFERROR(VLOOKUP($F208,product[],6,0),"error")</f>
        <v>error</v>
      </c>
      <c r="U208" s="664"/>
      <c r="V208" s="664"/>
      <c r="W208" s="669" t="str">
        <f>IF($T208="카메라",VLOOKUP($F208,드롭다운!$A:$F,2,0),"")</f>
        <v/>
      </c>
      <c r="X208" s="669" t="str">
        <f>IF($T208="카메라",VLOOKUP($F208,드롭다운!$A:$F,3,0),"")</f>
        <v/>
      </c>
      <c r="Y208" s="669" t="str">
        <f>IF($T208="카메라",VLOOKUP($F208,드롭다운!$A:$F,4,0),"")</f>
        <v/>
      </c>
      <c r="Z208" s="669" t="str">
        <f>IF($T208="카메라",VLOOKUP($F208,드롭다운!$A:$F,5,0),"")</f>
        <v/>
      </c>
      <c r="AA208" s="669"/>
    </row>
    <row r="209" spans="1:27">
      <c r="A209" s="661">
        <v>45889</v>
      </c>
      <c r="B209" s="662">
        <v>1</v>
      </c>
      <c r="C209" s="663" t="str">
        <f>"KR"&amp;TEXT(tbl_국내[[#This Row],[발주일]],"yymmdd")&amp;"-"&amp;TEXT(tbl_국내[[#This Row],[일렬번호]],"00")</f>
        <v>KR250820-01</v>
      </c>
      <c r="D209" s="664" t="s">
        <v>142</v>
      </c>
      <c r="E209" s="664" t="s">
        <v>8067</v>
      </c>
      <c r="F209" s="664" t="s">
        <v>7464</v>
      </c>
      <c r="G209" s="664" t="s">
        <v>9066</v>
      </c>
      <c r="H209" s="664">
        <v>1</v>
      </c>
      <c r="I209" s="665">
        <v>100000</v>
      </c>
      <c r="J209" s="665">
        <f t="shared" si="3"/>
        <v>100000</v>
      </c>
      <c r="K209" s="665">
        <f>tbl_국내[[#This Row],[금액]]*1.1</f>
        <v>110000.00000000001</v>
      </c>
      <c r="L209" s="667">
        <v>45889</v>
      </c>
      <c r="M209" s="667">
        <v>45889</v>
      </c>
      <c r="N209" s="665"/>
      <c r="O209" s="667"/>
      <c r="P209" s="667">
        <v>45889</v>
      </c>
      <c r="Q209" s="668"/>
      <c r="R209" s="668">
        <f>YEAR(tbl_국내[[#This Row],[계산서
발행일/구매확정일]])</f>
        <v>2025</v>
      </c>
      <c r="S209" s="669">
        <f>IF(국내!$P209="",0,MONTH(국내!$P209))</f>
        <v>8</v>
      </c>
      <c r="T209" s="669" t="str">
        <f>IFERROR(VLOOKUP($F209,product[],6,0),"error")</f>
        <v>error</v>
      </c>
      <c r="U209" s="664"/>
      <c r="V209" s="664"/>
      <c r="W209" s="669" t="str">
        <f>IF($T209="카메라",VLOOKUP($F209,드롭다운!$A:$F,2,0),"")</f>
        <v/>
      </c>
      <c r="X209" s="669" t="str">
        <f>IF($T209="카메라",VLOOKUP($F209,드롭다운!$A:$F,3,0),"")</f>
        <v/>
      </c>
      <c r="Y209" s="669" t="str">
        <f>IF($T209="카메라",VLOOKUP($F209,드롭다운!$A:$F,4,0),"")</f>
        <v/>
      </c>
      <c r="Z209" s="669" t="str">
        <f>IF($T209="카메라",VLOOKUP($F209,드롭다운!$A:$F,5,0),"")</f>
        <v/>
      </c>
      <c r="AA209" s="669"/>
    </row>
    <row r="210" spans="1:27">
      <c r="A210" s="661">
        <v>45889</v>
      </c>
      <c r="B210" s="662">
        <v>1</v>
      </c>
      <c r="C210" s="663" t="str">
        <f>"KR"&amp;TEXT(tbl_국내[[#This Row],[발주일]],"yymmdd")&amp;"-"&amp;TEXT(tbl_국내[[#This Row],[일렬번호]],"00")</f>
        <v>KR250820-01</v>
      </c>
      <c r="D210" s="664" t="s">
        <v>142</v>
      </c>
      <c r="E210" s="664" t="s">
        <v>8140</v>
      </c>
      <c r="F210" s="664" t="s">
        <v>8551</v>
      </c>
      <c r="G210" s="664" t="s">
        <v>8708</v>
      </c>
      <c r="H210" s="664">
        <v>1</v>
      </c>
      <c r="I210" s="665">
        <v>158000</v>
      </c>
      <c r="J210" s="665">
        <f t="shared" si="3"/>
        <v>158000</v>
      </c>
      <c r="K210" s="665">
        <f>tbl_국내[[#This Row],[금액]]*1.1</f>
        <v>173800</v>
      </c>
      <c r="L210" s="667">
        <v>45889</v>
      </c>
      <c r="M210" s="667">
        <v>45889</v>
      </c>
      <c r="N210" s="665"/>
      <c r="O210" s="667"/>
      <c r="P210" s="667">
        <v>45889</v>
      </c>
      <c r="Q210" s="668"/>
      <c r="R210" s="668">
        <f>YEAR(tbl_국내[[#This Row],[계산서
발행일/구매확정일]])</f>
        <v>2025</v>
      </c>
      <c r="S210" s="669">
        <f>IF(국내!$P210="",0,MONTH(국내!$P210))</f>
        <v>8</v>
      </c>
      <c r="T210" s="669" t="str">
        <f>IFERROR(VLOOKUP($F210,product[],6,0),"error")</f>
        <v>error</v>
      </c>
      <c r="U210" s="664"/>
      <c r="V210" s="664"/>
      <c r="W210" s="669" t="str">
        <f>IF($T210="카메라",VLOOKUP($F210,드롭다운!$A:$F,2,0),"")</f>
        <v/>
      </c>
      <c r="X210" s="669" t="str">
        <f>IF($T210="카메라",VLOOKUP($F210,드롭다운!$A:$F,3,0),"")</f>
        <v/>
      </c>
      <c r="Y210" s="669" t="str">
        <f>IF($T210="카메라",VLOOKUP($F210,드롭다운!$A:$F,4,0),"")</f>
        <v/>
      </c>
      <c r="Z210" s="669" t="str">
        <f>IF($T210="카메라",VLOOKUP($F210,드롭다운!$A:$F,5,0),"")</f>
        <v/>
      </c>
      <c r="AA210" s="669"/>
    </row>
    <row r="211" spans="1:27">
      <c r="A211" s="135">
        <v>45889</v>
      </c>
      <c r="B211" s="491">
        <v>2</v>
      </c>
      <c r="C211" s="100" t="str">
        <f>"KR"&amp;TEXT(tbl_국내[[#This Row],[발주일]],"yymmdd")&amp;"-"&amp;TEXT(tbl_국내[[#This Row],[일렬번호]],"00")</f>
        <v>KR250820-02</v>
      </c>
      <c r="D211" s="544" t="s">
        <v>199</v>
      </c>
      <c r="E211" s="544" t="s">
        <v>8067</v>
      </c>
      <c r="F211" s="544" t="s">
        <v>7464</v>
      </c>
      <c r="G211" s="544" t="s">
        <v>9070</v>
      </c>
      <c r="H211" s="544">
        <v>1</v>
      </c>
      <c r="I211" s="548">
        <v>150000</v>
      </c>
      <c r="J211" s="548">
        <f t="shared" si="3"/>
        <v>150000</v>
      </c>
      <c r="K211" s="548">
        <f>tbl_국내[[#This Row],[금액]]*1.1</f>
        <v>165000</v>
      </c>
      <c r="L211" s="141">
        <v>45889</v>
      </c>
      <c r="M211" s="141">
        <v>45889</v>
      </c>
      <c r="N211" s="548">
        <v>165000</v>
      </c>
      <c r="O211" s="549">
        <v>45917</v>
      </c>
      <c r="P211" s="141">
        <v>45889</v>
      </c>
      <c r="Q211" s="641"/>
      <c r="R211" s="641">
        <f>YEAR(tbl_국내[[#This Row],[계산서
발행일/구매확정일]])</f>
        <v>2025</v>
      </c>
      <c r="S211" s="642">
        <f>IF(국내!$P211="",0,MONTH(국내!$P211))</f>
        <v>8</v>
      </c>
      <c r="T211" s="642" t="str">
        <f>IFERROR(VLOOKUP($F211,product[],6,0),"error")</f>
        <v>error</v>
      </c>
      <c r="U211" s="544"/>
      <c r="V211" s="544"/>
      <c r="W211" s="642" t="str">
        <f>IF($T211="카메라",VLOOKUP($F211,드롭다운!$A:$F,2,0),"")</f>
        <v/>
      </c>
      <c r="X211" s="642" t="str">
        <f>IF($T211="카메라",VLOOKUP($F211,드롭다운!$A:$F,3,0),"")</f>
        <v/>
      </c>
      <c r="Y211" s="642" t="str">
        <f>IF($T211="카메라",VLOOKUP($F211,드롭다운!$A:$F,4,0),"")</f>
        <v/>
      </c>
      <c r="Z211" s="642" t="str">
        <f>IF($T211="카메라",VLOOKUP($F211,드롭다운!$A:$F,5,0),"")</f>
        <v/>
      </c>
      <c r="AA211" s="642"/>
    </row>
    <row r="212" spans="1:27">
      <c r="A212" s="135">
        <v>45896</v>
      </c>
      <c r="B212" s="491">
        <v>1</v>
      </c>
      <c r="C212" s="100" t="str">
        <f>"KR"&amp;TEXT(tbl_국내[[#This Row],[발주일]],"yymmdd")&amp;"-"&amp;TEXT(tbl_국내[[#This Row],[일렬번호]],"00")</f>
        <v>KR250827-01</v>
      </c>
      <c r="D212" s="138" t="s">
        <v>127</v>
      </c>
      <c r="E212" s="138" t="s">
        <v>9089</v>
      </c>
      <c r="F212" s="138" t="s">
        <v>9090</v>
      </c>
      <c r="G212" s="138" t="s">
        <v>9091</v>
      </c>
      <c r="H212" s="138">
        <v>2</v>
      </c>
      <c r="I212" s="457">
        <v>2600000</v>
      </c>
      <c r="J212" s="457">
        <f t="shared" si="3"/>
        <v>5200000</v>
      </c>
      <c r="K212" s="457">
        <f>tbl_국내[[#This Row],[금액]]*1.1</f>
        <v>5720000</v>
      </c>
      <c r="L212" s="141">
        <v>45889</v>
      </c>
      <c r="M212" s="141">
        <v>45889</v>
      </c>
      <c r="N212" s="457">
        <v>5720000</v>
      </c>
      <c r="O212" s="141">
        <v>45929</v>
      </c>
      <c r="P212" s="141">
        <v>45889</v>
      </c>
      <c r="Q212" s="616"/>
      <c r="R212" s="641">
        <f>YEAR(tbl_국내[[#This Row],[계산서
발행일/구매확정일]])</f>
        <v>2025</v>
      </c>
      <c r="S212" s="642">
        <f>IF(국내!$P217="",0,MONTH(국내!$P217))</f>
        <v>9</v>
      </c>
      <c r="T212" s="642" t="str">
        <f>IFERROR(VLOOKUP($F212,product[],6,0),"error")</f>
        <v>카메라</v>
      </c>
      <c r="U212" s="544"/>
      <c r="V212" s="544"/>
      <c r="W212" s="642" t="str">
        <f>IF($T212="카메라",VLOOKUP($F212,드롭다운!$A:$F,2,0),"")</f>
        <v>QVGA</v>
      </c>
      <c r="X212" s="642" t="str">
        <f>IF($T212="카메라",VLOOKUP($F212,드롭다운!$A:$F,3,0),"")</f>
        <v>Radiometric</v>
      </c>
      <c r="Y212" s="642" t="str">
        <f>IF($T212="카메라",VLOOKUP($F212,드롭다운!$A:$F,4,0),"")</f>
        <v>Analogue</v>
      </c>
      <c r="Z212" s="642">
        <f>IF($T212="카메라",VLOOKUP($F212,드롭다운!$A:$F,5,0),"")</f>
        <v>17</v>
      </c>
      <c r="AA212" s="617" t="s">
        <v>9092</v>
      </c>
    </row>
    <row r="213" spans="1:27">
      <c r="A213" s="135">
        <v>45895</v>
      </c>
      <c r="B213" s="491">
        <v>2</v>
      </c>
      <c r="C213" s="100" t="str">
        <f>"KR"&amp;TEXT(tbl_국내[[#This Row],[발주일]],"yymmdd")&amp;"-"&amp;TEXT(tbl_국내[[#This Row],[일렬번호]],"00")</f>
        <v>KR250826-02</v>
      </c>
      <c r="D213" s="138" t="s">
        <v>8471</v>
      </c>
      <c r="E213" s="138" t="s">
        <v>7572</v>
      </c>
      <c r="F213" s="643" t="s">
        <v>9181</v>
      </c>
      <c r="G213" s="138" t="s">
        <v>9182</v>
      </c>
      <c r="H213" s="138">
        <v>1</v>
      </c>
      <c r="I213" s="457">
        <v>2300000</v>
      </c>
      <c r="J213" s="457">
        <f t="shared" si="3"/>
        <v>2300000</v>
      </c>
      <c r="K213" s="457">
        <f>tbl_국내[[#This Row],[금액]]*1.1</f>
        <v>2530000</v>
      </c>
      <c r="L213" s="141">
        <v>45895</v>
      </c>
      <c r="M213" s="141">
        <v>45895</v>
      </c>
      <c r="N213" s="457">
        <v>2860000</v>
      </c>
      <c r="O213" s="141">
        <v>45896</v>
      </c>
      <c r="P213" s="141">
        <v>45895</v>
      </c>
      <c r="Q213" s="616"/>
      <c r="R213" s="616">
        <f>YEAR(tbl_국내[[#This Row],[계산서
발행일/구매확정일]])</f>
        <v>2025</v>
      </c>
      <c r="S213" s="617">
        <f>IF(국내!$P215="",0,MONTH(국내!$P215))</f>
        <v>9</v>
      </c>
      <c r="T213" s="617" t="str">
        <f>IFERROR(VLOOKUP($F213,product[],6,0),"error")</f>
        <v>카메라</v>
      </c>
      <c r="U213" s="138"/>
      <c r="V213" s="138"/>
      <c r="W213" s="617" t="str">
        <f>IF($T213="카메라",VLOOKUP($F213,드롭다운!$A:$F,2,0),"")</f>
        <v>VGA</v>
      </c>
      <c r="X213" s="617" t="str">
        <f>IF($T213="카메라",VLOOKUP($F213,드롭다운!$A:$F,3,0),"")</f>
        <v>Radiometric</v>
      </c>
      <c r="Y213" s="617" t="str">
        <f>IF($T213="카메라",VLOOKUP($F213,드롭다운!$A:$F,4,0),"")</f>
        <v>Analogue</v>
      </c>
      <c r="Z213" s="617">
        <f>IF($T213="카메라",VLOOKUP($F213,드롭다운!$A:$F,5,0),"")</f>
        <v>17</v>
      </c>
      <c r="AA213" s="617"/>
    </row>
    <row r="214" spans="1:27">
      <c r="A214" s="135">
        <v>45895</v>
      </c>
      <c r="B214" s="491">
        <v>2</v>
      </c>
      <c r="C214" s="100" t="str">
        <f>"KR"&amp;TEXT(tbl_국내[[#This Row],[발주일]],"yymmdd")&amp;"-"&amp;TEXT(tbl_국내[[#This Row],[일렬번호]],"00")</f>
        <v>KR250826-02</v>
      </c>
      <c r="D214" s="138" t="s">
        <v>8471</v>
      </c>
      <c r="E214" s="138" t="s">
        <v>7572</v>
      </c>
      <c r="F214" s="643" t="s">
        <v>9183</v>
      </c>
      <c r="G214" s="138" t="s">
        <v>9184</v>
      </c>
      <c r="H214" s="138">
        <v>1</v>
      </c>
      <c r="I214" s="457">
        <v>300000</v>
      </c>
      <c r="J214" s="457">
        <f t="shared" si="3"/>
        <v>300000</v>
      </c>
      <c r="K214" s="457">
        <f>tbl_국내[[#This Row],[금액]]*1.1</f>
        <v>330000</v>
      </c>
      <c r="L214" s="141">
        <v>45895</v>
      </c>
      <c r="M214" s="141">
        <v>45895</v>
      </c>
      <c r="N214" s="457">
        <v>0</v>
      </c>
      <c r="O214" s="141">
        <v>45896</v>
      </c>
      <c r="P214" s="141">
        <v>45895</v>
      </c>
      <c r="Q214" s="616"/>
      <c r="R214" s="616">
        <f>YEAR(tbl_국내[[#This Row],[계산서
발행일/구매확정일]])</f>
        <v>2025</v>
      </c>
      <c r="S214" s="617">
        <f>IF(국내!$P216="",0,MONTH(국내!$P216))</f>
        <v>9</v>
      </c>
      <c r="T214" s="617" t="str">
        <f>IFERROR(VLOOKUP($F214,product[],6,0),"error")</f>
        <v>error</v>
      </c>
      <c r="U214" s="138"/>
      <c r="V214" s="138"/>
      <c r="W214" s="617" t="str">
        <f>IF($T214="카메라",VLOOKUP($F214,드롭다운!$A:$F,2,0),"")</f>
        <v/>
      </c>
      <c r="X214" s="617" t="str">
        <f>IF($T214="카메라",VLOOKUP($F214,드롭다운!$A:$F,3,0),"")</f>
        <v/>
      </c>
      <c r="Y214" s="617" t="str">
        <f>IF($T214="카메라",VLOOKUP($F214,드롭다운!$A:$F,4,0),"")</f>
        <v/>
      </c>
      <c r="Z214" s="617" t="str">
        <f>IF($T214="카메라",VLOOKUP($F214,드롭다운!$A:$F,5,0),"")</f>
        <v/>
      </c>
      <c r="AA214" s="617"/>
    </row>
    <row r="215" spans="1:27">
      <c r="A215" s="741">
        <v>45931</v>
      </c>
      <c r="B215" s="742">
        <v>1</v>
      </c>
      <c r="C215" s="743" t="str">
        <f>"KR"&amp;TEXT(tbl_국내[[#This Row],[발주일]],"yymmdd")&amp;"-"&amp;TEXT(tbl_국내[[#This Row],[일렬번호]],"00")</f>
        <v>KR251001-01</v>
      </c>
      <c r="D215" s="744" t="s">
        <v>128</v>
      </c>
      <c r="E215" s="744" t="s">
        <v>9185</v>
      </c>
      <c r="F215" s="744" t="s">
        <v>9183</v>
      </c>
      <c r="G215" s="744" t="s">
        <v>8825</v>
      </c>
      <c r="H215" s="745">
        <v>1</v>
      </c>
      <c r="I215" s="746">
        <v>1200000</v>
      </c>
      <c r="J215" s="746">
        <f t="shared" si="3"/>
        <v>1200000</v>
      </c>
      <c r="K215" s="746">
        <f>tbl_국내[[#This Row],[금액]]*1.1</f>
        <v>1320000</v>
      </c>
      <c r="L215" s="747">
        <v>45901</v>
      </c>
      <c r="M215" s="747">
        <v>45901</v>
      </c>
      <c r="N215" s="746"/>
      <c r="O215" s="747"/>
      <c r="P215" s="747">
        <v>45901</v>
      </c>
      <c r="Q215" s="748"/>
      <c r="R215" s="675">
        <f>YEAR(tbl_국내[[#This Row],[계산서
발행일/구매확정일]])</f>
        <v>2025</v>
      </c>
      <c r="S215" s="676">
        <f>IF(국내!$P222="",0,MONTH(국내!$P222))</f>
        <v>10</v>
      </c>
      <c r="T215" s="676" t="str">
        <f>IFERROR(VLOOKUP($F215,product[],6,0),"error")</f>
        <v>error</v>
      </c>
      <c r="U215" s="672"/>
      <c r="V215" s="672"/>
      <c r="W215" s="676" t="str">
        <f>IF($T215="카메라",VLOOKUP($F215,드롭다운!$A:$F,2,0),"")</f>
        <v/>
      </c>
      <c r="X215" s="676" t="str">
        <f>IF($T215="카메라",VLOOKUP($F215,드롭다운!$A:$F,3,0),"")</f>
        <v/>
      </c>
      <c r="Y215" s="676" t="str">
        <f>IF($T215="카메라",VLOOKUP($F215,드롭다운!$A:$F,4,0),"")</f>
        <v/>
      </c>
      <c r="Z215" s="676" t="str">
        <f>IF($T215="카메라",VLOOKUP($F215,드롭다운!$A:$F,5,0),"")</f>
        <v/>
      </c>
      <c r="AA215" s="749"/>
    </row>
    <row r="216" spans="1:27">
      <c r="A216" s="550">
        <v>45895</v>
      </c>
      <c r="B216" s="573">
        <v>1</v>
      </c>
      <c r="C216" s="100" t="s">
        <v>9095</v>
      </c>
      <c r="D216" s="574" t="s">
        <v>245</v>
      </c>
      <c r="E216" s="574" t="s">
        <v>8067</v>
      </c>
      <c r="F216" s="644" t="s">
        <v>275</v>
      </c>
      <c r="G216" s="740" t="s">
        <v>9085</v>
      </c>
      <c r="H216" s="645">
        <v>1</v>
      </c>
      <c r="I216" s="575">
        <v>200000</v>
      </c>
      <c r="J216" s="575">
        <f t="shared" si="3"/>
        <v>200000</v>
      </c>
      <c r="K216" s="575">
        <f>tbl_국내[[#This Row],[금액]]*1.1</f>
        <v>220000.00000000003</v>
      </c>
      <c r="L216" s="577">
        <v>45918</v>
      </c>
      <c r="M216" s="577">
        <v>45918</v>
      </c>
      <c r="N216" s="575">
        <v>660000</v>
      </c>
      <c r="O216" s="577">
        <v>45932</v>
      </c>
      <c r="P216" s="577">
        <v>45918</v>
      </c>
      <c r="Q216" s="618"/>
      <c r="R216" s="618">
        <f>YEAR(tbl_국내[[#This Row],[계산서
발행일/구매확정일]])</f>
        <v>2025</v>
      </c>
      <c r="S216" s="619">
        <f>IF(국내!$P212="",0,MONTH(국내!$P212))</f>
        <v>8</v>
      </c>
      <c r="T216" s="619" t="str">
        <f>IFERROR(VLOOKUP($F216,product[],6,0),"error")</f>
        <v>error</v>
      </c>
      <c r="U216" s="574"/>
      <c r="V216" s="574"/>
      <c r="W216" s="619" t="str">
        <f>IF($T216="카메라",VLOOKUP($F216,드롭다운!$A:$F,2,0),"")</f>
        <v/>
      </c>
      <c r="X216" s="619" t="str">
        <f>IF($T216="카메라",VLOOKUP($F216,드롭다운!$A:$F,3,0),"")</f>
        <v/>
      </c>
      <c r="Y216" s="619" t="str">
        <f>IF($T216="카메라",VLOOKUP($F216,드롭다운!$A:$F,4,0),"")</f>
        <v/>
      </c>
      <c r="Z216" s="619" t="str">
        <f>IF($T216="카메라",VLOOKUP($F216,드롭다운!$A:$F,5,0),"")</f>
        <v/>
      </c>
      <c r="AA216" s="619" t="s">
        <v>9088</v>
      </c>
    </row>
    <row r="217" spans="1:27">
      <c r="A217" s="550">
        <v>45895</v>
      </c>
      <c r="B217" s="551">
        <v>1</v>
      </c>
      <c r="C217" s="100" t="s">
        <v>9096</v>
      </c>
      <c r="D217" s="544" t="s">
        <v>245</v>
      </c>
      <c r="E217" s="544" t="s">
        <v>8067</v>
      </c>
      <c r="F217" s="739" t="s">
        <v>275</v>
      </c>
      <c r="G217" s="544" t="s">
        <v>9086</v>
      </c>
      <c r="H217" s="544">
        <v>1</v>
      </c>
      <c r="I217" s="548">
        <v>200000</v>
      </c>
      <c r="J217" s="548">
        <f t="shared" si="3"/>
        <v>200000</v>
      </c>
      <c r="K217" s="548">
        <f>tbl_국내[[#This Row],[금액]]*1.1</f>
        <v>220000.00000000003</v>
      </c>
      <c r="L217" s="549">
        <v>45918</v>
      </c>
      <c r="M217" s="549">
        <v>45918</v>
      </c>
      <c r="N217" s="548">
        <v>0</v>
      </c>
      <c r="O217" s="549">
        <v>45932</v>
      </c>
      <c r="P217" s="549">
        <v>45918</v>
      </c>
      <c r="Q217" s="641"/>
      <c r="R217" s="641">
        <f>YEAR(tbl_국내[[#This Row],[계산서
발행일/구매확정일]])</f>
        <v>2025</v>
      </c>
      <c r="S217" s="642">
        <f>IF(국내!$P213="",0,MONTH(국내!$P213))</f>
        <v>8</v>
      </c>
      <c r="T217" s="642" t="str">
        <f>IFERROR(VLOOKUP($F217,product[],6,0),"error")</f>
        <v>error</v>
      </c>
      <c r="U217" s="544"/>
      <c r="V217" s="544"/>
      <c r="W217" s="642" t="str">
        <f>IF($T217="카메라",VLOOKUP($F217,드롭다운!$A:$F,2,0),"")</f>
        <v/>
      </c>
      <c r="X217" s="642" t="str">
        <f>IF($T217="카메라",VLOOKUP($F217,드롭다운!$A:$F,3,0),"")</f>
        <v/>
      </c>
      <c r="Y217" s="642" t="str">
        <f>IF($T217="카메라",VLOOKUP($F217,드롭다운!$A:$F,4,0),"")</f>
        <v/>
      </c>
      <c r="Z217" s="642" t="str">
        <f>IF($T217="카메라",VLOOKUP($F217,드롭다운!$A:$F,5,0),"")</f>
        <v/>
      </c>
      <c r="AA217" s="642" t="s">
        <v>9088</v>
      </c>
    </row>
    <row r="218" spans="1:27">
      <c r="A218" s="572">
        <v>45895</v>
      </c>
      <c r="B218" s="573">
        <v>1</v>
      </c>
      <c r="C218" s="100" t="s">
        <v>9098</v>
      </c>
      <c r="D218" s="544" t="s">
        <v>245</v>
      </c>
      <c r="E218" s="544" t="s">
        <v>8067</v>
      </c>
      <c r="F218" s="644" t="s">
        <v>275</v>
      </c>
      <c r="G218" s="574" t="s">
        <v>9087</v>
      </c>
      <c r="H218" s="574">
        <v>1</v>
      </c>
      <c r="I218" s="575">
        <v>200000</v>
      </c>
      <c r="J218" s="575">
        <f t="shared" si="3"/>
        <v>200000</v>
      </c>
      <c r="K218" s="575">
        <f>tbl_국내[[#This Row],[금액]]*1.1</f>
        <v>220000.00000000003</v>
      </c>
      <c r="L218" s="577">
        <v>45918</v>
      </c>
      <c r="M218" s="577">
        <v>45918</v>
      </c>
      <c r="N218" s="575">
        <v>0</v>
      </c>
      <c r="O218" s="577">
        <v>45932</v>
      </c>
      <c r="P218" s="577">
        <v>45918</v>
      </c>
      <c r="Q218" s="618"/>
      <c r="R218" s="618">
        <f>YEAR(tbl_국내[[#This Row],[계산서
발행일/구매확정일]])</f>
        <v>2025</v>
      </c>
      <c r="S218" s="619">
        <f>IF(국내!$P214="",0,MONTH(국내!$P214))</f>
        <v>8</v>
      </c>
      <c r="T218" s="619" t="str">
        <f>IFERROR(VLOOKUP($F218,product[],6,0),"error")</f>
        <v>error</v>
      </c>
      <c r="U218" s="574"/>
      <c r="V218" s="574"/>
      <c r="W218" s="619" t="str">
        <f>IF($T218="카메라",VLOOKUP($F218,드롭다운!$A:$F,2,0),"")</f>
        <v/>
      </c>
      <c r="X218" s="619" t="str">
        <f>IF($T218="카메라",VLOOKUP($F218,드롭다운!$A:$F,3,0),"")</f>
        <v/>
      </c>
      <c r="Y218" s="619" t="str">
        <f>IF($T218="카메라",VLOOKUP($F218,드롭다운!$A:$F,4,0),"")</f>
        <v/>
      </c>
      <c r="Z218" s="619" t="str">
        <f>IF($T218="카메라",VLOOKUP($F218,드롭다운!$A:$F,5,0),"")</f>
        <v/>
      </c>
      <c r="AA218" s="619" t="s">
        <v>9088</v>
      </c>
    </row>
    <row r="219" spans="1:27">
      <c r="A219" s="572">
        <v>45918</v>
      </c>
      <c r="B219" s="573">
        <v>1</v>
      </c>
      <c r="C219" s="100" t="str">
        <f>"KR"&amp;TEXT(tbl_국내[[#This Row],[발주일]],"yymmdd")&amp;"-"&amp;TEXT(tbl_국내[[#This Row],[일렬번호]],"00")</f>
        <v>KR250918-01</v>
      </c>
      <c r="D219" s="574" t="s">
        <v>9030</v>
      </c>
      <c r="E219" s="574" t="s">
        <v>9185</v>
      </c>
      <c r="F219" s="574" t="s">
        <v>9183</v>
      </c>
      <c r="G219" s="574" t="s">
        <v>9186</v>
      </c>
      <c r="H219" s="574">
        <v>1</v>
      </c>
      <c r="I219" s="575">
        <v>350000</v>
      </c>
      <c r="J219" s="575">
        <f t="shared" si="3"/>
        <v>350000</v>
      </c>
      <c r="K219" s="575">
        <f>tbl_국내[[#This Row],[금액]]*1.1</f>
        <v>385000.00000000006</v>
      </c>
      <c r="L219" s="577">
        <v>45918</v>
      </c>
      <c r="M219" s="577">
        <v>45918</v>
      </c>
      <c r="N219" s="575">
        <v>385000</v>
      </c>
      <c r="O219" s="577">
        <v>45971</v>
      </c>
      <c r="P219" s="577">
        <v>45918</v>
      </c>
      <c r="Q219" s="618"/>
      <c r="R219" s="618">
        <f>YEAR(tbl_국내[[#This Row],[계산서
발행일/구매확정일]])</f>
        <v>2025</v>
      </c>
      <c r="S219" s="619">
        <f>IF(국내!$P219="",0,MONTH(국내!$P219))</f>
        <v>9</v>
      </c>
      <c r="T219" s="619" t="str">
        <f>IFERROR(VLOOKUP($F219,product[],6,0),"error")</f>
        <v>error</v>
      </c>
      <c r="U219" s="574"/>
      <c r="V219" s="574"/>
      <c r="W219" s="619" t="str">
        <f>IF($T219="카메라",VLOOKUP($F219,드롭다운!$A:$F,2,0),"")</f>
        <v/>
      </c>
      <c r="X219" s="619" t="str">
        <f>IF($T219="카메라",VLOOKUP($F219,드롭다운!$A:$F,3,0),"")</f>
        <v/>
      </c>
      <c r="Y219" s="619" t="str">
        <f>IF($T219="카메라",VLOOKUP($F219,드롭다운!$A:$F,4,0),"")</f>
        <v/>
      </c>
      <c r="Z219" s="619" t="str">
        <f>IF($T219="카메라",VLOOKUP($F219,드롭다운!$A:$F,5,0),"")</f>
        <v/>
      </c>
      <c r="AA219" s="619"/>
    </row>
    <row r="220" spans="1:27">
      <c r="A220" s="572">
        <v>45918</v>
      </c>
      <c r="B220" s="573">
        <v>2</v>
      </c>
      <c r="C220" s="100" t="str">
        <f>"KR"&amp;TEXT(tbl_국내[[#This Row],[발주일]],"yymmdd")&amp;"-"&amp;TEXT(tbl_국내[[#This Row],[일렬번호]],"00")</f>
        <v>KR250918-02</v>
      </c>
      <c r="D220" s="574" t="s">
        <v>199</v>
      </c>
      <c r="E220" s="574" t="s">
        <v>9185</v>
      </c>
      <c r="F220" s="574" t="s">
        <v>9183</v>
      </c>
      <c r="G220" s="574" t="s">
        <v>9187</v>
      </c>
      <c r="H220" s="574">
        <v>1</v>
      </c>
      <c r="I220" s="575">
        <v>150000</v>
      </c>
      <c r="J220" s="575">
        <f t="shared" si="3"/>
        <v>150000</v>
      </c>
      <c r="K220" s="575">
        <f>tbl_국내[[#This Row],[금액]]*1.1</f>
        <v>165000</v>
      </c>
      <c r="L220" s="577">
        <v>45918</v>
      </c>
      <c r="M220" s="577">
        <v>45918</v>
      </c>
      <c r="N220" s="575">
        <v>165000</v>
      </c>
      <c r="O220" s="577">
        <v>45954</v>
      </c>
      <c r="P220" s="577">
        <v>45918</v>
      </c>
      <c r="Q220" s="618"/>
      <c r="R220" s="618">
        <f>YEAR(tbl_국내[[#This Row],[계산서
발행일/구매확정일]])</f>
        <v>2025</v>
      </c>
      <c r="S220" s="619">
        <f>IF(국내!$P220="",0,MONTH(국내!$P220))</f>
        <v>9</v>
      </c>
      <c r="T220" s="619" t="str">
        <f>IFERROR(VLOOKUP($F220,product[],6,0),"error")</f>
        <v>error</v>
      </c>
      <c r="U220" s="574"/>
      <c r="V220" s="574"/>
      <c r="W220" s="619" t="str">
        <f>IF($T220="카메라",VLOOKUP($F220,드롭다운!$A:$F,2,0),"")</f>
        <v/>
      </c>
      <c r="X220" s="619" t="str">
        <f>IF($T220="카메라",VLOOKUP($F220,드롭다운!$A:$F,3,0),"")</f>
        <v/>
      </c>
      <c r="Y220" s="619" t="str">
        <f>IF($T220="카메라",VLOOKUP($F220,드롭다운!$A:$F,4,0),"")</f>
        <v/>
      </c>
      <c r="Z220" s="619" t="str">
        <f>IF($T220="카메라",VLOOKUP($F220,드롭다운!$A:$F,5,0),"")</f>
        <v/>
      </c>
      <c r="AA220" s="619"/>
    </row>
    <row r="221" spans="1:27">
      <c r="A221" s="572">
        <v>45915</v>
      </c>
      <c r="B221" s="573">
        <v>2</v>
      </c>
      <c r="C221" s="100" t="str">
        <f>"KR"&amp;TEXT(tbl_국내[[#This Row],[발주일]],"yymmdd")&amp;"-"&amp;TEXT(tbl_국내[[#This Row],[일렬번호]],"00")</f>
        <v>KR250915-02</v>
      </c>
      <c r="D221" s="574" t="s">
        <v>127</v>
      </c>
      <c r="E221" s="574" t="s">
        <v>7572</v>
      </c>
      <c r="F221" s="574" t="s">
        <v>9122</v>
      </c>
      <c r="G221" s="574" t="s">
        <v>9123</v>
      </c>
      <c r="H221" s="574">
        <v>9</v>
      </c>
      <c r="I221" s="575">
        <v>5540000</v>
      </c>
      <c r="J221" s="575">
        <f t="shared" si="3"/>
        <v>49860000</v>
      </c>
      <c r="K221" s="575">
        <f>tbl_국내[[#This Row],[금액]]*1.1</f>
        <v>54846000.000000007</v>
      </c>
      <c r="L221" s="577">
        <v>45957</v>
      </c>
      <c r="M221" s="577">
        <v>45957</v>
      </c>
      <c r="N221" s="575">
        <v>54846000</v>
      </c>
      <c r="O221" s="577">
        <v>45961</v>
      </c>
      <c r="P221" s="577">
        <v>45957</v>
      </c>
      <c r="Q221" s="618"/>
      <c r="R221" s="618">
        <f>YEAR(tbl_국내[[#This Row],[계산서
발행일/구매확정일]])</f>
        <v>2025</v>
      </c>
      <c r="S221" s="619">
        <f>IF(국내!$P218="",0,MONTH(국내!$P218))</f>
        <v>9</v>
      </c>
      <c r="T221" s="619" t="str">
        <f>IFERROR(VLOOKUP($F221,product[],6,0),"error")</f>
        <v>카메라</v>
      </c>
      <c r="U221" s="574"/>
      <c r="V221" s="574"/>
      <c r="W221" s="619" t="str">
        <f>IF($T221="카메라",VLOOKUP($F221,드롭다운!$A:$F,2,0),"")</f>
        <v>VGA</v>
      </c>
      <c r="X221" s="619" t="str">
        <f>IF($T221="카메라",VLOOKUP($F221,드롭다운!$A:$F,3,0),"")</f>
        <v>Radiometric</v>
      </c>
      <c r="Y221" s="619" t="str">
        <f>IF($T221="카메라",VLOOKUP($F221,드롭다운!$A:$F,4,0),"")</f>
        <v>Analogue</v>
      </c>
      <c r="Z221" s="619">
        <f>IF($T221="카메라",VLOOKUP($F221,드롭다운!$A:$F,5,0),"")</f>
        <v>17</v>
      </c>
      <c r="AA221" s="619" t="s">
        <v>9124</v>
      </c>
    </row>
    <row r="222" spans="1:27">
      <c r="A222" s="572">
        <v>45929</v>
      </c>
      <c r="B222" s="573">
        <v>1</v>
      </c>
      <c r="C222" s="100" t="str">
        <f>"KR"&amp;TEXT(tbl_국내[[#This Row],[발주일]],"yymmdd")&amp;"-"&amp;TEXT(tbl_국내[[#This Row],[일렬번호]],"00")</f>
        <v>KR250929-01</v>
      </c>
      <c r="D222" s="574" t="s">
        <v>9059</v>
      </c>
      <c r="E222" s="574" t="s">
        <v>7572</v>
      </c>
      <c r="F222" s="574" t="s">
        <v>9139</v>
      </c>
      <c r="G222" s="574" t="s">
        <v>9120</v>
      </c>
      <c r="H222" s="574">
        <v>2</v>
      </c>
      <c r="I222" s="575">
        <v>3000000</v>
      </c>
      <c r="J222" s="575">
        <f t="shared" si="3"/>
        <v>6000000</v>
      </c>
      <c r="K222" s="575">
        <f>tbl_국내[[#This Row],[금액]]*1.1</f>
        <v>6600000.0000000009</v>
      </c>
      <c r="L222" s="577">
        <v>45957</v>
      </c>
      <c r="M222" s="577">
        <v>45957</v>
      </c>
      <c r="N222" s="575">
        <v>6600000</v>
      </c>
      <c r="O222" s="577">
        <v>45958</v>
      </c>
      <c r="P222" s="577">
        <v>45957</v>
      </c>
      <c r="Q222" s="618"/>
      <c r="R222" s="618">
        <f>YEAR(tbl_국내[[#This Row],[계산서
발행일/구매확정일]])</f>
        <v>2025</v>
      </c>
      <c r="S222" s="619">
        <f>IF(국내!$P221="",0,MONTH(국내!$P221))</f>
        <v>10</v>
      </c>
      <c r="T222" s="619" t="str">
        <f>IFERROR(VLOOKUP($F222,product[],6,0),"error")</f>
        <v>카메라</v>
      </c>
      <c r="U222" s="574"/>
      <c r="V222" s="574"/>
      <c r="W222" s="619" t="str">
        <f>IF($T222="카메라",VLOOKUP($F222,드롭다운!$A:$F,2,0),"")</f>
        <v>QVGA</v>
      </c>
      <c r="X222" s="619" t="str">
        <f>IF($T222="카메라",VLOOKUP($F222,드롭다운!$A:$F,3,0),"")</f>
        <v>Radiometric</v>
      </c>
      <c r="Y222" s="619" t="str">
        <f>IF($T222="카메라",VLOOKUP($F222,드롭다운!$A:$F,4,0),"")</f>
        <v>Analogue</v>
      </c>
      <c r="Z222" s="619">
        <f>IF($T222="카메라",VLOOKUP($F222,드롭다운!$A:$F,5,0),"")</f>
        <v>17</v>
      </c>
      <c r="AA222" s="619" t="s">
        <v>9140</v>
      </c>
    </row>
    <row r="223" spans="1:27">
      <c r="A223" s="572">
        <v>45958</v>
      </c>
      <c r="B223" s="573">
        <v>1</v>
      </c>
      <c r="C223" s="100" t="str">
        <f>"KR"&amp;TEXT(tbl_국내[[#This Row],[발주일]],"yymmdd")&amp;"-"&amp;TEXT(tbl_국내[[#This Row],[일렬번호]],"00")</f>
        <v>KR251028-01</v>
      </c>
      <c r="D223" s="574" t="s">
        <v>236</v>
      </c>
      <c r="E223" s="574" t="s">
        <v>275</v>
      </c>
      <c r="F223" s="574" t="s">
        <v>9189</v>
      </c>
      <c r="G223" s="574" t="s">
        <v>9192</v>
      </c>
      <c r="H223" s="574">
        <v>1</v>
      </c>
      <c r="I223" s="575">
        <v>1200000</v>
      </c>
      <c r="J223" s="575">
        <f t="shared" si="3"/>
        <v>1200000</v>
      </c>
      <c r="K223" s="575">
        <f>tbl_국내[[#This Row],[금액]]*1.1</f>
        <v>1320000</v>
      </c>
      <c r="L223" s="577">
        <v>45958</v>
      </c>
      <c r="M223" s="577">
        <v>45958</v>
      </c>
      <c r="N223" s="575">
        <v>1320000</v>
      </c>
      <c r="O223" s="577">
        <v>45600</v>
      </c>
      <c r="P223" s="577">
        <v>45958</v>
      </c>
      <c r="Q223" s="618"/>
      <c r="R223" s="618">
        <f>YEAR(tbl_국내[[#This Row],[계산서
발행일/구매확정일]])</f>
        <v>2025</v>
      </c>
      <c r="S223" s="619">
        <f>IF(국내!$P223="",0,MONTH(국내!$P223))</f>
        <v>10</v>
      </c>
      <c r="T223" s="619" t="str">
        <f>IFERROR(VLOOKUP($F223,product[],6,0),"error")</f>
        <v>error</v>
      </c>
      <c r="U223" s="574"/>
      <c r="V223" s="574"/>
      <c r="W223" s="619" t="str">
        <f>IF($T223="카메라",VLOOKUP($F223,드롭다운!$A:$F,2,0),"")</f>
        <v/>
      </c>
      <c r="X223" s="619" t="str">
        <f>IF($T223="카메라",VLOOKUP($F223,드롭다운!$A:$F,3,0),"")</f>
        <v/>
      </c>
      <c r="Y223" s="619" t="str">
        <f>IF($T223="카메라",VLOOKUP($F223,드롭다운!$A:$F,4,0),"")</f>
        <v/>
      </c>
      <c r="Z223" s="619" t="str">
        <f>IF($T223="카메라",VLOOKUP($F223,드롭다운!$A:$F,5,0),"")</f>
        <v/>
      </c>
      <c r="AA223" s="619"/>
    </row>
    <row r="224" spans="1:27">
      <c r="A224" s="572">
        <v>45958</v>
      </c>
      <c r="B224" s="573">
        <v>1</v>
      </c>
      <c r="C224" s="100" t="str">
        <f>"KR"&amp;TEXT(tbl_국내[[#This Row],[발주일]],"yymmdd")&amp;"-"&amp;TEXT(tbl_국내[[#This Row],[일렬번호]],"00")</f>
        <v>KR251028-01</v>
      </c>
      <c r="D224" s="574" t="s">
        <v>236</v>
      </c>
      <c r="E224" s="574" t="s">
        <v>9188</v>
      </c>
      <c r="F224" s="574" t="s">
        <v>9190</v>
      </c>
      <c r="G224" s="574" t="s">
        <v>9192</v>
      </c>
      <c r="H224" s="574">
        <v>9</v>
      </c>
      <c r="I224" s="575">
        <v>50100</v>
      </c>
      <c r="J224" s="575">
        <f t="shared" si="3"/>
        <v>450900</v>
      </c>
      <c r="K224" s="575">
        <f>tbl_국내[[#This Row],[금액]]*1.1</f>
        <v>495990.00000000006</v>
      </c>
      <c r="L224" s="577">
        <v>45958</v>
      </c>
      <c r="M224" s="577">
        <v>45958</v>
      </c>
      <c r="N224" s="575">
        <v>736560</v>
      </c>
      <c r="O224" s="577">
        <v>45600</v>
      </c>
      <c r="P224" s="577">
        <v>45958</v>
      </c>
      <c r="Q224" s="618"/>
      <c r="R224" s="618">
        <f>YEAR(tbl_국내[[#This Row],[계산서
발행일/구매확정일]])</f>
        <v>2025</v>
      </c>
      <c r="S224" s="619">
        <f>IF(국내!$P224="",0,MONTH(국내!$P224))</f>
        <v>10</v>
      </c>
      <c r="T224" s="619" t="str">
        <f>IFERROR(VLOOKUP($F224,product[],6,0),"error")</f>
        <v>error</v>
      </c>
      <c r="U224" s="574"/>
      <c r="V224" s="574"/>
      <c r="W224" s="619" t="str">
        <f>IF($T224="카메라",VLOOKUP($F224,드롭다운!$A:$F,2,0),"")</f>
        <v/>
      </c>
      <c r="X224" s="619" t="str">
        <f>IF($T224="카메라",VLOOKUP($F224,드롭다운!$A:$F,3,0),"")</f>
        <v/>
      </c>
      <c r="Y224" s="619" t="str">
        <f>IF($T224="카메라",VLOOKUP($F224,드롭다운!$A:$F,4,0),"")</f>
        <v/>
      </c>
      <c r="Z224" s="619" t="str">
        <f>IF($T224="카메라",VLOOKUP($F224,드롭다운!$A:$F,5,0),"")</f>
        <v/>
      </c>
      <c r="AA224" s="619"/>
    </row>
    <row r="225" spans="1:27">
      <c r="A225" s="572">
        <v>45958</v>
      </c>
      <c r="B225" s="573">
        <v>1</v>
      </c>
      <c r="C225" s="100" t="str">
        <f>"KR"&amp;TEXT(tbl_국내[[#This Row],[발주일]],"yymmdd")&amp;"-"&amp;TEXT(tbl_국내[[#This Row],[일렬번호]],"00")</f>
        <v>KR251028-01</v>
      </c>
      <c r="D225" s="574" t="s">
        <v>236</v>
      </c>
      <c r="E225" s="574" t="s">
        <v>9188</v>
      </c>
      <c r="F225" s="574" t="s">
        <v>9191</v>
      </c>
      <c r="G225" s="574" t="s">
        <v>9192</v>
      </c>
      <c r="H225" s="574">
        <v>9</v>
      </c>
      <c r="I225" s="575">
        <v>24300</v>
      </c>
      <c r="J225" s="575">
        <f t="shared" si="3"/>
        <v>218700</v>
      </c>
      <c r="K225" s="575">
        <f>tbl_국내[[#This Row],[금액]]*1.1</f>
        <v>240570.00000000003</v>
      </c>
      <c r="L225" s="577">
        <v>45958</v>
      </c>
      <c r="M225" s="577">
        <v>45958</v>
      </c>
      <c r="N225" s="575">
        <v>0</v>
      </c>
      <c r="O225" s="577">
        <v>45600</v>
      </c>
      <c r="P225" s="577">
        <v>45958</v>
      </c>
      <c r="Q225" s="618"/>
      <c r="R225" s="618">
        <f>YEAR(tbl_국내[[#This Row],[계산서
발행일/구매확정일]])</f>
        <v>2025</v>
      </c>
      <c r="S225" s="619">
        <f>IF(국내!$P225="",0,MONTH(국내!$P225))</f>
        <v>10</v>
      </c>
      <c r="T225" s="619" t="str">
        <f>IFERROR(VLOOKUP($F225,product[],6,0),"error")</f>
        <v>error</v>
      </c>
      <c r="U225" s="574"/>
      <c r="V225" s="574"/>
      <c r="W225" s="619" t="str">
        <f>IF($T225="카메라",VLOOKUP($F225,드롭다운!$A:$F,2,0),"")</f>
        <v/>
      </c>
      <c r="X225" s="619" t="str">
        <f>IF($T225="카메라",VLOOKUP($F225,드롭다운!$A:$F,3,0),"")</f>
        <v/>
      </c>
      <c r="Y225" s="619" t="str">
        <f>IF($T225="카메라",VLOOKUP($F225,드롭다운!$A:$F,4,0),"")</f>
        <v/>
      </c>
      <c r="Z225" s="619" t="str">
        <f>IF($T225="카메라",VLOOKUP($F225,드롭다운!$A:$F,5,0),"")</f>
        <v/>
      </c>
      <c r="AA225" s="619"/>
    </row>
    <row r="226" spans="1:27">
      <c r="A226" s="572">
        <v>45915</v>
      </c>
      <c r="B226" s="573">
        <v>1</v>
      </c>
      <c r="C226" s="100" t="str">
        <f>"KR"&amp;TEXT(tbl_국내[[#This Row],[발주일]],"yymmdd")&amp;"-"&amp;TEXT(tbl_국내[[#This Row],[일렬번호]],"00")</f>
        <v>KR250915-01</v>
      </c>
      <c r="D226" s="574" t="s">
        <v>127</v>
      </c>
      <c r="E226" s="574" t="s">
        <v>7572</v>
      </c>
      <c r="F226" s="574" t="s">
        <v>9119</v>
      </c>
      <c r="G226" s="574" t="s">
        <v>9120</v>
      </c>
      <c r="H226" s="574">
        <v>1</v>
      </c>
      <c r="I226" s="575">
        <v>2500000</v>
      </c>
      <c r="J226" s="575">
        <f t="shared" si="3"/>
        <v>2500000</v>
      </c>
      <c r="K226" s="575">
        <f>tbl_국내[[#This Row],[금액]]*1.1</f>
        <v>2750000</v>
      </c>
      <c r="L226" s="576">
        <v>45961</v>
      </c>
      <c r="M226" s="576">
        <v>45961</v>
      </c>
      <c r="N226" s="575">
        <v>2750000</v>
      </c>
      <c r="O226" s="577">
        <v>45961</v>
      </c>
      <c r="P226" s="577">
        <v>45961</v>
      </c>
      <c r="Q226" s="618"/>
      <c r="R226" s="618">
        <f>YEAR(tbl_국내[[#This Row],[계산서
발행일/구매확정일]])</f>
        <v>2025</v>
      </c>
      <c r="S226" s="619">
        <f>IF(국내!$P227="",0,MONTH(국내!$P227))</f>
        <v>10</v>
      </c>
      <c r="T226" s="619" t="str">
        <f>IFERROR(VLOOKUP($F226,product[],6,0),"error")</f>
        <v>카메라</v>
      </c>
      <c r="U226" s="574"/>
      <c r="V226" s="574"/>
      <c r="W226" s="619" t="str">
        <f>IF($T226="카메라",VLOOKUP($F226,드롭다운!$A:$F,2,0),"")</f>
        <v>QVGA</v>
      </c>
      <c r="X226" s="619" t="str">
        <f>IF($T226="카메라",VLOOKUP($F226,드롭다운!$A:$F,3,0),"")</f>
        <v>Radiometric</v>
      </c>
      <c r="Y226" s="619" t="str">
        <f>IF($T226="카메라",VLOOKUP($F226,드롭다운!$A:$F,4,0),"")</f>
        <v>Analogue</v>
      </c>
      <c r="Z226" s="619">
        <f>IF($T226="카메라",VLOOKUP($F226,드롭다운!$A:$F,5,0),"")</f>
        <v>17</v>
      </c>
      <c r="AA226" s="619" t="s">
        <v>9121</v>
      </c>
    </row>
    <row r="227" spans="1:27">
      <c r="A227" s="670">
        <v>45943</v>
      </c>
      <c r="B227" s="671">
        <v>1</v>
      </c>
      <c r="C227" s="663" t="str">
        <f>"KR"&amp;TEXT(tbl_국내[[#This Row],[발주일]],"yymmdd")&amp;"-"&amp;TEXT(tbl_국내[[#This Row],[일렬번호]],"00")</f>
        <v>KR251013-01</v>
      </c>
      <c r="D227" s="672" t="s">
        <v>194</v>
      </c>
      <c r="E227" s="672" t="s">
        <v>7572</v>
      </c>
      <c r="F227" s="672" t="s">
        <v>9153</v>
      </c>
      <c r="G227" s="672" t="s">
        <v>9155</v>
      </c>
      <c r="H227" s="672">
        <v>1</v>
      </c>
      <c r="I227" s="673">
        <v>4354000</v>
      </c>
      <c r="J227" s="673">
        <f t="shared" si="3"/>
        <v>4354000</v>
      </c>
      <c r="K227" s="673">
        <f>tbl_국내[[#This Row],[금액]]*1.1</f>
        <v>4789400</v>
      </c>
      <c r="L227" s="750">
        <v>45961</v>
      </c>
      <c r="M227" s="674">
        <v>45961</v>
      </c>
      <c r="N227" s="673"/>
      <c r="O227" s="674"/>
      <c r="P227" s="674">
        <v>45961</v>
      </c>
      <c r="Q227" s="675"/>
      <c r="R227" s="675">
        <f>YEAR(tbl_국내[[#This Row],[계산서
발행일/구매확정일]])</f>
        <v>2025</v>
      </c>
      <c r="S227" s="676">
        <f>IF(국내!$P228="",0,MONTH(국내!$P228))</f>
        <v>10</v>
      </c>
      <c r="T227" s="676" t="str">
        <f>IFERROR(VLOOKUP($F227,product[],6,0),"error")</f>
        <v>카메라</v>
      </c>
      <c r="U227" s="672"/>
      <c r="V227" s="672"/>
      <c r="W227" s="676" t="str">
        <f>IF($T227="카메라",VLOOKUP($F227,드롭다운!$A:$F,2,0),"")</f>
        <v>VGA</v>
      </c>
      <c r="X227" s="676" t="str">
        <f>IF($T227="카메라",VLOOKUP($F227,드롭다운!$A:$F,3,0),"")</f>
        <v>Security</v>
      </c>
      <c r="Y227" s="676" t="str">
        <f>IF($T227="카메라",VLOOKUP($F227,드롭다운!$A:$F,4,0),"")</f>
        <v>Network</v>
      </c>
      <c r="Z227" s="676">
        <f>IF($T227="카메라",VLOOKUP($F227,드롭다운!$A:$F,5,0),"")</f>
        <v>12</v>
      </c>
      <c r="AA227" s="676" t="s">
        <v>9154</v>
      </c>
    </row>
    <row r="228" spans="1:27">
      <c r="A228" s="572">
        <v>45961</v>
      </c>
      <c r="B228" s="573">
        <v>2</v>
      </c>
      <c r="C228" s="100" t="str">
        <f>"KR"&amp;TEXT(tbl_국내[[#This Row],[발주일]],"yymmdd")&amp;"-"&amp;TEXT(tbl_국내[[#This Row],[일렬번호]],"00")</f>
        <v>KR251031-02</v>
      </c>
      <c r="D228" s="574" t="s">
        <v>9203</v>
      </c>
      <c r="E228" s="574" t="s">
        <v>7572</v>
      </c>
      <c r="F228" s="574" t="s">
        <v>9209</v>
      </c>
      <c r="G228" s="574" t="s">
        <v>9210</v>
      </c>
      <c r="H228" s="574">
        <v>1</v>
      </c>
      <c r="I228" s="575">
        <v>2000000</v>
      </c>
      <c r="J228" s="575">
        <f t="shared" si="3"/>
        <v>2000000</v>
      </c>
      <c r="K228" s="575">
        <f>tbl_국내[[#This Row],[금액]]*1.1</f>
        <v>2200000</v>
      </c>
      <c r="L228" s="577">
        <v>45964</v>
      </c>
      <c r="M228" s="577">
        <v>45964</v>
      </c>
      <c r="N228" s="575">
        <v>2200000</v>
      </c>
      <c r="O228" s="577">
        <v>45964</v>
      </c>
      <c r="P228" s="577">
        <v>45961</v>
      </c>
      <c r="Q228" s="618"/>
      <c r="R228" s="618">
        <f>YEAR(tbl_국내[[#This Row],[계산서
발행일/구매확정일]])</f>
        <v>2025</v>
      </c>
      <c r="S228" s="619">
        <f>IF(국내!$P226="",0,MONTH(국내!$P226))</f>
        <v>10</v>
      </c>
      <c r="T228" s="619" t="str">
        <f>IFERROR(VLOOKUP($F228,product[],6,0),"error")</f>
        <v>카메라</v>
      </c>
      <c r="U228" s="574"/>
      <c r="V228" s="574"/>
      <c r="W228" s="619" t="str">
        <f>IF($T228="카메라",VLOOKUP($F228,드롭다운!$A:$F,2,0),"")</f>
        <v>QVGA</v>
      </c>
      <c r="X228" s="619" t="str">
        <f>IF($T228="카메라",VLOOKUP($F228,드롭다운!$A:$F,3,0),"")</f>
        <v>Night vision</v>
      </c>
      <c r="Y228" s="619" t="str">
        <f>IF($T228="카메라",VLOOKUP($F228,드롭다운!$A:$F,4,0),"")</f>
        <v>Analogue</v>
      </c>
      <c r="Z228" s="619">
        <f>IF($T228="카메라",VLOOKUP($F228,드롭다운!$A:$F,5,0),"")</f>
        <v>17</v>
      </c>
      <c r="AA228" s="619"/>
    </row>
    <row r="229" spans="1:27">
      <c r="A229" s="670">
        <v>45967</v>
      </c>
      <c r="B229" s="671">
        <v>2</v>
      </c>
      <c r="C229" s="663" t="str">
        <f>"KR"&amp;TEXT(tbl_국내[[#This Row],[발주일]],"yymmdd")&amp;"-"&amp;TEXT(tbl_국내[[#This Row],[일렬번호]],"00")</f>
        <v>KR251106-02</v>
      </c>
      <c r="D229" s="672" t="s">
        <v>9239</v>
      </c>
      <c r="E229" s="672" t="s">
        <v>9240</v>
      </c>
      <c r="F229" s="672" t="s">
        <v>9241</v>
      </c>
      <c r="G229" s="672" t="s">
        <v>9242</v>
      </c>
      <c r="H229" s="672">
        <v>1</v>
      </c>
      <c r="I229" s="673">
        <v>230000</v>
      </c>
      <c r="J229" s="673">
        <f t="shared" si="3"/>
        <v>230000</v>
      </c>
      <c r="K229" s="673">
        <f>tbl_국내[[#This Row],[금액]]*1.1</f>
        <v>253000.00000000003</v>
      </c>
      <c r="L229" s="674">
        <v>45967</v>
      </c>
      <c r="M229" s="674">
        <v>45967</v>
      </c>
      <c r="N229" s="673"/>
      <c r="O229" s="674"/>
      <c r="P229" s="674">
        <v>45967</v>
      </c>
      <c r="Q229" s="675"/>
      <c r="R229" s="675">
        <f>YEAR(tbl_국내[[#This Row],[계산서
발행일/구매확정일]])</f>
        <v>2025</v>
      </c>
      <c r="S229" s="676">
        <f>IF(국내!$P233="",0,MONTH(국내!$P233))</f>
        <v>11</v>
      </c>
      <c r="T229" s="676" t="str">
        <f>IFERROR(VLOOKUP($F229,product[],6,0),"error")</f>
        <v>error</v>
      </c>
      <c r="U229" s="672"/>
      <c r="V229" s="672"/>
      <c r="W229" s="676" t="str">
        <f>IF($T229="카메라",VLOOKUP($F229,드롭다운!$A:$F,2,0),"")</f>
        <v/>
      </c>
      <c r="X229" s="676" t="str">
        <f>IF($T229="카메라",VLOOKUP($F229,드롭다운!$A:$F,3,0),"")</f>
        <v/>
      </c>
      <c r="Y229" s="676" t="str">
        <f>IF($T229="카메라",VLOOKUP($F229,드롭다운!$A:$F,4,0),"")</f>
        <v/>
      </c>
      <c r="Z229" s="676" t="str">
        <f>IF($T229="카메라",VLOOKUP($F229,드롭다운!$A:$F,5,0),"")</f>
        <v/>
      </c>
      <c r="AA229" s="751" t="s">
        <v>9243</v>
      </c>
    </row>
    <row r="230" spans="1:27">
      <c r="A230" s="670">
        <v>45961</v>
      </c>
      <c r="B230" s="671">
        <v>1</v>
      </c>
      <c r="C230" s="663" t="str">
        <f>"KR"&amp;TEXT(tbl_국내[[#This Row],[발주일]],"yymmdd")&amp;"-"&amp;TEXT(tbl_국내[[#This Row],[일렬번호]],"00")</f>
        <v>KR251031-01</v>
      </c>
      <c r="D230" s="672" t="s">
        <v>238</v>
      </c>
      <c r="E230" s="672" t="s">
        <v>7572</v>
      </c>
      <c r="F230" s="672" t="s">
        <v>252</v>
      </c>
      <c r="G230" s="672" t="s">
        <v>8618</v>
      </c>
      <c r="H230" s="672">
        <v>1</v>
      </c>
      <c r="I230" s="673">
        <v>2866000</v>
      </c>
      <c r="J230" s="673">
        <f t="shared" si="3"/>
        <v>2866000</v>
      </c>
      <c r="K230" s="673">
        <f>tbl_국내[[#This Row],[금액]]*1.1</f>
        <v>3152600.0000000005</v>
      </c>
      <c r="L230" s="674">
        <v>45967</v>
      </c>
      <c r="M230" s="674">
        <v>45967</v>
      </c>
      <c r="N230" s="673"/>
      <c r="O230" s="674"/>
      <c r="P230" s="674">
        <v>45967</v>
      </c>
      <c r="Q230" s="675"/>
      <c r="R230" s="675">
        <f>YEAR(tbl_국내[[#This Row],[계산서
발행일/구매확정일]])</f>
        <v>2025</v>
      </c>
      <c r="S230" s="676">
        <f>IF(국내!$P238="",0,MONTH(국내!$P238))</f>
        <v>0</v>
      </c>
      <c r="T230" s="676" t="str">
        <f>IFERROR(VLOOKUP($F230,product[],6,0),"error")</f>
        <v>카메라</v>
      </c>
      <c r="U230" s="672"/>
      <c r="V230" s="672"/>
      <c r="W230" s="676" t="str">
        <f>IF($T230="카메라",VLOOKUP($F230,드롭다운!$A:$F,2,0),"")</f>
        <v>QVGA</v>
      </c>
      <c r="X230" s="676" t="str">
        <f>IF($T230="카메라",VLOOKUP($F230,드롭다운!$A:$F,3,0),"")</f>
        <v>Radiometric</v>
      </c>
      <c r="Y230" s="676" t="str">
        <f>IF($T230="카메라",VLOOKUP($F230,드롭다운!$A:$F,4,0),"")</f>
        <v>Analogue</v>
      </c>
      <c r="Z230" s="676">
        <f>IF($T230="카메라",VLOOKUP($F230,드롭다운!$A:$F,5,0),"")</f>
        <v>17</v>
      </c>
      <c r="AA230" s="676"/>
    </row>
    <row r="231" spans="1:27">
      <c r="A231" s="712">
        <v>45965</v>
      </c>
      <c r="B231" s="713">
        <v>1</v>
      </c>
      <c r="C231" s="663" t="str">
        <f>"KR"&amp;TEXT(tbl_국내[[#This Row],[발주일]],"yymmdd")&amp;"-"&amp;TEXT(tbl_국내[[#This Row],[일렬번호]],"00")</f>
        <v>KR251104-01</v>
      </c>
      <c r="D231" s="752" t="s">
        <v>8471</v>
      </c>
      <c r="E231" s="752" t="s">
        <v>7576</v>
      </c>
      <c r="F231" s="752" t="s">
        <v>9228</v>
      </c>
      <c r="G231" s="752" t="s">
        <v>9229</v>
      </c>
      <c r="H231" s="752">
        <v>1</v>
      </c>
      <c r="I231" s="753">
        <v>100000</v>
      </c>
      <c r="J231" s="673">
        <f t="shared" si="3"/>
        <v>100000</v>
      </c>
      <c r="K231" s="673">
        <f>tbl_국내[[#This Row],[금액]]*1.1</f>
        <v>110000.00000000001</v>
      </c>
      <c r="L231" s="674">
        <v>45979</v>
      </c>
      <c r="M231" s="674">
        <v>45979</v>
      </c>
      <c r="N231" s="753"/>
      <c r="O231" s="754"/>
      <c r="P231" s="674" t="s">
        <v>9311</v>
      </c>
      <c r="Q231" s="755"/>
      <c r="R231" s="755" t="e">
        <f>YEAR(tbl_국내[[#This Row],[계산서
발행일/구매확정일]])</f>
        <v>#VALUE!</v>
      </c>
      <c r="S231" s="756">
        <f>IF(국내!$P230="",0,MONTH(국내!$P230))</f>
        <v>11</v>
      </c>
      <c r="T231" s="756" t="str">
        <f>IFERROR(VLOOKUP($F231,product[],6,0),"error")</f>
        <v>error</v>
      </c>
      <c r="U231" s="752"/>
      <c r="V231" s="752"/>
      <c r="W231" s="756" t="str">
        <f>IF($T231="카메라",VLOOKUP($F231,드롭다운!$A:$F,2,0),"")</f>
        <v/>
      </c>
      <c r="X231" s="756" t="str">
        <f>IF($T231="카메라",VLOOKUP($F231,드롭다운!$A:$F,3,0),"")</f>
        <v/>
      </c>
      <c r="Y231" s="756" t="str">
        <f>IF($T231="카메라",VLOOKUP($F231,드롭다운!$A:$F,4,0),"")</f>
        <v/>
      </c>
      <c r="Z231" s="756" t="str">
        <f>IF($T231="카메라",VLOOKUP($F231,드롭다운!$A:$F,5,0),"")</f>
        <v/>
      </c>
      <c r="AA231" s="756"/>
    </row>
    <row r="232" spans="1:27">
      <c r="A232" s="712">
        <v>45967</v>
      </c>
      <c r="B232" s="671">
        <v>1</v>
      </c>
      <c r="C232" s="663" t="str">
        <f>"KR"&amp;TEXT(tbl_국내[[#This Row],[발주일]],"yymmdd")&amp;"-"&amp;TEXT(tbl_국내[[#This Row],[일렬번호]],"00")</f>
        <v>KR251106-01</v>
      </c>
      <c r="D232" s="672" t="s">
        <v>8265</v>
      </c>
      <c r="E232" s="672" t="s">
        <v>8119</v>
      </c>
      <c r="F232" s="672" t="s">
        <v>116</v>
      </c>
      <c r="G232" s="672" t="s">
        <v>7549</v>
      </c>
      <c r="H232" s="672">
        <v>3</v>
      </c>
      <c r="I232" s="673">
        <v>3939000</v>
      </c>
      <c r="J232" s="673">
        <f t="shared" si="3"/>
        <v>11817000</v>
      </c>
      <c r="K232" s="673">
        <f>tbl_국내[[#This Row],[금액]]*1.1</f>
        <v>12998700.000000002</v>
      </c>
      <c r="L232" s="674">
        <v>45974</v>
      </c>
      <c r="M232" s="674">
        <v>45974</v>
      </c>
      <c r="N232" s="673"/>
      <c r="O232" s="674"/>
      <c r="P232" s="674">
        <v>45974</v>
      </c>
      <c r="Q232" s="675"/>
      <c r="R232" s="675">
        <f>YEAR(tbl_국내[[#This Row],[계산서
발행일/구매확정일]])</f>
        <v>2025</v>
      </c>
      <c r="S232" s="676" t="e">
        <f>IF(국내!$P231="",0,MONTH(국내!$P231))</f>
        <v>#VALUE!</v>
      </c>
      <c r="T232" s="676" t="str">
        <f>IFERROR(VLOOKUP($F232,product[],6,0),"error")</f>
        <v>카메라</v>
      </c>
      <c r="U232" s="672"/>
      <c r="V232" s="672"/>
      <c r="W232" s="676" t="str">
        <f>IF($T232="카메라",VLOOKUP($F232,드롭다운!$A:$F,2,0),"")</f>
        <v>QVGA</v>
      </c>
      <c r="X232" s="676" t="str">
        <f>IF($T232="카메라",VLOOKUP($F232,드롭다운!$A:$F,3,0),"")</f>
        <v>Radiometric</v>
      </c>
      <c r="Y232" s="676" t="str">
        <f>IF($T232="카메라",VLOOKUP($F232,드롭다운!$A:$F,4,0),"")</f>
        <v>Network</v>
      </c>
      <c r="Z232" s="676">
        <f>IF($T232="카메라",VLOOKUP($F232,드롭다운!$A:$F,5,0),"")</f>
        <v>17</v>
      </c>
      <c r="AA232" s="676" t="s">
        <v>9310</v>
      </c>
    </row>
    <row r="233" spans="1:27">
      <c r="A233" s="670">
        <v>45967</v>
      </c>
      <c r="B233" s="671">
        <v>1</v>
      </c>
      <c r="C233" s="663" t="str">
        <f>"KR"&amp;TEXT(tbl_국내[[#This Row],[발주일]],"yymmdd")&amp;"-"&amp;TEXT(tbl_국내[[#This Row],[일렬번호]],"00")</f>
        <v>KR251106-01</v>
      </c>
      <c r="D233" s="672" t="s">
        <v>8265</v>
      </c>
      <c r="E233" s="672" t="s">
        <v>9200</v>
      </c>
      <c r="F233" s="672" t="s">
        <v>147</v>
      </c>
      <c r="G233" s="672" t="s">
        <v>9201</v>
      </c>
      <c r="H233" s="672">
        <v>3</v>
      </c>
      <c r="I233" s="673">
        <v>321000</v>
      </c>
      <c r="J233" s="673">
        <f t="shared" si="3"/>
        <v>963000</v>
      </c>
      <c r="K233" s="673">
        <f>tbl_국내[[#This Row],[금액]]*1.1</f>
        <v>1059300</v>
      </c>
      <c r="L233" s="674">
        <v>45974</v>
      </c>
      <c r="M233" s="674">
        <v>45974</v>
      </c>
      <c r="N233" s="673"/>
      <c r="O233" s="674"/>
      <c r="P233" s="674">
        <v>45974</v>
      </c>
      <c r="Q233" s="675"/>
      <c r="R233" s="675">
        <f>YEAR(tbl_국내[[#This Row],[계산서
발행일/구매확정일]])</f>
        <v>2025</v>
      </c>
      <c r="S233" s="676">
        <f>IF(국내!$P232="",0,MONTH(국내!$P232))</f>
        <v>11</v>
      </c>
      <c r="T233" s="676" t="str">
        <f>IFERROR(VLOOKUP($F233,product[],6,0),"error")</f>
        <v>error</v>
      </c>
      <c r="U233" s="672"/>
      <c r="V233" s="672"/>
      <c r="W233" s="676" t="str">
        <f>IF($T233="카메라",VLOOKUP($F233,드롭다운!$A:$F,2,0),"")</f>
        <v/>
      </c>
      <c r="X233" s="676" t="str">
        <f>IF($T233="카메라",VLOOKUP($F233,드롭다운!$A:$F,3,0),"")</f>
        <v/>
      </c>
      <c r="Y233" s="676" t="str">
        <f>IF($T233="카메라",VLOOKUP($F233,드롭다운!$A:$F,4,0),"")</f>
        <v/>
      </c>
      <c r="Z233" s="676" t="str">
        <f>IF($T233="카메라",VLOOKUP($F233,드롭다운!$A:$F,5,0),"")</f>
        <v/>
      </c>
      <c r="AA233" s="676" t="s">
        <v>9310</v>
      </c>
    </row>
    <row r="234" spans="1:27">
      <c r="A234" s="670">
        <v>45979</v>
      </c>
      <c r="B234" s="671">
        <v>2</v>
      </c>
      <c r="C234" s="663" t="str">
        <f>"KR"&amp;TEXT(tbl_국내[[#This Row],[발주일]],"yymmdd")&amp;"-"&amp;TEXT(tbl_국내[[#This Row],[일렬번호]],"00")</f>
        <v>KR251118-02</v>
      </c>
      <c r="D234" s="672" t="s">
        <v>140</v>
      </c>
      <c r="E234" s="672" t="s">
        <v>7576</v>
      </c>
      <c r="F234" s="672" t="s">
        <v>7464</v>
      </c>
      <c r="G234" s="672" t="s">
        <v>9278</v>
      </c>
      <c r="H234" s="672">
        <v>1</v>
      </c>
      <c r="I234" s="673">
        <v>600000</v>
      </c>
      <c r="J234" s="673">
        <f t="shared" si="3"/>
        <v>600000</v>
      </c>
      <c r="K234" s="673">
        <f>tbl_국내[[#This Row],[금액]]*1.1</f>
        <v>660000</v>
      </c>
      <c r="L234" s="674">
        <v>45980</v>
      </c>
      <c r="M234" s="674">
        <v>45980</v>
      </c>
      <c r="N234" s="673"/>
      <c r="O234" s="674"/>
      <c r="P234" s="674">
        <v>45980</v>
      </c>
      <c r="Q234" s="675"/>
      <c r="R234" s="675">
        <f>YEAR(tbl_국내[[#This Row],[계산서
발행일/구매확정일]])</f>
        <v>2025</v>
      </c>
      <c r="S234" s="676">
        <f>IF(국내!$P235="",0,MONTH(국내!$P235))</f>
        <v>11</v>
      </c>
      <c r="T234" s="676" t="str">
        <f>IFERROR(VLOOKUP($F234,product[],6,0),"error")</f>
        <v>error</v>
      </c>
      <c r="U234" s="672"/>
      <c r="V234" s="672"/>
      <c r="W234" s="676" t="str">
        <f>IF($T234="카메라",VLOOKUP($F234,드롭다운!$A:$F,2,0),"")</f>
        <v/>
      </c>
      <c r="X234" s="676" t="str">
        <f>IF($T234="카메라",VLOOKUP($F234,드롭다운!$A:$F,3,0),"")</f>
        <v/>
      </c>
      <c r="Y234" s="676" t="str">
        <f>IF($T234="카메라",VLOOKUP($F234,드롭다운!$A:$F,4,0),"")</f>
        <v/>
      </c>
      <c r="Z234" s="676" t="str">
        <f>IF($T234="카메라",VLOOKUP($F234,드롭다운!$A:$F,5,0),"")</f>
        <v/>
      </c>
      <c r="AA234" s="676" t="s">
        <v>9285</v>
      </c>
    </row>
    <row r="235" spans="1:27">
      <c r="A235" s="670">
        <v>45981</v>
      </c>
      <c r="B235" s="671">
        <v>1</v>
      </c>
      <c r="C235" s="663" t="str">
        <f>"KR"&amp;TEXT(tbl_국내[[#This Row],[발주일]],"yymmdd")&amp;"-"&amp;TEXT(tbl_국내[[#This Row],[일렬번호]],"00")</f>
        <v>KR251120-01</v>
      </c>
      <c r="D235" s="672" t="s">
        <v>199</v>
      </c>
      <c r="E235" s="672" t="s">
        <v>8067</v>
      </c>
      <c r="F235" s="672" t="s">
        <v>7464</v>
      </c>
      <c r="G235" s="672" t="s">
        <v>9308</v>
      </c>
      <c r="H235" s="672">
        <v>1</v>
      </c>
      <c r="I235" s="673">
        <v>500000</v>
      </c>
      <c r="J235" s="673">
        <f t="shared" si="3"/>
        <v>500000</v>
      </c>
      <c r="K235" s="673">
        <f>tbl_국내[[#This Row],[금액]]*1.1</f>
        <v>550000</v>
      </c>
      <c r="L235" s="750">
        <v>45980</v>
      </c>
      <c r="M235" s="750">
        <v>45980</v>
      </c>
      <c r="N235" s="673"/>
      <c r="O235" s="674"/>
      <c r="P235" s="750">
        <v>45980</v>
      </c>
      <c r="Q235" s="675"/>
      <c r="R235" s="675">
        <f>YEAR(tbl_국내[[#This Row],[계산서
발행일/구매확정일]])</f>
        <v>2025</v>
      </c>
      <c r="S235" s="676">
        <f>IF(국내!$P239="",0,MONTH(국내!$P239))</f>
        <v>0</v>
      </c>
      <c r="T235" s="676" t="str">
        <f>IFERROR(VLOOKUP($F235,product[],6,0),"error")</f>
        <v>error</v>
      </c>
      <c r="U235" s="672"/>
      <c r="V235" s="672"/>
      <c r="W235" s="676" t="str">
        <f>IF($T235="카메라",VLOOKUP($F235,드롭다운!$A:$F,2,0),"")</f>
        <v/>
      </c>
      <c r="X235" s="676" t="str">
        <f>IF($T235="카메라",VLOOKUP($F235,드롭다운!$A:$F,3,0),"")</f>
        <v/>
      </c>
      <c r="Y235" s="676" t="str">
        <f>IF($T235="카메라",VLOOKUP($F235,드롭다운!$A:$F,4,0),"")</f>
        <v/>
      </c>
      <c r="Z235" s="676" t="str">
        <f>IF($T235="카메라",VLOOKUP($F235,드롭다운!$A:$F,5,0),"")</f>
        <v/>
      </c>
      <c r="AA235" s="676"/>
    </row>
    <row r="236" spans="1:27">
      <c r="A236" s="757">
        <v>45964</v>
      </c>
      <c r="B236" s="662">
        <v>1</v>
      </c>
      <c r="C236" s="663" t="str">
        <f>"KR"&amp;TEXT(tbl_국내[[#This Row],[발주일]],"yymmdd")&amp;"-"&amp;TEXT(tbl_국내[[#This Row],[일렬번호]],"00")</f>
        <v>KR251103-01</v>
      </c>
      <c r="D236" s="664" t="s">
        <v>9215</v>
      </c>
      <c r="E236" s="664" t="s">
        <v>7572</v>
      </c>
      <c r="F236" s="664" t="s">
        <v>9202</v>
      </c>
      <c r="G236" s="664" t="s">
        <v>9211</v>
      </c>
      <c r="H236" s="664">
        <v>1</v>
      </c>
      <c r="I236" s="665">
        <v>70000000</v>
      </c>
      <c r="J236" s="665">
        <f t="shared" si="3"/>
        <v>70000000</v>
      </c>
      <c r="K236" s="673">
        <f>tbl_국내[[#This Row],[금액]]*1.1</f>
        <v>77000000</v>
      </c>
      <c r="L236" s="666"/>
      <c r="M236" s="667"/>
      <c r="N236" s="665"/>
      <c r="O236" s="667" t="s">
        <v>9249</v>
      </c>
      <c r="P236" s="667">
        <v>45964</v>
      </c>
      <c r="Q236" s="668"/>
      <c r="R236" s="668">
        <f>YEAR(tbl_국내[[#This Row],[계산서
발행일/구매확정일]])</f>
        <v>2025</v>
      </c>
      <c r="S236" s="669">
        <f>IF(국내!$P229="",0,MONTH(국내!$P229))</f>
        <v>11</v>
      </c>
      <c r="T236" s="669" t="str">
        <f>IFERROR(VLOOKUP($F236,product[],6,0),"error")</f>
        <v>error</v>
      </c>
      <c r="U236" s="664"/>
      <c r="V236" s="664"/>
      <c r="W236" s="669" t="str">
        <f>IF($T236="카메라",VLOOKUP($F236,드롭다운!$A:$F,2,0),"")</f>
        <v/>
      </c>
      <c r="X236" s="669" t="str">
        <f>IF($T236="카메라",VLOOKUP($F236,드롭다운!$A:$F,3,0),"")</f>
        <v/>
      </c>
      <c r="Y236" s="669" t="str">
        <f>IF($T236="카메라",VLOOKUP($F236,드롭다운!$A:$F,4,0),"")</f>
        <v/>
      </c>
      <c r="Z236" s="669" t="str">
        <f>IF($T236="카메라",VLOOKUP($F236,드롭다운!$A:$F,5,0),"")</f>
        <v/>
      </c>
      <c r="AA236" s="758" t="s">
        <v>9224</v>
      </c>
    </row>
    <row r="237" spans="1:27">
      <c r="A237" s="557">
        <v>45979</v>
      </c>
      <c r="B237" s="491">
        <v>1</v>
      </c>
      <c r="C237" s="100" t="str">
        <f>"KR"&amp;TEXT(tbl_국내[[#This Row],[발주일]],"yymmdd")&amp;"-"&amp;TEXT(tbl_국내[[#This Row],[일렬번호]],"00")</f>
        <v>KR251118-01</v>
      </c>
      <c r="D237" s="138" t="s">
        <v>9280</v>
      </c>
      <c r="E237" s="138" t="s">
        <v>7572</v>
      </c>
      <c r="F237" s="138" t="s">
        <v>8020</v>
      </c>
      <c r="G237" s="138" t="s">
        <v>9283</v>
      </c>
      <c r="H237" s="138">
        <v>2</v>
      </c>
      <c r="I237" s="457">
        <v>9000000</v>
      </c>
      <c r="J237" s="457">
        <f t="shared" si="3"/>
        <v>18000000</v>
      </c>
      <c r="K237" s="575">
        <f>tbl_국내[[#This Row],[금액]]*1.1</f>
        <v>19800000</v>
      </c>
      <c r="L237" s="458"/>
      <c r="M237" s="141"/>
      <c r="N237" s="457"/>
      <c r="O237" s="141"/>
      <c r="P237" s="138"/>
      <c r="Q237" s="616"/>
      <c r="R237" s="616">
        <f>YEAR(tbl_국내[[#This Row],[계산서
발행일/구매확정일]])</f>
        <v>1900</v>
      </c>
      <c r="S237" s="617">
        <f>IF(국내!$P234="",0,MONTH(국내!$P234))</f>
        <v>11</v>
      </c>
      <c r="T237" s="617" t="str">
        <f>IFERROR(VLOOKUP($F237,product[],6,0),"error")</f>
        <v>카메라</v>
      </c>
      <c r="U237" s="138"/>
      <c r="V237" s="138"/>
      <c r="W237" s="617" t="str">
        <f>IF($T237="카메라",VLOOKUP($F237,드롭다운!$A:$F,2,0),"")</f>
        <v>VGA</v>
      </c>
      <c r="X237" s="617" t="str">
        <f>IF($T237="카메라",VLOOKUP($F237,드롭다운!$A:$F,3,0),"")</f>
        <v>Security</v>
      </c>
      <c r="Y237" s="617" t="str">
        <f>IF($T237="카메라",VLOOKUP($F237,드롭다운!$A:$F,4,0),"")</f>
        <v>Network</v>
      </c>
      <c r="Z237" s="617">
        <f>IF($T237="카메라",VLOOKUP($F237,드롭다운!$A:$F,5,0),"")</f>
        <v>12</v>
      </c>
      <c r="AA237" s="445" t="s">
        <v>9284</v>
      </c>
    </row>
    <row r="238" spans="1:27">
      <c r="A238" s="564">
        <v>45960</v>
      </c>
      <c r="B238" s="573">
        <v>1</v>
      </c>
      <c r="C238" s="100" t="str">
        <f>"KR"&amp;TEXT(tbl_국내[[#This Row],[발주일]],"yymmdd")&amp;"-"&amp;TEXT(tbl_국내[[#This Row],[일렬번호]],"00")</f>
        <v>KR251030-01</v>
      </c>
      <c r="D238" s="574" t="s">
        <v>9171</v>
      </c>
      <c r="E238" s="574" t="s">
        <v>7572</v>
      </c>
      <c r="F238" s="574" t="s">
        <v>9176</v>
      </c>
      <c r="G238" s="574" t="s">
        <v>7554</v>
      </c>
      <c r="H238" s="574">
        <v>4</v>
      </c>
      <c r="I238" s="575"/>
      <c r="J238" s="575">
        <v>410909091</v>
      </c>
      <c r="K238" s="575">
        <f>tbl_국내[[#This Row],[금액]]*1.1</f>
        <v>452000000.10000002</v>
      </c>
      <c r="L238" s="576"/>
      <c r="M238" s="577"/>
      <c r="N238" s="575"/>
      <c r="O238" s="577"/>
      <c r="P238" s="574"/>
      <c r="Q238" s="618"/>
      <c r="R238" s="618">
        <f>YEAR(tbl_국내[[#This Row],[계산서
발행일/구매확정일]])</f>
        <v>1900</v>
      </c>
      <c r="S238" s="619">
        <f>IF(국내!$P236="",0,MONTH(국내!$P236))</f>
        <v>11</v>
      </c>
      <c r="T238" s="619" t="str">
        <f>IFERROR(VLOOKUP($F238,product[],6,0),"error")</f>
        <v>카메라</v>
      </c>
      <c r="U238" s="574"/>
      <c r="V238" s="574"/>
      <c r="W238" s="619" t="str">
        <f>IF($T238="카메라",VLOOKUP($F238,드롭다운!$A:$F,2,0),"")</f>
        <v>VGA</v>
      </c>
      <c r="X238" s="619" t="str">
        <f>IF($T238="카메라",VLOOKUP($F238,드롭다운!$A:$F,3,0),"")</f>
        <v>Security</v>
      </c>
      <c r="Y238" s="619" t="str">
        <f>IF($T238="카메라",VLOOKUP($F238,드롭다운!$A:$F,4,0),"")</f>
        <v>Network</v>
      </c>
      <c r="Z238" s="619">
        <f>IF($T238="카메라",VLOOKUP($F238,드롭다운!$A:$F,5,0),"")</f>
        <v>12</v>
      </c>
      <c r="AA238" s="569"/>
    </row>
    <row r="239" spans="1:27">
      <c r="A239" s="572">
        <v>45960</v>
      </c>
      <c r="B239" s="573">
        <v>2</v>
      </c>
      <c r="C239" s="608" t="str">
        <f>"KR"&amp;TEXT(tbl_국내[[#This Row],[발주일]],"yymmdd")&amp;"-"&amp;TEXT(tbl_국내[[#This Row],[일렬번호]],"00")</f>
        <v>KR251030-02</v>
      </c>
      <c r="D239" s="574" t="s">
        <v>167</v>
      </c>
      <c r="E239" s="737" t="s">
        <v>7573</v>
      </c>
      <c r="F239" s="737" t="s">
        <v>173</v>
      </c>
      <c r="G239" s="574" t="s">
        <v>7545</v>
      </c>
      <c r="H239" s="574">
        <v>4</v>
      </c>
      <c r="I239" s="575">
        <v>2300000</v>
      </c>
      <c r="J239" s="575">
        <f>H239*I239</f>
        <v>9200000</v>
      </c>
      <c r="K239" s="575">
        <f>tbl_국내[[#This Row],[금액]]*1.1</f>
        <v>10120000</v>
      </c>
      <c r="L239" s="576"/>
      <c r="M239" s="577"/>
      <c r="N239" s="575"/>
      <c r="O239" s="577"/>
      <c r="P239" s="574"/>
      <c r="Q239" s="618"/>
      <c r="R239" s="618">
        <f>YEAR(tbl_국내[[#This Row],[계산서
발행일/구매확정일]])</f>
        <v>1900</v>
      </c>
      <c r="S239" s="619">
        <f>IF(국내!$P237="",0,MONTH(국내!$P237))</f>
        <v>0</v>
      </c>
      <c r="T239" s="619" t="str">
        <f>IFERROR(VLOOKUP($F239,product[],6,0),"error")</f>
        <v>카메라</v>
      </c>
      <c r="U239" s="574"/>
      <c r="V239" s="574"/>
      <c r="W239" s="619" t="str">
        <f>IF($T239="카메라",VLOOKUP($F239,드롭다운!$A:$F,2,0),"")</f>
        <v>QVGA</v>
      </c>
      <c r="X239" s="619" t="str">
        <f>IF($T239="카메라",VLOOKUP($F239,드롭다운!$A:$F,3,0),"")</f>
        <v>Radiometric</v>
      </c>
      <c r="Y239" s="619" t="str">
        <f>IF($T239="카메라",VLOOKUP($F239,드롭다운!$A:$F,4,0),"")</f>
        <v>Network</v>
      </c>
      <c r="Z239" s="619">
        <f>IF($T239="카메라",VLOOKUP($F239,드롭다운!$A:$F,5,0),"")</f>
        <v>17</v>
      </c>
      <c r="AA239" s="619"/>
    </row>
    <row r="240" spans="1:27">
      <c r="A240" s="572">
        <v>45982</v>
      </c>
      <c r="B240" s="573">
        <v>1</v>
      </c>
      <c r="C240" s="608" t="str">
        <f>"KR"&amp;TEXT(tbl_국내[[#This Row],[발주일]],"yymmdd")&amp;"-"&amp;TEXT(tbl_국내[[#This Row],[일렬번호]],"00")</f>
        <v>KR251121-01</v>
      </c>
      <c r="D240" s="574" t="s">
        <v>199</v>
      </c>
      <c r="E240" s="574" t="s">
        <v>7572</v>
      </c>
      <c r="F240" s="574" t="s">
        <v>9323</v>
      </c>
      <c r="G240" s="574" t="s">
        <v>168</v>
      </c>
      <c r="H240" s="574">
        <v>2</v>
      </c>
      <c r="I240" s="575"/>
      <c r="J240" s="575">
        <f>H240*I240</f>
        <v>0</v>
      </c>
      <c r="K240" s="575">
        <f>tbl_국내[[#This Row],[금액]]*1.1</f>
        <v>0</v>
      </c>
      <c r="L240" s="576"/>
      <c r="M240" s="577"/>
      <c r="N240" s="575"/>
      <c r="O240" s="577"/>
      <c r="P240" s="574"/>
      <c r="Q240" s="618"/>
      <c r="R240" s="618">
        <f>YEAR(tbl_국내[[#This Row],[계산서
발행일/구매확정일]])</f>
        <v>1900</v>
      </c>
      <c r="S240" s="619">
        <f>IF(국내!$P240="",0,MONTH(국내!$P240))</f>
        <v>0</v>
      </c>
      <c r="T240" s="619" t="str">
        <f>IFERROR(VLOOKUP($F240,product[],6,0),"error")</f>
        <v>카메라</v>
      </c>
      <c r="U240" s="574"/>
      <c r="V240" s="574"/>
      <c r="W240" s="619" t="str">
        <f>IF($T240="카메라",VLOOKUP($F240,드롭다운!$A:$F,2,0),"")</f>
        <v>VGA</v>
      </c>
      <c r="X240" s="619" t="str">
        <f>IF($T240="카메라",VLOOKUP($F240,드롭다운!$A:$F,3,0),"")</f>
        <v>Security</v>
      </c>
      <c r="Y240" s="619" t="str">
        <f>IF($T240="카메라",VLOOKUP($F240,드롭다운!$A:$F,4,0),"")</f>
        <v>Network</v>
      </c>
      <c r="Z240" s="619">
        <f>IF($T240="카메라",VLOOKUP($F240,드롭다운!$A:$F,5,0),"")</f>
        <v>17</v>
      </c>
      <c r="AA240" s="619"/>
    </row>
    <row r="241" spans="1:27">
      <c r="A241" s="695">
        <v>45982</v>
      </c>
      <c r="B241" s="704">
        <v>1</v>
      </c>
      <c r="C241" s="696" t="str">
        <f>"KR"&amp;TEXT(tbl_국내[[#This Row],[발주일]],"yymmdd")&amp;"-"&amp;TEXT(tbl_국내[[#This Row],[일렬번호]],"00")</f>
        <v>KR251121-01</v>
      </c>
      <c r="D241" s="560" t="s">
        <v>199</v>
      </c>
      <c r="E241" s="560" t="s">
        <v>7575</v>
      </c>
      <c r="F241" s="560" t="s">
        <v>9324</v>
      </c>
      <c r="G241" s="560" t="s">
        <v>7647</v>
      </c>
      <c r="H241" s="560">
        <v>2</v>
      </c>
      <c r="I241" s="765"/>
      <c r="J241" s="765">
        <f>H241*I241</f>
        <v>0</v>
      </c>
      <c r="K241" s="765">
        <f>tbl_국내[[#This Row],[금액]]*1.1</f>
        <v>0</v>
      </c>
      <c r="L241" s="766"/>
      <c r="M241" s="767"/>
      <c r="N241" s="765"/>
      <c r="O241" s="767"/>
      <c r="P241" s="560"/>
      <c r="Q241" s="768"/>
      <c r="R241" s="768">
        <f>YEAR(tbl_국내[[#This Row],[계산서
발행일/구매확정일]])</f>
        <v>1900</v>
      </c>
      <c r="S241" s="769">
        <f>IF(국내!$P241="",0,MONTH(국내!$P241))</f>
        <v>0</v>
      </c>
      <c r="T241" s="769" t="str">
        <f>IFERROR(VLOOKUP($F241,product[],6,0),"error")</f>
        <v>error</v>
      </c>
      <c r="U241" s="560"/>
      <c r="V241" s="560"/>
      <c r="W241" s="769" t="str">
        <f>IF($T241="카메라",VLOOKUP($F241,드롭다운!$A:$F,2,0),"")</f>
        <v/>
      </c>
      <c r="X241" s="769" t="str">
        <f>IF($T241="카메라",VLOOKUP($F241,드롭다운!$A:$F,3,0),"")</f>
        <v/>
      </c>
      <c r="Y241" s="769" t="str">
        <f>IF($T241="카메라",VLOOKUP($F241,드롭다운!$A:$F,4,0),"")</f>
        <v/>
      </c>
      <c r="Z241" s="769" t="str">
        <f>IF($T241="카메라",VLOOKUP($F241,드롭다운!$A:$F,5,0),"")</f>
        <v/>
      </c>
      <c r="AA241" s="769"/>
    </row>
  </sheetData>
  <phoneticPr fontId="13" type="noConversion"/>
  <conditionalFormatting sqref="H206:H208 H1:H204 H212:H233 H236:H238">
    <cfRule type="expression" dxfId="21" priority="18">
      <formula>$T1="카메라"</formula>
    </cfRule>
  </conditionalFormatting>
  <conditionalFormatting sqref="H148">
    <cfRule type="expression" dxfId="20" priority="7">
      <formula>#REF!="카메라"</formula>
    </cfRule>
  </conditionalFormatting>
  <conditionalFormatting sqref="G205">
    <cfRule type="expression" dxfId="19" priority="5">
      <formula>$R205="카메라"</formula>
    </cfRule>
  </conditionalFormatting>
  <conditionalFormatting sqref="H205">
    <cfRule type="expression" dxfId="18" priority="6">
      <formula>$S205="카메라"</formula>
    </cfRule>
  </conditionalFormatting>
  <conditionalFormatting sqref="H209:H211">
    <cfRule type="expression" dxfId="17" priority="4">
      <formula>#REF!="카메라"</formula>
    </cfRule>
  </conditionalFormatting>
  <conditionalFormatting sqref="H235">
    <cfRule type="expression" dxfId="16" priority="2">
      <formula>#REF!="카메라"</formula>
    </cfRule>
  </conditionalFormatting>
  <conditionalFormatting sqref="H239">
    <cfRule type="expression" dxfId="15" priority="1">
      <formula>#REF!="카메라"</formula>
    </cfRule>
  </conditionalFormatting>
  <dataValidations count="1">
    <dataValidation type="list" allowBlank="1" showInputMessage="1" showErrorMessage="1" sqref="D2:D241" xr:uid="{0A8321C7-0C52-4088-BCB0-201964723DB9}">
      <formula1>INDIRECT("업체db[업체명]")</formula1>
    </dataValidation>
  </dataValidations>
  <pageMargins left="0.7" right="0.7" top="0.75" bottom="0.75" header="0.3" footer="0.3"/>
  <pageSetup paperSize="9" scale="35" fitToHeight="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  <pageSetUpPr fitToPage="1"/>
  </sheetPr>
  <dimension ref="A1:AC167"/>
  <sheetViews>
    <sheetView zoomScale="85" zoomScaleNormal="85" workbookViewId="0">
      <pane ySplit="1" topLeftCell="A140" activePane="bottomLeft" state="frozen"/>
      <selection pane="bottomLeft" activeCell="AB168" sqref="AB168"/>
    </sheetView>
  </sheetViews>
  <sheetFormatPr defaultRowHeight="16.5"/>
  <cols>
    <col min="1" max="1" width="11.75" style="1" customWidth="1"/>
    <col min="2" max="2" width="6" style="506" customWidth="1"/>
    <col min="3" max="3" width="15.125" style="507" customWidth="1"/>
    <col min="4" max="4" width="39" style="1" customWidth="1"/>
    <col min="5" max="5" width="24" style="1" customWidth="1"/>
    <col min="6" max="6" width="16.125" style="1" customWidth="1"/>
    <col min="7" max="7" width="32.375" style="1" customWidth="1"/>
    <col min="8" max="8" width="5.625" style="1" customWidth="1"/>
    <col min="9" max="9" width="15.625" style="1" customWidth="1"/>
    <col min="10" max="10" width="12.375" style="145" customWidth="1"/>
    <col min="11" max="11" width="11.625" style="146" customWidth="1"/>
    <col min="12" max="13" width="16.25" style="146" customWidth="1"/>
    <col min="14" max="14" width="18.375" style="25" customWidth="1"/>
    <col min="15" max="15" width="13.25" style="134" customWidth="1"/>
    <col min="16" max="16" width="15" style="134" customWidth="1"/>
    <col min="17" max="17" width="12.125" style="134" customWidth="1"/>
    <col min="18" max="18" width="13" style="147" customWidth="1"/>
    <col min="19" max="19" width="16.625" style="148" hidden="1" customWidth="1"/>
    <col min="20" max="20" width="11.25" style="149" hidden="1" customWidth="1"/>
    <col min="21" max="21" width="9.375" style="149" hidden="1" customWidth="1"/>
    <col min="22" max="22" width="11.75" style="149" hidden="1" customWidth="1"/>
    <col min="23" max="23" width="11.75" style="147" hidden="1" customWidth="1"/>
    <col min="24" max="24" width="9.75" style="153" hidden="1" customWidth="1"/>
    <col min="25" max="25" width="7.625" style="147" hidden="1" customWidth="1"/>
    <col min="26" max="26" width="9" style="1" hidden="1" customWidth="1"/>
    <col min="27" max="27" width="11.625" hidden="1" customWidth="1"/>
    <col min="28" max="28" width="24.25" bestFit="1" customWidth="1"/>
    <col min="29" max="29" width="57.875" style="2" bestFit="1" customWidth="1"/>
  </cols>
  <sheetData>
    <row r="1" spans="1:29" ht="16.5" customHeight="1">
      <c r="A1" s="726" t="s">
        <v>7587</v>
      </c>
      <c r="B1" s="727" t="s">
        <v>7508</v>
      </c>
      <c r="C1" s="728" t="s">
        <v>7507</v>
      </c>
      <c r="D1" s="729" t="s">
        <v>52</v>
      </c>
      <c r="E1" s="729" t="s">
        <v>7510</v>
      </c>
      <c r="F1" s="729" t="s">
        <v>53</v>
      </c>
      <c r="G1" s="729" t="s">
        <v>7511</v>
      </c>
      <c r="H1" s="730" t="s">
        <v>1</v>
      </c>
      <c r="I1" s="731" t="s">
        <v>45</v>
      </c>
      <c r="J1" s="731" t="s">
        <v>2</v>
      </c>
      <c r="K1" s="731" t="s">
        <v>109</v>
      </c>
      <c r="L1" s="731" t="s">
        <v>55</v>
      </c>
      <c r="M1" s="732" t="s">
        <v>44</v>
      </c>
      <c r="N1" s="732" t="s">
        <v>8</v>
      </c>
      <c r="O1" s="732" t="s">
        <v>46</v>
      </c>
      <c r="P1" s="733" t="s">
        <v>3</v>
      </c>
      <c r="Q1" s="731" t="s">
        <v>4</v>
      </c>
      <c r="R1" s="734" t="s">
        <v>5</v>
      </c>
      <c r="S1" s="735" t="s">
        <v>189</v>
      </c>
      <c r="T1" s="736" t="s">
        <v>9</v>
      </c>
      <c r="U1" s="736" t="s">
        <v>7539</v>
      </c>
      <c r="V1" s="736" t="s">
        <v>8868</v>
      </c>
      <c r="W1" s="603" t="s">
        <v>190</v>
      </c>
      <c r="X1" s="735" t="s">
        <v>205</v>
      </c>
      <c r="Y1" s="735" t="s">
        <v>206</v>
      </c>
      <c r="Z1" s="735" t="s">
        <v>207</v>
      </c>
      <c r="AA1" s="735" t="s">
        <v>208</v>
      </c>
      <c r="AB1" s="1" t="s">
        <v>8510</v>
      </c>
      <c r="AC1" s="2" t="s">
        <v>9300</v>
      </c>
    </row>
    <row r="2" spans="1:29">
      <c r="A2" s="695">
        <v>45301</v>
      </c>
      <c r="B2" s="704">
        <v>1</v>
      </c>
      <c r="C2" s="696" t="s">
        <v>7972</v>
      </c>
      <c r="D2" s="697" t="s">
        <v>130</v>
      </c>
      <c r="E2" s="697" t="s">
        <v>7529</v>
      </c>
      <c r="F2" s="697" t="s">
        <v>116</v>
      </c>
      <c r="G2" s="697" t="s">
        <v>7512</v>
      </c>
      <c r="H2" s="698">
        <v>1</v>
      </c>
      <c r="I2" s="699">
        <v>2638</v>
      </c>
      <c r="J2" s="699">
        <f t="shared" ref="J2:J22" si="0">H2*I2</f>
        <v>2638</v>
      </c>
      <c r="K2" s="699">
        <v>1302</v>
      </c>
      <c r="L2" s="701">
        <f t="shared" ref="L2:L33" si="1">K2*J2</f>
        <v>3434676</v>
      </c>
      <c r="M2" s="695">
        <v>45299</v>
      </c>
      <c r="N2" s="695">
        <v>45300</v>
      </c>
      <c r="O2" s="695">
        <v>45301</v>
      </c>
      <c r="P2" s="697" t="s">
        <v>159</v>
      </c>
      <c r="Q2" s="699">
        <v>2583</v>
      </c>
      <c r="R2" s="695">
        <v>45258</v>
      </c>
      <c r="S2" s="697" t="str">
        <f>IFERROR(VLOOKUP($F2,product[],6,0),"error")</f>
        <v>카메라</v>
      </c>
      <c r="T2" s="697" t="s">
        <v>133</v>
      </c>
      <c r="U2" s="697" t="s">
        <v>126</v>
      </c>
      <c r="V2" s="697">
        <f>YEAR(tbl_해외[[#This Row],[선적일]])</f>
        <v>2024</v>
      </c>
      <c r="W2" s="696">
        <f>IF(tbl_해외[[#This Row],[선적일]]="",0,MONTH(tbl_해외[[#This Row],[선적일]]))</f>
        <v>1</v>
      </c>
      <c r="X2" s="697" t="str">
        <f>IF($S2="카메라",VLOOKUP($F2,드롭다운!$A:$F,2,0),"")</f>
        <v>QVGA</v>
      </c>
      <c r="Y2" s="697" t="str">
        <f>IF($S2="카메라",VLOOKUP($F2,드롭다운!$A:$F,3,0),"")</f>
        <v>Radiometric</v>
      </c>
      <c r="Z2" s="697" t="str">
        <f>IF($S2="카메라",VLOOKUP($F2,드롭다운!$A:$F,4,0),"")</f>
        <v>Network</v>
      </c>
      <c r="AA2" s="697">
        <f>IF($S2="카메라",VLOOKUP($F2,드롭다운!$A:$F,5,0),"")</f>
        <v>17</v>
      </c>
      <c r="AB2" s="697"/>
      <c r="AC2" s="724"/>
    </row>
    <row r="3" spans="1:29">
      <c r="A3" s="695">
        <v>45302</v>
      </c>
      <c r="B3" s="704">
        <v>2</v>
      </c>
      <c r="C3" s="696" t="s">
        <v>7973</v>
      </c>
      <c r="D3" s="697" t="s">
        <v>151</v>
      </c>
      <c r="E3" s="697" t="s">
        <v>7531</v>
      </c>
      <c r="F3" s="697" t="s">
        <v>7534</v>
      </c>
      <c r="G3" s="697" t="s">
        <v>832</v>
      </c>
      <c r="H3" s="698">
        <v>1</v>
      </c>
      <c r="I3" s="699"/>
      <c r="J3" s="699">
        <f t="shared" si="0"/>
        <v>0</v>
      </c>
      <c r="K3" s="699">
        <v>1308</v>
      </c>
      <c r="L3" s="701">
        <f t="shared" si="1"/>
        <v>0</v>
      </c>
      <c r="M3" s="695">
        <v>45300</v>
      </c>
      <c r="N3" s="695">
        <v>45301</v>
      </c>
      <c r="O3" s="695">
        <v>45302</v>
      </c>
      <c r="P3" s="697" t="s">
        <v>161</v>
      </c>
      <c r="Q3" s="699">
        <v>1162</v>
      </c>
      <c r="R3" s="695">
        <v>45293</v>
      </c>
      <c r="S3" s="697" t="str">
        <f>IFERROR(VLOOKUP($F3,product[],6,0),"error")</f>
        <v>error</v>
      </c>
      <c r="T3" s="697"/>
      <c r="U3" s="697"/>
      <c r="V3" s="697">
        <f>YEAR(tbl_해외[[#This Row],[선적일]])</f>
        <v>2024</v>
      </c>
      <c r="W3" s="696">
        <f>IF(tbl_해외[[#This Row],[선적일]]="",0,MONTH(tbl_해외[[#This Row],[선적일]]))</f>
        <v>1</v>
      </c>
      <c r="X3" s="697" t="str">
        <f>IF($S3="카메라",VLOOKUP($F3,드롭다운!$A:$F,2,0),"")</f>
        <v/>
      </c>
      <c r="Y3" s="697" t="str">
        <f>IF($S3="카메라",VLOOKUP($F3,드롭다운!$A:$F,3,0),"")</f>
        <v/>
      </c>
      <c r="Z3" s="697" t="str">
        <f>IF($S3="카메라",VLOOKUP($F3,드롭다운!$A:$F,4,0),"")</f>
        <v/>
      </c>
      <c r="AA3" s="697" t="str">
        <f>IF($S3="카메라",VLOOKUP($F3,드롭다운!$A:$F,5,0),"")</f>
        <v/>
      </c>
      <c r="AB3" s="697"/>
      <c r="AC3" s="724"/>
    </row>
    <row r="4" spans="1:29">
      <c r="A4" s="695">
        <v>45302</v>
      </c>
      <c r="B4" s="704">
        <v>2</v>
      </c>
      <c r="C4" s="696" t="s">
        <v>7973</v>
      </c>
      <c r="D4" s="697" t="s">
        <v>151</v>
      </c>
      <c r="E4" s="697" t="s">
        <v>7531</v>
      </c>
      <c r="F4" s="697" t="s">
        <v>7534</v>
      </c>
      <c r="G4" s="697" t="s">
        <v>832</v>
      </c>
      <c r="H4" s="698">
        <v>1</v>
      </c>
      <c r="I4" s="699">
        <v>1200</v>
      </c>
      <c r="J4" s="699">
        <f t="shared" si="0"/>
        <v>1200</v>
      </c>
      <c r="K4" s="699">
        <v>1308</v>
      </c>
      <c r="L4" s="701">
        <f t="shared" si="1"/>
        <v>1569600</v>
      </c>
      <c r="M4" s="695">
        <v>45300</v>
      </c>
      <c r="N4" s="695">
        <v>45301</v>
      </c>
      <c r="O4" s="695">
        <v>45302</v>
      </c>
      <c r="P4" s="697" t="s">
        <v>161</v>
      </c>
      <c r="Q4" s="699">
        <v>0</v>
      </c>
      <c r="R4" s="695">
        <v>45293</v>
      </c>
      <c r="S4" s="697" t="str">
        <f>IFERROR(VLOOKUP($F4,product[],6,0),"error")</f>
        <v>error</v>
      </c>
      <c r="T4" s="697"/>
      <c r="U4" s="697"/>
      <c r="V4" s="697">
        <f>YEAR(tbl_해외[[#This Row],[선적일]])</f>
        <v>2024</v>
      </c>
      <c r="W4" s="696">
        <f>IF(tbl_해외[[#This Row],[선적일]]="",0,MONTH(tbl_해외[[#This Row],[선적일]]))</f>
        <v>1</v>
      </c>
      <c r="X4" s="697" t="str">
        <f>IF($S4="카메라",VLOOKUP($F4,드롭다운!$A:$F,2,0),"")</f>
        <v/>
      </c>
      <c r="Y4" s="697" t="str">
        <f>IF($S4="카메라",VLOOKUP($F4,드롭다운!$A:$F,3,0),"")</f>
        <v/>
      </c>
      <c r="Z4" s="697" t="str">
        <f>IF($S4="카메라",VLOOKUP($F4,드롭다운!$A:$F,4,0),"")</f>
        <v/>
      </c>
      <c r="AA4" s="697" t="str">
        <f>IF($S4="카메라",VLOOKUP($F4,드롭다운!$A:$F,5,0),"")</f>
        <v/>
      </c>
      <c r="AB4" s="697"/>
      <c r="AC4" s="724"/>
    </row>
    <row r="5" spans="1:29">
      <c r="A5" s="695">
        <v>45302</v>
      </c>
      <c r="B5" s="704">
        <v>3</v>
      </c>
      <c r="C5" s="696" t="s">
        <v>7974</v>
      </c>
      <c r="D5" s="697" t="s">
        <v>7586</v>
      </c>
      <c r="E5" s="697" t="s">
        <v>7529</v>
      </c>
      <c r="F5" s="697" t="s">
        <v>123</v>
      </c>
      <c r="G5" s="697" t="s">
        <v>155</v>
      </c>
      <c r="H5" s="698">
        <v>2</v>
      </c>
      <c r="I5" s="699">
        <v>3430</v>
      </c>
      <c r="J5" s="699">
        <f t="shared" si="0"/>
        <v>6860</v>
      </c>
      <c r="K5" s="699">
        <v>1302</v>
      </c>
      <c r="L5" s="701">
        <f t="shared" si="1"/>
        <v>8931720</v>
      </c>
      <c r="M5" s="695">
        <v>45300</v>
      </c>
      <c r="N5" s="695">
        <v>45301</v>
      </c>
      <c r="O5" s="695">
        <v>45302</v>
      </c>
      <c r="P5" s="697" t="s">
        <v>160</v>
      </c>
      <c r="Q5" s="699">
        <v>43270</v>
      </c>
      <c r="R5" s="695">
        <v>45300</v>
      </c>
      <c r="S5" s="697" t="str">
        <f>IFERROR(VLOOKUP($F5,product[],6,0),"error")</f>
        <v>카메라</v>
      </c>
      <c r="T5" s="697" t="s">
        <v>155</v>
      </c>
      <c r="U5" s="697"/>
      <c r="V5" s="697">
        <f>YEAR(tbl_해외[[#This Row],[선적일]])</f>
        <v>2024</v>
      </c>
      <c r="W5" s="696">
        <f>IF(tbl_해외[[#This Row],[선적일]]="",0,MONTH(tbl_해외[[#This Row],[선적일]]))</f>
        <v>1</v>
      </c>
      <c r="X5" s="697" t="str">
        <f>IF($S5="카메라",VLOOKUP($F5,드롭다운!$A:$F,2,0),"")</f>
        <v>VGA</v>
      </c>
      <c r="Y5" s="697" t="str">
        <f>IF($S5="카메라",VLOOKUP($F5,드롭다운!$A:$F,3,0),"")</f>
        <v>Security</v>
      </c>
      <c r="Z5" s="697" t="str">
        <f>IF($S5="카메라",VLOOKUP($F5,드롭다운!$A:$F,4,0),"")</f>
        <v>Analogue</v>
      </c>
      <c r="AA5" s="697">
        <f>IF($S5="카메라",VLOOKUP($F5,드롭다운!$A:$F,5,0),"")</f>
        <v>17</v>
      </c>
      <c r="AB5" s="697"/>
      <c r="AC5" s="724"/>
    </row>
    <row r="6" spans="1:29">
      <c r="A6" s="695">
        <v>45302</v>
      </c>
      <c r="B6" s="704">
        <v>3</v>
      </c>
      <c r="C6" s="696" t="s">
        <v>7974</v>
      </c>
      <c r="D6" s="697" t="s">
        <v>7586</v>
      </c>
      <c r="E6" s="697" t="s">
        <v>7529</v>
      </c>
      <c r="F6" s="697" t="s">
        <v>123</v>
      </c>
      <c r="G6" s="697" t="s">
        <v>137</v>
      </c>
      <c r="H6" s="698">
        <v>7</v>
      </c>
      <c r="I6" s="699">
        <v>3310</v>
      </c>
      <c r="J6" s="699">
        <f t="shared" si="0"/>
        <v>23170</v>
      </c>
      <c r="K6" s="699">
        <v>1302</v>
      </c>
      <c r="L6" s="701">
        <f t="shared" si="1"/>
        <v>30167340</v>
      </c>
      <c r="M6" s="695">
        <v>45300</v>
      </c>
      <c r="N6" s="695">
        <v>45301</v>
      </c>
      <c r="O6" s="695">
        <v>45302</v>
      </c>
      <c r="P6" s="697" t="s">
        <v>160</v>
      </c>
      <c r="Q6" s="699">
        <v>0</v>
      </c>
      <c r="R6" s="695">
        <v>45300</v>
      </c>
      <c r="S6" s="697" t="str">
        <f>IFERROR(VLOOKUP($F6,product[],6,0),"error")</f>
        <v>카메라</v>
      </c>
      <c r="T6" s="697" t="s">
        <v>137</v>
      </c>
      <c r="U6" s="697"/>
      <c r="V6" s="697">
        <f>YEAR(tbl_해외[[#This Row],[선적일]])</f>
        <v>2024</v>
      </c>
      <c r="W6" s="696">
        <f>IF(tbl_해외[[#This Row],[선적일]]="",0,MONTH(tbl_해외[[#This Row],[선적일]]))</f>
        <v>1</v>
      </c>
      <c r="X6" s="697" t="str">
        <f>IF($S6="카메라",VLOOKUP($F6,드롭다운!$A:$F,2,0),"")</f>
        <v>VGA</v>
      </c>
      <c r="Y6" s="697" t="str">
        <f>IF($S6="카메라",VLOOKUP($F6,드롭다운!$A:$F,3,0),"")</f>
        <v>Security</v>
      </c>
      <c r="Z6" s="697" t="str">
        <f>IF($S6="카메라",VLOOKUP($F6,드롭다운!$A:$F,4,0),"")</f>
        <v>Analogue</v>
      </c>
      <c r="AA6" s="697">
        <f>IF($S6="카메라",VLOOKUP($F6,드롭다운!$A:$F,5,0),"")</f>
        <v>17</v>
      </c>
      <c r="AB6" s="697"/>
      <c r="AC6" s="724"/>
    </row>
    <row r="7" spans="1:29">
      <c r="A7" s="695">
        <v>45302</v>
      </c>
      <c r="B7" s="704">
        <v>3</v>
      </c>
      <c r="C7" s="696" t="s">
        <v>7974</v>
      </c>
      <c r="D7" s="697" t="s">
        <v>7586</v>
      </c>
      <c r="E7" s="697" t="s">
        <v>7529</v>
      </c>
      <c r="F7" s="697" t="s">
        <v>123</v>
      </c>
      <c r="G7" s="697" t="s">
        <v>115</v>
      </c>
      <c r="H7" s="698">
        <v>4</v>
      </c>
      <c r="I7" s="699">
        <v>3310</v>
      </c>
      <c r="J7" s="699">
        <f t="shared" si="0"/>
        <v>13240</v>
      </c>
      <c r="K7" s="699">
        <v>1302</v>
      </c>
      <c r="L7" s="701">
        <f t="shared" si="1"/>
        <v>17238480</v>
      </c>
      <c r="M7" s="695">
        <v>45300</v>
      </c>
      <c r="N7" s="695">
        <v>45301</v>
      </c>
      <c r="O7" s="695">
        <v>45302</v>
      </c>
      <c r="P7" s="697" t="s">
        <v>160</v>
      </c>
      <c r="Q7" s="699">
        <v>0</v>
      </c>
      <c r="R7" s="695">
        <v>45300</v>
      </c>
      <c r="S7" s="697" t="str">
        <f>IFERROR(VLOOKUP($F7,product[],6,0),"error")</f>
        <v>카메라</v>
      </c>
      <c r="T7" s="697" t="s">
        <v>115</v>
      </c>
      <c r="U7" s="697"/>
      <c r="V7" s="697">
        <f>YEAR(tbl_해외[[#This Row],[선적일]])</f>
        <v>2024</v>
      </c>
      <c r="W7" s="696">
        <f>IF(tbl_해외[[#This Row],[선적일]]="",0,MONTH(tbl_해외[[#This Row],[선적일]]))</f>
        <v>1</v>
      </c>
      <c r="X7" s="697" t="str">
        <f>IF($S7="카메라",VLOOKUP($F7,드롭다운!$A:$F,2,0),"")</f>
        <v>VGA</v>
      </c>
      <c r="Y7" s="697" t="str">
        <f>IF($S7="카메라",VLOOKUP($F7,드롭다운!$A:$F,3,0),"")</f>
        <v>Security</v>
      </c>
      <c r="Z7" s="697" t="str">
        <f>IF($S7="카메라",VLOOKUP($F7,드롭다운!$A:$F,4,0),"")</f>
        <v>Analogue</v>
      </c>
      <c r="AA7" s="697">
        <f>IF($S7="카메라",VLOOKUP($F7,드롭다운!$A:$F,5,0),"")</f>
        <v>17</v>
      </c>
      <c r="AB7" s="697"/>
      <c r="AC7" s="724"/>
    </row>
    <row r="8" spans="1:29">
      <c r="A8" s="695">
        <v>45309</v>
      </c>
      <c r="B8" s="704">
        <v>4</v>
      </c>
      <c r="C8" s="696" t="s">
        <v>7975</v>
      </c>
      <c r="D8" s="697" t="s">
        <v>110</v>
      </c>
      <c r="E8" s="697" t="s">
        <v>7529</v>
      </c>
      <c r="F8" s="697" t="s">
        <v>49</v>
      </c>
      <c r="G8" s="697" t="s">
        <v>7513</v>
      </c>
      <c r="H8" s="698">
        <v>2</v>
      </c>
      <c r="I8" s="699">
        <v>3580</v>
      </c>
      <c r="J8" s="699">
        <f t="shared" si="0"/>
        <v>7160</v>
      </c>
      <c r="K8" s="699">
        <v>1315</v>
      </c>
      <c r="L8" s="701">
        <f t="shared" si="1"/>
        <v>9415400</v>
      </c>
      <c r="M8" s="695">
        <v>45307</v>
      </c>
      <c r="N8" s="695">
        <v>45308</v>
      </c>
      <c r="O8" s="695">
        <v>45309</v>
      </c>
      <c r="P8" s="697" t="s">
        <v>162</v>
      </c>
      <c r="Q8" s="699">
        <v>8340</v>
      </c>
      <c r="R8" s="695">
        <v>45308</v>
      </c>
      <c r="S8" s="697" t="str">
        <f>IFERROR(VLOOKUP($F8,product[],6,0),"error")</f>
        <v>카메라</v>
      </c>
      <c r="T8" s="697" t="s">
        <v>133</v>
      </c>
      <c r="U8" s="697" t="s">
        <v>125</v>
      </c>
      <c r="V8" s="697">
        <f>YEAR(tbl_해외[[#This Row],[선적일]])</f>
        <v>2024</v>
      </c>
      <c r="W8" s="696">
        <f>IF(tbl_해외[[#This Row],[선적일]]="",0,MONTH(tbl_해외[[#This Row],[선적일]]))</f>
        <v>1</v>
      </c>
      <c r="X8" s="697" t="str">
        <f>IF($S8="카메라",VLOOKUP($F8,드롭다운!$A:$F,2,0),"")</f>
        <v>VGA</v>
      </c>
      <c r="Y8" s="697" t="str">
        <f>IF($S8="카메라",VLOOKUP($F8,드롭다운!$A:$F,3,0),"")</f>
        <v>Radiometric</v>
      </c>
      <c r="Z8" s="697" t="str">
        <f>IF($S8="카메라",VLOOKUP($F8,드롭다운!$A:$F,4,0),"")</f>
        <v>Analogue</v>
      </c>
      <c r="AA8" s="697">
        <f>IF($S8="카메라",VLOOKUP($F8,드롭다운!$A:$F,5,0),"")</f>
        <v>17</v>
      </c>
      <c r="AB8" s="697"/>
      <c r="AC8" s="724"/>
    </row>
    <row r="9" spans="1:29">
      <c r="A9" s="695">
        <v>45309</v>
      </c>
      <c r="B9" s="704">
        <v>4</v>
      </c>
      <c r="C9" s="696" t="s">
        <v>7975</v>
      </c>
      <c r="D9" s="697" t="s">
        <v>110</v>
      </c>
      <c r="E9" s="697" t="s">
        <v>7533</v>
      </c>
      <c r="F9" s="697" t="s">
        <v>156</v>
      </c>
      <c r="G9" s="697" t="s">
        <v>832</v>
      </c>
      <c r="H9" s="698">
        <v>2</v>
      </c>
      <c r="I9" s="699">
        <v>590</v>
      </c>
      <c r="J9" s="699">
        <f t="shared" si="0"/>
        <v>1180</v>
      </c>
      <c r="K9" s="699">
        <v>1315</v>
      </c>
      <c r="L9" s="701">
        <f t="shared" si="1"/>
        <v>1551700</v>
      </c>
      <c r="M9" s="695">
        <v>45307</v>
      </c>
      <c r="N9" s="695">
        <v>45308</v>
      </c>
      <c r="O9" s="695">
        <v>45309</v>
      </c>
      <c r="P9" s="697" t="s">
        <v>162</v>
      </c>
      <c r="Q9" s="699">
        <v>0</v>
      </c>
      <c r="R9" s="695">
        <v>45308</v>
      </c>
      <c r="S9" s="697" t="str">
        <f>IFERROR(VLOOKUP($F9,product[],6,0),"error")</f>
        <v>error</v>
      </c>
      <c r="T9" s="697"/>
      <c r="U9" s="697"/>
      <c r="V9" s="697">
        <f>YEAR(tbl_해외[[#This Row],[선적일]])</f>
        <v>2024</v>
      </c>
      <c r="W9" s="696">
        <f>IF(tbl_해외[[#This Row],[선적일]]="",0,MONTH(tbl_해외[[#This Row],[선적일]]))</f>
        <v>1</v>
      </c>
      <c r="X9" s="697" t="str">
        <f>IF($S9="카메라",VLOOKUP($F9,드롭다운!$A:$F,2,0),"")</f>
        <v/>
      </c>
      <c r="Y9" s="697" t="str">
        <f>IF($S9="카메라",VLOOKUP($F9,드롭다운!$A:$F,3,0),"")</f>
        <v/>
      </c>
      <c r="Z9" s="697" t="str">
        <f>IF($S9="카메라",VLOOKUP($F9,드롭다운!$A:$F,4,0),"")</f>
        <v/>
      </c>
      <c r="AA9" s="697" t="str">
        <f>IF($S9="카메라",VLOOKUP($F9,드롭다운!$A:$F,5,0),"")</f>
        <v/>
      </c>
      <c r="AB9" s="697"/>
      <c r="AC9" s="724"/>
    </row>
    <row r="10" spans="1:29">
      <c r="A10" s="695">
        <v>45309</v>
      </c>
      <c r="B10" s="704">
        <v>4</v>
      </c>
      <c r="C10" s="696" t="s">
        <v>7975</v>
      </c>
      <c r="D10" s="697" t="s">
        <v>110</v>
      </c>
      <c r="E10" s="697" t="s">
        <v>7532</v>
      </c>
      <c r="F10" s="697" t="s">
        <v>147</v>
      </c>
      <c r="G10" s="697" t="s">
        <v>832</v>
      </c>
      <c r="H10" s="698">
        <v>2</v>
      </c>
      <c r="I10" s="699"/>
      <c r="J10" s="699">
        <f t="shared" si="0"/>
        <v>0</v>
      </c>
      <c r="K10" s="699">
        <v>1315</v>
      </c>
      <c r="L10" s="701">
        <f t="shared" si="1"/>
        <v>0</v>
      </c>
      <c r="M10" s="695">
        <v>45307</v>
      </c>
      <c r="N10" s="695">
        <v>45308</v>
      </c>
      <c r="O10" s="695">
        <v>45309</v>
      </c>
      <c r="P10" s="697" t="s">
        <v>162</v>
      </c>
      <c r="Q10" s="699">
        <v>0</v>
      </c>
      <c r="R10" s="695">
        <v>45308</v>
      </c>
      <c r="S10" s="697" t="str">
        <f>IFERROR(VLOOKUP($F10,product[],6,0),"error")</f>
        <v>error</v>
      </c>
      <c r="T10" s="697"/>
      <c r="U10" s="697"/>
      <c r="V10" s="697">
        <f>YEAR(tbl_해외[[#This Row],[선적일]])</f>
        <v>2024</v>
      </c>
      <c r="W10" s="696">
        <f>IF(tbl_해외[[#This Row],[선적일]]="",0,MONTH(tbl_해외[[#This Row],[선적일]]))</f>
        <v>1</v>
      </c>
      <c r="X10" s="697" t="str">
        <f>IF($S10="카메라",VLOOKUP($F10,드롭다운!$A:$F,2,0),"")</f>
        <v/>
      </c>
      <c r="Y10" s="697" t="str">
        <f>IF($S10="카메라",VLOOKUP($F10,드롭다운!$A:$F,3,0),"")</f>
        <v/>
      </c>
      <c r="Z10" s="697" t="str">
        <f>IF($S10="카메라",VLOOKUP($F10,드롭다운!$A:$F,4,0),"")</f>
        <v/>
      </c>
      <c r="AA10" s="697" t="str">
        <f>IF($S10="카메라",VLOOKUP($F10,드롭다운!$A:$F,5,0),"")</f>
        <v/>
      </c>
      <c r="AB10" s="697"/>
      <c r="AC10" s="724"/>
    </row>
    <row r="11" spans="1:29">
      <c r="A11" s="695">
        <v>45309</v>
      </c>
      <c r="B11" s="704">
        <v>4</v>
      </c>
      <c r="C11" s="696" t="s">
        <v>7975</v>
      </c>
      <c r="D11" s="697" t="s">
        <v>110</v>
      </c>
      <c r="E11" s="697" t="s">
        <v>7531</v>
      </c>
      <c r="F11" s="697" t="s">
        <v>7534</v>
      </c>
      <c r="G11" s="697" t="s">
        <v>832</v>
      </c>
      <c r="H11" s="698">
        <v>1</v>
      </c>
      <c r="I11" s="699">
        <v>1200</v>
      </c>
      <c r="J11" s="699">
        <f t="shared" si="0"/>
        <v>1200</v>
      </c>
      <c r="K11" s="699">
        <v>1315.34</v>
      </c>
      <c r="L11" s="701">
        <f t="shared" si="1"/>
        <v>1578408</v>
      </c>
      <c r="M11" s="695">
        <v>45307</v>
      </c>
      <c r="N11" s="695">
        <v>45308</v>
      </c>
      <c r="O11" s="695">
        <v>45309</v>
      </c>
      <c r="P11" s="697" t="s">
        <v>162</v>
      </c>
      <c r="Q11" s="699">
        <v>1195</v>
      </c>
      <c r="R11" s="695">
        <v>45302</v>
      </c>
      <c r="S11" s="697" t="str">
        <f>IFERROR(VLOOKUP($F11,product[],6,0),"error")</f>
        <v>error</v>
      </c>
      <c r="T11" s="697"/>
      <c r="U11" s="697"/>
      <c r="V11" s="697">
        <f>YEAR(tbl_해외[[#This Row],[선적일]])</f>
        <v>2024</v>
      </c>
      <c r="W11" s="696">
        <f>IF(tbl_해외[[#This Row],[선적일]]="",0,MONTH(tbl_해외[[#This Row],[선적일]]))</f>
        <v>1</v>
      </c>
      <c r="X11" s="697" t="str">
        <f>IF($S11="카메라",VLOOKUP($F11,드롭다운!$A:$F,2,0),"")</f>
        <v/>
      </c>
      <c r="Y11" s="697" t="str">
        <f>IF($S11="카메라",VLOOKUP($F11,드롭다운!$A:$F,3,0),"")</f>
        <v/>
      </c>
      <c r="Z11" s="697" t="str">
        <f>IF($S11="카메라",VLOOKUP($F11,드롭다운!$A:$F,4,0),"")</f>
        <v/>
      </c>
      <c r="AA11" s="697" t="str">
        <f>IF($S11="카메라",VLOOKUP($F11,드롭다운!$A:$F,5,0),"")</f>
        <v/>
      </c>
      <c r="AB11" s="697"/>
      <c r="AC11" s="724"/>
    </row>
    <row r="12" spans="1:29">
      <c r="A12" s="695">
        <v>45328</v>
      </c>
      <c r="B12" s="704">
        <v>1</v>
      </c>
      <c r="C12" s="696" t="s">
        <v>7976</v>
      </c>
      <c r="D12" s="697" t="s">
        <v>152</v>
      </c>
      <c r="E12" s="697" t="s">
        <v>7529</v>
      </c>
      <c r="F12" s="697" t="s">
        <v>122</v>
      </c>
      <c r="G12" s="697" t="s">
        <v>115</v>
      </c>
      <c r="H12" s="698">
        <v>1</v>
      </c>
      <c r="I12" s="699">
        <v>2880</v>
      </c>
      <c r="J12" s="699">
        <f t="shared" si="0"/>
        <v>2880</v>
      </c>
      <c r="K12" s="699">
        <v>1336</v>
      </c>
      <c r="L12" s="701">
        <f t="shared" si="1"/>
        <v>3847680</v>
      </c>
      <c r="M12" s="695">
        <v>45326</v>
      </c>
      <c r="N12" s="695">
        <v>45327</v>
      </c>
      <c r="O12" s="695">
        <v>45328</v>
      </c>
      <c r="P12" s="697" t="s">
        <v>164</v>
      </c>
      <c r="Q12" s="699">
        <v>2840</v>
      </c>
      <c r="R12" s="695">
        <v>45363</v>
      </c>
      <c r="S12" s="697" t="str">
        <f>IFERROR(VLOOKUP($F12,product[],6,0),"error")</f>
        <v>카메라</v>
      </c>
      <c r="T12" s="697" t="s">
        <v>115</v>
      </c>
      <c r="U12" s="697"/>
      <c r="V12" s="697">
        <f>YEAR(tbl_해외[[#This Row],[선적일]])</f>
        <v>2024</v>
      </c>
      <c r="W12" s="696">
        <f>IF(tbl_해외[[#This Row],[선적일]]="",0,MONTH(tbl_해외[[#This Row],[선적일]]))</f>
        <v>2</v>
      </c>
      <c r="X12" s="697" t="str">
        <f>IF($S12="카메라",VLOOKUP($F12,드롭다운!$A:$F,2,0),"")</f>
        <v>VGA</v>
      </c>
      <c r="Y12" s="697" t="str">
        <f>IF($S12="카메라",VLOOKUP($F12,드롭다운!$A:$F,3,0),"")</f>
        <v>Security</v>
      </c>
      <c r="Z12" s="697" t="str">
        <f>IF($S12="카메라",VLOOKUP($F12,드롭다운!$A:$F,4,0),"")</f>
        <v>Network</v>
      </c>
      <c r="AA12" s="697">
        <f>IF($S12="카메라",VLOOKUP($F12,드롭다운!$A:$F,5,0),"")</f>
        <v>12</v>
      </c>
      <c r="AB12" s="697"/>
      <c r="AC12" s="724"/>
    </row>
    <row r="13" spans="1:29">
      <c r="A13" s="695">
        <v>45328</v>
      </c>
      <c r="B13" s="704">
        <v>2</v>
      </c>
      <c r="C13" s="696" t="s">
        <v>7977</v>
      </c>
      <c r="D13" s="697" t="s">
        <v>117</v>
      </c>
      <c r="E13" s="697" t="s">
        <v>7529</v>
      </c>
      <c r="F13" s="697" t="s">
        <v>49</v>
      </c>
      <c r="G13" s="697" t="s">
        <v>7514</v>
      </c>
      <c r="H13" s="698">
        <v>3</v>
      </c>
      <c r="I13" s="699">
        <v>2445</v>
      </c>
      <c r="J13" s="699">
        <f t="shared" si="0"/>
        <v>7335</v>
      </c>
      <c r="K13" s="699">
        <v>1334</v>
      </c>
      <c r="L13" s="701">
        <f t="shared" si="1"/>
        <v>9784890</v>
      </c>
      <c r="M13" s="695">
        <v>45326</v>
      </c>
      <c r="N13" s="695">
        <v>45327</v>
      </c>
      <c r="O13" s="695">
        <v>45328</v>
      </c>
      <c r="P13" s="697" t="s">
        <v>163</v>
      </c>
      <c r="Q13" s="699">
        <v>7335</v>
      </c>
      <c r="R13" s="695">
        <v>45315</v>
      </c>
      <c r="S13" s="697" t="str">
        <f>IFERROR(VLOOKUP($F13,product[],6,0),"error")</f>
        <v>카메라</v>
      </c>
      <c r="T13" s="697" t="s">
        <v>56</v>
      </c>
      <c r="U13" s="697" t="s">
        <v>126</v>
      </c>
      <c r="V13" s="697">
        <f>YEAR(tbl_해외[[#This Row],[선적일]])</f>
        <v>2024</v>
      </c>
      <c r="W13" s="696">
        <f>IF(tbl_해외[[#This Row],[선적일]]="",0,MONTH(tbl_해외[[#This Row],[선적일]]))</f>
        <v>2</v>
      </c>
      <c r="X13" s="697" t="str">
        <f>IF($S13="카메라",VLOOKUP($F13,드롭다운!$A:$F,2,0),"")</f>
        <v>VGA</v>
      </c>
      <c r="Y13" s="697" t="str">
        <f>IF($S13="카메라",VLOOKUP($F13,드롭다운!$A:$F,3,0),"")</f>
        <v>Radiometric</v>
      </c>
      <c r="Z13" s="697" t="str">
        <f>IF($S13="카메라",VLOOKUP($F13,드롭다운!$A:$F,4,0),"")</f>
        <v>Analogue</v>
      </c>
      <c r="AA13" s="697">
        <f>IF($S13="카메라",VLOOKUP($F13,드롭다운!$A:$F,5,0),"")</f>
        <v>17</v>
      </c>
      <c r="AB13" s="697"/>
      <c r="AC13" s="724"/>
    </row>
    <row r="14" spans="1:29">
      <c r="A14" s="695">
        <v>45328</v>
      </c>
      <c r="B14" s="704">
        <v>3</v>
      </c>
      <c r="C14" s="696" t="s">
        <v>7978</v>
      </c>
      <c r="D14" s="697" t="s">
        <v>7586</v>
      </c>
      <c r="E14" s="697" t="s">
        <v>7529</v>
      </c>
      <c r="F14" s="697" t="s">
        <v>123</v>
      </c>
      <c r="G14" s="697" t="s">
        <v>137</v>
      </c>
      <c r="H14" s="698">
        <v>3</v>
      </c>
      <c r="I14" s="699">
        <v>3310</v>
      </c>
      <c r="J14" s="699">
        <f t="shared" si="0"/>
        <v>9930</v>
      </c>
      <c r="K14" s="699">
        <v>1334</v>
      </c>
      <c r="L14" s="701">
        <f t="shared" si="1"/>
        <v>13246620</v>
      </c>
      <c r="M14" s="695">
        <v>45326</v>
      </c>
      <c r="N14" s="695">
        <v>45327</v>
      </c>
      <c r="O14" s="695">
        <v>45328</v>
      </c>
      <c r="P14" s="697" t="s">
        <v>160</v>
      </c>
      <c r="Q14" s="699">
        <v>9930</v>
      </c>
      <c r="R14" s="695">
        <v>45315</v>
      </c>
      <c r="S14" s="697" t="str">
        <f>IFERROR(VLOOKUP($F14,product[],6,0),"error")</f>
        <v>카메라</v>
      </c>
      <c r="T14" s="697" t="s">
        <v>137</v>
      </c>
      <c r="U14" s="697"/>
      <c r="V14" s="697">
        <f>YEAR(tbl_해외[[#This Row],[선적일]])</f>
        <v>2024</v>
      </c>
      <c r="W14" s="696">
        <f>IF(tbl_해외[[#This Row],[선적일]]="",0,MONTH(tbl_해외[[#This Row],[선적일]]))</f>
        <v>2</v>
      </c>
      <c r="X14" s="697" t="str">
        <f>IF($S14="카메라",VLOOKUP($F14,드롭다운!$A:$F,2,0),"")</f>
        <v>VGA</v>
      </c>
      <c r="Y14" s="697" t="str">
        <f>IF($S14="카메라",VLOOKUP($F14,드롭다운!$A:$F,3,0),"")</f>
        <v>Security</v>
      </c>
      <c r="Z14" s="697" t="str">
        <f>IF($S14="카메라",VLOOKUP($F14,드롭다운!$A:$F,4,0),"")</f>
        <v>Analogue</v>
      </c>
      <c r="AA14" s="697">
        <f>IF($S14="카메라",VLOOKUP($F14,드롭다운!$A:$F,5,0),"")</f>
        <v>17</v>
      </c>
      <c r="AB14" s="697"/>
      <c r="AC14" s="724"/>
    </row>
    <row r="15" spans="1:29">
      <c r="A15" s="695">
        <v>45341</v>
      </c>
      <c r="B15" s="704">
        <v>4</v>
      </c>
      <c r="C15" s="696" t="s">
        <v>7979</v>
      </c>
      <c r="D15" s="697" t="s">
        <v>110</v>
      </c>
      <c r="E15" s="697" t="s">
        <v>7530</v>
      </c>
      <c r="F15" s="697" t="s">
        <v>7509</v>
      </c>
      <c r="G15" s="697" t="s">
        <v>832</v>
      </c>
      <c r="H15" s="698">
        <v>5</v>
      </c>
      <c r="I15" s="699">
        <v>169</v>
      </c>
      <c r="J15" s="699">
        <f t="shared" si="0"/>
        <v>845</v>
      </c>
      <c r="K15" s="699">
        <v>1331</v>
      </c>
      <c r="L15" s="701">
        <f t="shared" si="1"/>
        <v>1124695</v>
      </c>
      <c r="M15" s="695">
        <v>45339</v>
      </c>
      <c r="N15" s="695">
        <v>45340</v>
      </c>
      <c r="O15" s="695">
        <v>45341</v>
      </c>
      <c r="P15" s="697" t="s">
        <v>162</v>
      </c>
      <c r="Q15" s="699">
        <v>845</v>
      </c>
      <c r="R15" s="695">
        <v>45330</v>
      </c>
      <c r="S15" s="697" t="str">
        <f>IFERROR(VLOOKUP($F15,product[],6,0),"error")</f>
        <v>error</v>
      </c>
      <c r="T15" s="697"/>
      <c r="U15" s="697"/>
      <c r="V15" s="697">
        <f>YEAR(tbl_해외[[#This Row],[선적일]])</f>
        <v>2024</v>
      </c>
      <c r="W15" s="696">
        <f>IF(tbl_해외[[#This Row],[선적일]]="",0,MONTH(tbl_해외[[#This Row],[선적일]]))</f>
        <v>2</v>
      </c>
      <c r="X15" s="697" t="str">
        <f>IF($S15="카메라",VLOOKUP($F15,드롭다운!$A:$F,2,0),"")</f>
        <v/>
      </c>
      <c r="Y15" s="697" t="str">
        <f>IF($S15="카메라",VLOOKUP($F15,드롭다운!$A:$F,3,0),"")</f>
        <v/>
      </c>
      <c r="Z15" s="697" t="str">
        <f>IF($S15="카메라",VLOOKUP($F15,드롭다운!$A:$F,4,0),"")</f>
        <v/>
      </c>
      <c r="AA15" s="697" t="str">
        <f>IF($S15="카메라",VLOOKUP($F15,드롭다운!$A:$F,5,0),"")</f>
        <v/>
      </c>
      <c r="AB15" s="697"/>
      <c r="AC15" s="724"/>
    </row>
    <row r="16" spans="1:29">
      <c r="A16" s="695">
        <v>45359</v>
      </c>
      <c r="B16" s="704">
        <v>1</v>
      </c>
      <c r="C16" s="696" t="s">
        <v>7980</v>
      </c>
      <c r="D16" s="697" t="s">
        <v>110</v>
      </c>
      <c r="E16" s="697" t="s">
        <v>7529</v>
      </c>
      <c r="F16" s="697" t="s">
        <v>49</v>
      </c>
      <c r="G16" s="697" t="s">
        <v>7516</v>
      </c>
      <c r="H16" s="698">
        <v>1</v>
      </c>
      <c r="I16" s="699">
        <v>3580</v>
      </c>
      <c r="J16" s="699">
        <f t="shared" si="0"/>
        <v>3580</v>
      </c>
      <c r="K16" s="699">
        <v>1332</v>
      </c>
      <c r="L16" s="701">
        <f t="shared" si="1"/>
        <v>4768560</v>
      </c>
      <c r="M16" s="695">
        <v>45357</v>
      </c>
      <c r="N16" s="695">
        <v>45358</v>
      </c>
      <c r="O16" s="695">
        <v>45359</v>
      </c>
      <c r="P16" s="697" t="s">
        <v>162</v>
      </c>
      <c r="Q16" s="699">
        <v>0</v>
      </c>
      <c r="R16" s="695">
        <v>45359</v>
      </c>
      <c r="S16" s="697" t="str">
        <f>IFERROR(VLOOKUP($F16,product[],6,0),"error")</f>
        <v>카메라</v>
      </c>
      <c r="T16" s="697" t="s">
        <v>131</v>
      </c>
      <c r="U16" s="697" t="s">
        <v>125</v>
      </c>
      <c r="V16" s="697">
        <f>YEAR(tbl_해외[[#This Row],[선적일]])</f>
        <v>2024</v>
      </c>
      <c r="W16" s="696">
        <f>IF(tbl_해외[[#This Row],[선적일]]="",0,MONTH(tbl_해외[[#This Row],[선적일]]))</f>
        <v>3</v>
      </c>
      <c r="X16" s="697" t="str">
        <f>IF($S16="카메라",VLOOKUP($F16,드롭다운!$A:$F,2,0),"")</f>
        <v>VGA</v>
      </c>
      <c r="Y16" s="697" t="str">
        <f>IF($S16="카메라",VLOOKUP($F16,드롭다운!$A:$F,3,0),"")</f>
        <v>Radiometric</v>
      </c>
      <c r="Z16" s="697" t="str">
        <f>IF($S16="카메라",VLOOKUP($F16,드롭다운!$A:$F,4,0),"")</f>
        <v>Analogue</v>
      </c>
      <c r="AA16" s="697">
        <f>IF($S16="카메라",VLOOKUP($F16,드롭다운!$A:$F,5,0),"")</f>
        <v>17</v>
      </c>
      <c r="AB16" s="697"/>
      <c r="AC16" s="724"/>
    </row>
    <row r="17" spans="1:29">
      <c r="A17" s="695">
        <v>45359</v>
      </c>
      <c r="B17" s="704">
        <v>1</v>
      </c>
      <c r="C17" s="696" t="s">
        <v>7980</v>
      </c>
      <c r="D17" s="697" t="s">
        <v>110</v>
      </c>
      <c r="E17" s="697" t="s">
        <v>7529</v>
      </c>
      <c r="F17" s="697" t="s">
        <v>50</v>
      </c>
      <c r="G17" s="697" t="s">
        <v>7513</v>
      </c>
      <c r="H17" s="698">
        <v>1</v>
      </c>
      <c r="I17" s="699">
        <v>2610</v>
      </c>
      <c r="J17" s="699">
        <f t="shared" si="0"/>
        <v>2610</v>
      </c>
      <c r="K17" s="699">
        <v>1332</v>
      </c>
      <c r="L17" s="701">
        <f t="shared" si="1"/>
        <v>3476520</v>
      </c>
      <c r="M17" s="695">
        <v>45357</v>
      </c>
      <c r="N17" s="695">
        <v>45358</v>
      </c>
      <c r="O17" s="695">
        <v>45359</v>
      </c>
      <c r="P17" s="697" t="s">
        <v>162</v>
      </c>
      <c r="Q17" s="699">
        <v>6190</v>
      </c>
      <c r="R17" s="695">
        <v>45359</v>
      </c>
      <c r="S17" s="697" t="str">
        <f>IFERROR(VLOOKUP($F17,product[],6,0),"error")</f>
        <v>카메라</v>
      </c>
      <c r="T17" s="697" t="s">
        <v>133</v>
      </c>
      <c r="U17" s="697" t="s">
        <v>125</v>
      </c>
      <c r="V17" s="697">
        <f>YEAR(tbl_해외[[#This Row],[선적일]])</f>
        <v>2024</v>
      </c>
      <c r="W17" s="696">
        <f>IF(tbl_해외[[#This Row],[선적일]]="",0,MONTH(tbl_해외[[#This Row],[선적일]]))</f>
        <v>3</v>
      </c>
      <c r="X17" s="697" t="str">
        <f>IF($S17="카메라",VLOOKUP($F17,드롭다운!$A:$F,2,0),"")</f>
        <v>QVGA</v>
      </c>
      <c r="Y17" s="697" t="str">
        <f>IF($S17="카메라",VLOOKUP($F17,드롭다운!$A:$F,3,0),"")</f>
        <v>Radiometric</v>
      </c>
      <c r="Z17" s="697" t="str">
        <f>IF($S17="카메라",VLOOKUP($F17,드롭다운!$A:$F,4,0),"")</f>
        <v>Analogue</v>
      </c>
      <c r="AA17" s="697">
        <f>IF($S17="카메라",VLOOKUP($F17,드롭다운!$A:$F,5,0),"")</f>
        <v>17</v>
      </c>
      <c r="AB17" s="697"/>
      <c r="AC17" s="724"/>
    </row>
    <row r="18" spans="1:29">
      <c r="A18" s="695">
        <v>45359</v>
      </c>
      <c r="B18" s="704">
        <v>2</v>
      </c>
      <c r="C18" s="696" t="s">
        <v>7981</v>
      </c>
      <c r="D18" s="697" t="s">
        <v>153</v>
      </c>
      <c r="E18" s="697" t="s">
        <v>7529</v>
      </c>
      <c r="F18" s="697" t="s">
        <v>49</v>
      </c>
      <c r="G18" s="697" t="s">
        <v>7515</v>
      </c>
      <c r="H18" s="698">
        <v>1</v>
      </c>
      <c r="I18" s="699">
        <v>3450</v>
      </c>
      <c r="J18" s="699">
        <f t="shared" si="0"/>
        <v>3450</v>
      </c>
      <c r="K18" s="699">
        <v>1332</v>
      </c>
      <c r="L18" s="701">
        <f t="shared" si="1"/>
        <v>4595400</v>
      </c>
      <c r="M18" s="695">
        <v>45357</v>
      </c>
      <c r="N18" s="695">
        <v>45358</v>
      </c>
      <c r="O18" s="695">
        <v>45359</v>
      </c>
      <c r="P18" s="697" t="s">
        <v>165</v>
      </c>
      <c r="Q18" s="699">
        <v>3450</v>
      </c>
      <c r="R18" s="695">
        <v>45335</v>
      </c>
      <c r="S18" s="697" t="str">
        <f>IFERROR(VLOOKUP($F18,product[],6,0),"error")</f>
        <v>카메라</v>
      </c>
      <c r="T18" s="697" t="s">
        <v>56</v>
      </c>
      <c r="U18" s="697" t="s">
        <v>124</v>
      </c>
      <c r="V18" s="697">
        <f>YEAR(tbl_해외[[#This Row],[선적일]])</f>
        <v>2024</v>
      </c>
      <c r="W18" s="696">
        <f>IF(tbl_해외[[#This Row],[선적일]]="",0,MONTH(tbl_해외[[#This Row],[선적일]]))</f>
        <v>3</v>
      </c>
      <c r="X18" s="697" t="str">
        <f>IF($S18="카메라",VLOOKUP($F18,드롭다운!$A:$F,2,0),"")</f>
        <v>VGA</v>
      </c>
      <c r="Y18" s="697" t="str">
        <f>IF($S18="카메라",VLOOKUP($F18,드롭다운!$A:$F,3,0),"")</f>
        <v>Radiometric</v>
      </c>
      <c r="Z18" s="697" t="str">
        <f>IF($S18="카메라",VLOOKUP($F18,드롭다운!$A:$F,4,0),"")</f>
        <v>Analogue</v>
      </c>
      <c r="AA18" s="697">
        <f>IF($S18="카메라",VLOOKUP($F18,드롭다운!$A:$F,5,0),"")</f>
        <v>17</v>
      </c>
      <c r="AB18" s="697"/>
      <c r="AC18" s="724"/>
    </row>
    <row r="19" spans="1:29">
      <c r="A19" s="695">
        <v>45377</v>
      </c>
      <c r="B19" s="704">
        <v>4</v>
      </c>
      <c r="C19" s="696" t="s">
        <v>7983</v>
      </c>
      <c r="D19" s="697" t="s">
        <v>110</v>
      </c>
      <c r="E19" s="697" t="s">
        <v>7529</v>
      </c>
      <c r="F19" s="697" t="s">
        <v>49</v>
      </c>
      <c r="G19" s="697" t="s">
        <v>7517</v>
      </c>
      <c r="H19" s="698">
        <v>2</v>
      </c>
      <c r="I19" s="699">
        <v>3920</v>
      </c>
      <c r="J19" s="699">
        <f t="shared" si="0"/>
        <v>7840</v>
      </c>
      <c r="K19" s="699">
        <v>1333</v>
      </c>
      <c r="L19" s="701">
        <f t="shared" si="1"/>
        <v>10450720</v>
      </c>
      <c r="M19" s="695">
        <v>45375</v>
      </c>
      <c r="N19" s="695">
        <v>45376</v>
      </c>
      <c r="O19" s="695">
        <v>45377</v>
      </c>
      <c r="P19" s="697" t="s">
        <v>162</v>
      </c>
      <c r="Q19" s="699">
        <v>17348</v>
      </c>
      <c r="R19" s="695">
        <v>45376</v>
      </c>
      <c r="S19" s="697" t="str">
        <f>IFERROR(VLOOKUP($F19,product[],6,0),"error")</f>
        <v>카메라</v>
      </c>
      <c r="T19" s="697" t="s">
        <v>131</v>
      </c>
      <c r="U19" s="697" t="s">
        <v>126</v>
      </c>
      <c r="V19" s="697">
        <f>YEAR(tbl_해외[[#This Row],[선적일]])</f>
        <v>2024</v>
      </c>
      <c r="W19" s="696">
        <f>IF(tbl_해외[[#This Row],[선적일]]="",0,MONTH(tbl_해외[[#This Row],[선적일]]))</f>
        <v>3</v>
      </c>
      <c r="X19" s="697" t="str">
        <f>IF($S19="카메라",VLOOKUP($F19,드롭다운!$A:$F,2,0),"")</f>
        <v>VGA</v>
      </c>
      <c r="Y19" s="697" t="str">
        <f>IF($S19="카메라",VLOOKUP($F19,드롭다운!$A:$F,3,0),"")</f>
        <v>Radiometric</v>
      </c>
      <c r="Z19" s="697" t="str">
        <f>IF($S19="카메라",VLOOKUP($F19,드롭다운!$A:$F,4,0),"")</f>
        <v>Analogue</v>
      </c>
      <c r="AA19" s="697">
        <f>IF($S19="카메라",VLOOKUP($F19,드롭다운!$A:$F,5,0),"")</f>
        <v>17</v>
      </c>
      <c r="AB19" s="697"/>
      <c r="AC19" s="724"/>
    </row>
    <row r="20" spans="1:29">
      <c r="A20" s="695">
        <v>45377</v>
      </c>
      <c r="B20" s="704">
        <v>4</v>
      </c>
      <c r="C20" s="696" t="s">
        <v>7983</v>
      </c>
      <c r="D20" s="697" t="s">
        <v>110</v>
      </c>
      <c r="E20" s="697" t="s">
        <v>7529</v>
      </c>
      <c r="F20" s="697" t="s">
        <v>49</v>
      </c>
      <c r="G20" s="697" t="s">
        <v>7512</v>
      </c>
      <c r="H20" s="698">
        <v>2</v>
      </c>
      <c r="I20" s="699">
        <v>3580</v>
      </c>
      <c r="J20" s="699">
        <f t="shared" si="0"/>
        <v>7160</v>
      </c>
      <c r="K20" s="699">
        <v>1333</v>
      </c>
      <c r="L20" s="701">
        <f t="shared" si="1"/>
        <v>9544280</v>
      </c>
      <c r="M20" s="695">
        <v>45375</v>
      </c>
      <c r="N20" s="695">
        <v>45376</v>
      </c>
      <c r="O20" s="695">
        <v>45377</v>
      </c>
      <c r="P20" s="697" t="s">
        <v>162</v>
      </c>
      <c r="Q20" s="699">
        <v>0</v>
      </c>
      <c r="R20" s="695">
        <v>45376</v>
      </c>
      <c r="S20" s="697" t="str">
        <f>IFERROR(VLOOKUP($F20,product[],6,0),"error")</f>
        <v>카메라</v>
      </c>
      <c r="T20" s="697" t="s">
        <v>133</v>
      </c>
      <c r="U20" s="697" t="s">
        <v>126</v>
      </c>
      <c r="V20" s="697">
        <f>YEAR(tbl_해외[[#This Row],[선적일]])</f>
        <v>2024</v>
      </c>
      <c r="W20" s="696">
        <f>IF(tbl_해외[[#This Row],[선적일]]="",0,MONTH(tbl_해외[[#This Row],[선적일]]))</f>
        <v>3</v>
      </c>
      <c r="X20" s="697" t="str">
        <f>IF($S20="카메라",VLOOKUP($F20,드롭다운!$A:$F,2,0),"")</f>
        <v>VGA</v>
      </c>
      <c r="Y20" s="697" t="str">
        <f>IF($S20="카메라",VLOOKUP($F20,드롭다운!$A:$F,3,0),"")</f>
        <v>Radiometric</v>
      </c>
      <c r="Z20" s="697" t="str">
        <f>IF($S20="카메라",VLOOKUP($F20,드롭다운!$A:$F,4,0),"")</f>
        <v>Analogue</v>
      </c>
      <c r="AA20" s="697">
        <f>IF($S20="카메라",VLOOKUP($F20,드롭다운!$A:$F,5,0),"")</f>
        <v>17</v>
      </c>
      <c r="AB20" s="697"/>
      <c r="AC20" s="724"/>
    </row>
    <row r="21" spans="1:29">
      <c r="A21" s="695">
        <v>45377</v>
      </c>
      <c r="B21" s="704">
        <v>4</v>
      </c>
      <c r="C21" s="696" t="s">
        <v>7983</v>
      </c>
      <c r="D21" s="697" t="s">
        <v>110</v>
      </c>
      <c r="E21" s="697" t="s">
        <v>7533</v>
      </c>
      <c r="F21" s="697" t="s">
        <v>157</v>
      </c>
      <c r="G21" s="697" t="s">
        <v>832</v>
      </c>
      <c r="H21" s="698">
        <v>4</v>
      </c>
      <c r="I21" s="699">
        <v>590</v>
      </c>
      <c r="J21" s="699">
        <f t="shared" si="0"/>
        <v>2360</v>
      </c>
      <c r="K21" s="699">
        <v>1333</v>
      </c>
      <c r="L21" s="701">
        <f t="shared" si="1"/>
        <v>3145880</v>
      </c>
      <c r="M21" s="695">
        <v>45375</v>
      </c>
      <c r="N21" s="695">
        <v>45376</v>
      </c>
      <c r="O21" s="695">
        <v>45377</v>
      </c>
      <c r="P21" s="697" t="s">
        <v>162</v>
      </c>
      <c r="Q21" s="699">
        <v>0</v>
      </c>
      <c r="R21" s="695">
        <v>45376</v>
      </c>
      <c r="S21" s="697" t="str">
        <f>IFERROR(VLOOKUP($F21,product[],6,0),"error")</f>
        <v>error</v>
      </c>
      <c r="T21" s="697" t="s">
        <v>158</v>
      </c>
      <c r="U21" s="697"/>
      <c r="V21" s="697">
        <f>YEAR(tbl_해외[[#This Row],[선적일]])</f>
        <v>2024</v>
      </c>
      <c r="W21" s="696">
        <f>IF(tbl_해외[[#This Row],[선적일]]="",0,MONTH(tbl_해외[[#This Row],[선적일]]))</f>
        <v>3</v>
      </c>
      <c r="X21" s="697" t="str">
        <f>IF($S21="카메라",VLOOKUP($F21,드롭다운!$A:$F,2,0),"")</f>
        <v/>
      </c>
      <c r="Y21" s="697" t="str">
        <f>IF($S21="카메라",VLOOKUP($F21,드롭다운!$A:$F,3,0),"")</f>
        <v/>
      </c>
      <c r="Z21" s="697" t="str">
        <f>IF($S21="카메라",VLOOKUP($F21,드롭다운!$A:$F,4,0),"")</f>
        <v/>
      </c>
      <c r="AA21" s="697" t="str">
        <f>IF($S21="카메라",VLOOKUP($F21,드롭다운!$A:$F,5,0),"")</f>
        <v/>
      </c>
      <c r="AB21" s="697"/>
      <c r="AC21" s="724"/>
    </row>
    <row r="22" spans="1:29">
      <c r="A22" s="695">
        <v>45377</v>
      </c>
      <c r="B22" s="704">
        <v>3</v>
      </c>
      <c r="C22" s="696" t="s">
        <v>7982</v>
      </c>
      <c r="D22" s="697" t="s">
        <v>154</v>
      </c>
      <c r="E22" s="697" t="s">
        <v>7531</v>
      </c>
      <c r="F22" s="697" t="s">
        <v>7534</v>
      </c>
      <c r="G22" s="697" t="s">
        <v>832</v>
      </c>
      <c r="H22" s="698">
        <v>1</v>
      </c>
      <c r="I22" s="699">
        <v>600</v>
      </c>
      <c r="J22" s="699">
        <f t="shared" si="0"/>
        <v>600</v>
      </c>
      <c r="K22" s="699">
        <v>1333</v>
      </c>
      <c r="L22" s="701">
        <f t="shared" si="1"/>
        <v>799800</v>
      </c>
      <c r="M22" s="695">
        <v>45375</v>
      </c>
      <c r="N22" s="695">
        <v>45376</v>
      </c>
      <c r="O22" s="695">
        <v>45377</v>
      </c>
      <c r="P22" s="697" t="s">
        <v>166</v>
      </c>
      <c r="Q22" s="699">
        <v>600</v>
      </c>
      <c r="R22" s="695">
        <v>45364</v>
      </c>
      <c r="S22" s="697" t="str">
        <f>IFERROR(VLOOKUP($F22,product[],6,0),"error")</f>
        <v>error</v>
      </c>
      <c r="T22" s="697"/>
      <c r="U22" s="697"/>
      <c r="V22" s="697">
        <f>YEAR(tbl_해외[[#This Row],[선적일]])</f>
        <v>2024</v>
      </c>
      <c r="W22" s="696">
        <f>IF(tbl_해외[[#This Row],[선적일]]="",0,MONTH(tbl_해외[[#This Row],[선적일]]))</f>
        <v>3</v>
      </c>
      <c r="X22" s="697" t="str">
        <f>IF($S22="카메라",VLOOKUP($F22,드롭다운!$A:$F,2,0),"")</f>
        <v/>
      </c>
      <c r="Y22" s="697" t="str">
        <f>IF($S22="카메라",VLOOKUP($F22,드롭다운!$A:$F,3,0),"")</f>
        <v/>
      </c>
      <c r="Z22" s="697" t="str">
        <f>IF($S22="카메라",VLOOKUP($F22,드롭다운!$A:$F,4,0),"")</f>
        <v/>
      </c>
      <c r="AA22" s="697" t="str">
        <f>IF($S22="카메라",VLOOKUP($F22,드롭다운!$A:$F,5,0),"")</f>
        <v/>
      </c>
      <c r="AB22" s="697"/>
      <c r="AC22" s="724"/>
    </row>
    <row r="23" spans="1:29">
      <c r="A23" s="703">
        <v>45401</v>
      </c>
      <c r="B23" s="704">
        <v>1</v>
      </c>
      <c r="C23" s="696" t="s">
        <v>7984</v>
      </c>
      <c r="D23" s="697" t="s">
        <v>117</v>
      </c>
      <c r="E23" s="697" t="s">
        <v>7529</v>
      </c>
      <c r="F23" s="697" t="s">
        <v>49</v>
      </c>
      <c r="G23" s="697" t="s">
        <v>7515</v>
      </c>
      <c r="H23" s="698">
        <v>1</v>
      </c>
      <c r="I23" s="699">
        <v>2595</v>
      </c>
      <c r="J23" s="699">
        <f>tbl_해외[[#This Row],[수량]]*tbl_해외[[#This Row],[단가]]</f>
        <v>2595</v>
      </c>
      <c r="K23" s="700">
        <v>1356</v>
      </c>
      <c r="L23" s="701">
        <f t="shared" si="1"/>
        <v>3518820</v>
      </c>
      <c r="M23" s="695">
        <f>tbl_해외[[#This Row],[선적일]]-1</f>
        <v>45400</v>
      </c>
      <c r="N23" s="695">
        <f>tbl_해외[[#This Row],[출고예정일]]</f>
        <v>45400</v>
      </c>
      <c r="O23" s="703">
        <v>45401</v>
      </c>
      <c r="P23" s="697" t="s">
        <v>163</v>
      </c>
      <c r="Q23" s="699">
        <v>2595</v>
      </c>
      <c r="R23" s="695">
        <v>45364</v>
      </c>
      <c r="S23" s="697" t="str">
        <f>IFERROR(VLOOKUP($F23,product[],6,0),"error")</f>
        <v>카메라</v>
      </c>
      <c r="T23" s="697" t="s">
        <v>56</v>
      </c>
      <c r="U23" s="697" t="s">
        <v>124</v>
      </c>
      <c r="V23" s="697">
        <f>YEAR(tbl_해외[[#This Row],[선적일]])</f>
        <v>2024</v>
      </c>
      <c r="W23" s="696">
        <f>IF(tbl_해외[[#This Row],[선적일]]="",0,MONTH(tbl_해외[[#This Row],[선적일]]))</f>
        <v>4</v>
      </c>
      <c r="X23" s="697" t="str">
        <f>IF($S23="카메라",VLOOKUP($F23,드롭다운!$A:$F,2,0),"")</f>
        <v>VGA</v>
      </c>
      <c r="Y23" s="697" t="str">
        <f>IF($S23="카메라",VLOOKUP($F23,드롭다운!$A:$F,3,0),"")</f>
        <v>Radiometric</v>
      </c>
      <c r="Z23" s="697" t="str">
        <f>IF($S23="카메라",VLOOKUP($F23,드롭다운!$A:$F,4,0),"")</f>
        <v>Analogue</v>
      </c>
      <c r="AA23" s="697">
        <f>IF($S23="카메라",VLOOKUP($F23,드롭다운!$A:$F,5,0),"")</f>
        <v>17</v>
      </c>
      <c r="AB23" s="697"/>
      <c r="AC23" s="724"/>
    </row>
    <row r="24" spans="1:29">
      <c r="A24" s="703">
        <v>45401</v>
      </c>
      <c r="B24" s="704">
        <v>1</v>
      </c>
      <c r="C24" s="696" t="s">
        <v>7984</v>
      </c>
      <c r="D24" s="697" t="s">
        <v>117</v>
      </c>
      <c r="E24" s="697" t="s">
        <v>7529</v>
      </c>
      <c r="F24" s="697" t="s">
        <v>49</v>
      </c>
      <c r="G24" s="697" t="s">
        <v>7518</v>
      </c>
      <c r="H24" s="698">
        <v>3</v>
      </c>
      <c r="I24" s="699">
        <v>2755</v>
      </c>
      <c r="J24" s="699">
        <f>tbl_해외[[#This Row],[수량]]*tbl_해외[[#This Row],[단가]]</f>
        <v>8265</v>
      </c>
      <c r="K24" s="700">
        <v>1356</v>
      </c>
      <c r="L24" s="701">
        <f t="shared" si="1"/>
        <v>11207340</v>
      </c>
      <c r="M24" s="695">
        <f>tbl_해외[[#This Row],[선적일]]-1</f>
        <v>45400</v>
      </c>
      <c r="N24" s="695">
        <f>tbl_해외[[#This Row],[출고예정일]]</f>
        <v>45400</v>
      </c>
      <c r="O24" s="703">
        <v>45401</v>
      </c>
      <c r="P24" s="697" t="s">
        <v>163</v>
      </c>
      <c r="Q24" s="699">
        <v>8265</v>
      </c>
      <c r="R24" s="695">
        <v>45364</v>
      </c>
      <c r="S24" s="697" t="str">
        <f>IFERROR(VLOOKUP($F24,product[],6,0),"error")</f>
        <v>카메라</v>
      </c>
      <c r="T24" s="697" t="s">
        <v>181</v>
      </c>
      <c r="U24" s="697" t="s">
        <v>124</v>
      </c>
      <c r="V24" s="697">
        <f>YEAR(tbl_해외[[#This Row],[선적일]])</f>
        <v>2024</v>
      </c>
      <c r="W24" s="696">
        <f>IF(tbl_해외[[#This Row],[선적일]]="",0,MONTH(tbl_해외[[#This Row],[선적일]]))</f>
        <v>4</v>
      </c>
      <c r="X24" s="697" t="str">
        <f>IF($S24="카메라",VLOOKUP($F24,드롭다운!$A:$F,2,0),"")</f>
        <v>VGA</v>
      </c>
      <c r="Y24" s="697" t="str">
        <f>IF($S24="카메라",VLOOKUP($F24,드롭다운!$A:$F,3,0),"")</f>
        <v>Radiometric</v>
      </c>
      <c r="Z24" s="697" t="str">
        <f>IF($S24="카메라",VLOOKUP($F24,드롭다운!$A:$F,4,0),"")</f>
        <v>Analogue</v>
      </c>
      <c r="AA24" s="697">
        <f>IF($S24="카메라",VLOOKUP($F24,드롭다운!$A:$F,5,0),"")</f>
        <v>17</v>
      </c>
      <c r="AB24" s="697"/>
      <c r="AC24" s="724"/>
    </row>
    <row r="25" spans="1:29">
      <c r="A25" s="703">
        <v>45408</v>
      </c>
      <c r="B25" s="704">
        <v>2</v>
      </c>
      <c r="C25" s="696" t="s">
        <v>7985</v>
      </c>
      <c r="D25" s="697" t="s">
        <v>110</v>
      </c>
      <c r="E25" s="697" t="s">
        <v>7530</v>
      </c>
      <c r="F25" s="697" t="s">
        <v>180</v>
      </c>
      <c r="G25" s="697" t="s">
        <v>832</v>
      </c>
      <c r="H25" s="698">
        <v>1</v>
      </c>
      <c r="I25" s="699">
        <v>18</v>
      </c>
      <c r="J25" s="699">
        <f>tbl_해외[[#This Row],[수량]]*tbl_해외[[#This Row],[단가]]</f>
        <v>18</v>
      </c>
      <c r="K25" s="700">
        <v>1383</v>
      </c>
      <c r="L25" s="701">
        <f t="shared" si="1"/>
        <v>24894</v>
      </c>
      <c r="M25" s="695">
        <f>tbl_해외[[#This Row],[선적일]]-1</f>
        <v>45407</v>
      </c>
      <c r="N25" s="695">
        <f>tbl_해외[[#This Row],[출고예정일]]</f>
        <v>45407</v>
      </c>
      <c r="O25" s="703">
        <v>45408</v>
      </c>
      <c r="P25" s="697" t="s">
        <v>162</v>
      </c>
      <c r="Q25" s="699">
        <v>0</v>
      </c>
      <c r="R25" s="695">
        <v>45406</v>
      </c>
      <c r="S25" s="697" t="str">
        <f>IFERROR(VLOOKUP($F25,product[],6,0),"error")</f>
        <v>error</v>
      </c>
      <c r="T25" s="697"/>
      <c r="U25" s="697"/>
      <c r="V25" s="697">
        <f>YEAR(tbl_해외[[#This Row],[선적일]])</f>
        <v>2024</v>
      </c>
      <c r="W25" s="696">
        <f>IF(tbl_해외[[#This Row],[선적일]]="",0,MONTH(tbl_해외[[#This Row],[선적일]]))</f>
        <v>4</v>
      </c>
      <c r="X25" s="697" t="str">
        <f>IF($S25="카메라",VLOOKUP($F25,드롭다운!$A:$F,2,0),"")</f>
        <v/>
      </c>
      <c r="Y25" s="697" t="str">
        <f>IF($S25="카메라",VLOOKUP($F25,드롭다운!$A:$F,3,0),"")</f>
        <v/>
      </c>
      <c r="Z25" s="697" t="str">
        <f>IF($S25="카메라",VLOOKUP($F25,드롭다운!$A:$F,4,0),"")</f>
        <v/>
      </c>
      <c r="AA25" s="697" t="str">
        <f>IF($S25="카메라",VLOOKUP($F25,드롭다운!$A:$F,5,0),"")</f>
        <v/>
      </c>
      <c r="AB25" s="697"/>
      <c r="AC25" s="724"/>
    </row>
    <row r="26" spans="1:29">
      <c r="A26" s="703">
        <v>45408</v>
      </c>
      <c r="B26" s="704">
        <v>2</v>
      </c>
      <c r="C26" s="696" t="s">
        <v>7985</v>
      </c>
      <c r="D26" s="697" t="s">
        <v>110</v>
      </c>
      <c r="E26" s="697" t="s">
        <v>7532</v>
      </c>
      <c r="F26" s="697" t="s">
        <v>179</v>
      </c>
      <c r="G26" s="697" t="s">
        <v>832</v>
      </c>
      <c r="H26" s="698">
        <v>2</v>
      </c>
      <c r="I26" s="699">
        <v>250</v>
      </c>
      <c r="J26" s="699">
        <f>tbl_해외[[#This Row],[수량]]*tbl_해외[[#This Row],[단가]]</f>
        <v>500</v>
      </c>
      <c r="K26" s="700">
        <v>1383</v>
      </c>
      <c r="L26" s="701">
        <f t="shared" si="1"/>
        <v>691500</v>
      </c>
      <c r="M26" s="695">
        <f>tbl_해외[[#This Row],[선적일]]-1</f>
        <v>45407</v>
      </c>
      <c r="N26" s="695">
        <f>tbl_해외[[#This Row],[출고예정일]]</f>
        <v>45407</v>
      </c>
      <c r="O26" s="703">
        <v>45408</v>
      </c>
      <c r="P26" s="697" t="s">
        <v>162</v>
      </c>
      <c r="Q26" s="699">
        <v>5406</v>
      </c>
      <c r="R26" s="695">
        <v>45406</v>
      </c>
      <c r="S26" s="697" t="str">
        <f>IFERROR(VLOOKUP($F26,product[],6,0),"error")</f>
        <v>error</v>
      </c>
      <c r="T26" s="697"/>
      <c r="U26" s="697"/>
      <c r="V26" s="697">
        <f>YEAR(tbl_해외[[#This Row],[선적일]])</f>
        <v>2024</v>
      </c>
      <c r="W26" s="696">
        <f>IF(tbl_해외[[#This Row],[선적일]]="",0,MONTH(tbl_해외[[#This Row],[선적일]]))</f>
        <v>4</v>
      </c>
      <c r="X26" s="697" t="str">
        <f>IF($S26="카메라",VLOOKUP($F26,드롭다운!$A:$F,2,0),"")</f>
        <v/>
      </c>
      <c r="Y26" s="697" t="str">
        <f>IF($S26="카메라",VLOOKUP($F26,드롭다운!$A:$F,3,0),"")</f>
        <v/>
      </c>
      <c r="Z26" s="697" t="str">
        <f>IF($S26="카메라",VLOOKUP($F26,드롭다운!$A:$F,4,0),"")</f>
        <v/>
      </c>
      <c r="AA26" s="697" t="str">
        <f>IF($S26="카메라",VLOOKUP($F26,드롭다운!$A:$F,5,0),"")</f>
        <v/>
      </c>
      <c r="AB26" s="697"/>
      <c r="AC26" s="724"/>
    </row>
    <row r="27" spans="1:29">
      <c r="A27" s="703">
        <v>45408</v>
      </c>
      <c r="B27" s="704">
        <v>2</v>
      </c>
      <c r="C27" s="696" t="s">
        <v>7985</v>
      </c>
      <c r="D27" s="697" t="s">
        <v>110</v>
      </c>
      <c r="E27" s="697" t="s">
        <v>7531</v>
      </c>
      <c r="F27" s="697" t="s">
        <v>7534</v>
      </c>
      <c r="G27" s="697" t="s">
        <v>832</v>
      </c>
      <c r="H27" s="698">
        <v>1</v>
      </c>
      <c r="I27" s="699">
        <v>1700</v>
      </c>
      <c r="J27" s="699">
        <f>tbl_해외[[#This Row],[수량]]*tbl_해외[[#This Row],[단가]]</f>
        <v>1700</v>
      </c>
      <c r="K27" s="700">
        <v>1383</v>
      </c>
      <c r="L27" s="701">
        <f t="shared" si="1"/>
        <v>2351100</v>
      </c>
      <c r="M27" s="695">
        <f>tbl_해외[[#This Row],[선적일]]-1</f>
        <v>45407</v>
      </c>
      <c r="N27" s="695">
        <f>tbl_해외[[#This Row],[출고예정일]]</f>
        <v>45407</v>
      </c>
      <c r="O27" s="703">
        <v>45408</v>
      </c>
      <c r="P27" s="697" t="s">
        <v>162</v>
      </c>
      <c r="Q27" s="699">
        <v>0</v>
      </c>
      <c r="R27" s="695">
        <v>45406</v>
      </c>
      <c r="S27" s="697" t="str">
        <f>IFERROR(VLOOKUP($F27,product[],6,0),"error")</f>
        <v>error</v>
      </c>
      <c r="T27" s="697"/>
      <c r="U27" s="697"/>
      <c r="V27" s="697">
        <f>YEAR(tbl_해외[[#This Row],[선적일]])</f>
        <v>2024</v>
      </c>
      <c r="W27" s="696">
        <f>IF(tbl_해외[[#This Row],[선적일]]="",0,MONTH(tbl_해외[[#This Row],[선적일]]))</f>
        <v>4</v>
      </c>
      <c r="X27" s="697" t="str">
        <f>IF($S27="카메라",VLOOKUP($F27,드롭다운!$A:$F,2,0),"")</f>
        <v/>
      </c>
      <c r="Y27" s="697" t="str">
        <f>IF($S27="카메라",VLOOKUP($F27,드롭다운!$A:$F,3,0),"")</f>
        <v/>
      </c>
      <c r="Z27" s="697" t="str">
        <f>IF($S27="카메라",VLOOKUP($F27,드롭다운!$A:$F,4,0),"")</f>
        <v/>
      </c>
      <c r="AA27" s="697" t="str">
        <f>IF($S27="카메라",VLOOKUP($F27,드롭다운!$A:$F,5,0),"")</f>
        <v/>
      </c>
      <c r="AB27" s="697"/>
      <c r="AC27" s="724"/>
    </row>
    <row r="28" spans="1:29">
      <c r="A28" s="703">
        <v>45408</v>
      </c>
      <c r="B28" s="704">
        <v>2</v>
      </c>
      <c r="C28" s="696" t="s">
        <v>7985</v>
      </c>
      <c r="D28" s="697" t="s">
        <v>110</v>
      </c>
      <c r="E28" s="697" t="s">
        <v>7531</v>
      </c>
      <c r="F28" s="697" t="s">
        <v>7534</v>
      </c>
      <c r="G28" s="697" t="s">
        <v>832</v>
      </c>
      <c r="H28" s="698">
        <v>1</v>
      </c>
      <c r="I28" s="699">
        <v>500</v>
      </c>
      <c r="J28" s="699">
        <f>tbl_해외[[#This Row],[수량]]*tbl_해외[[#This Row],[단가]]</f>
        <v>500</v>
      </c>
      <c r="K28" s="700">
        <v>1383</v>
      </c>
      <c r="L28" s="701">
        <f t="shared" si="1"/>
        <v>691500</v>
      </c>
      <c r="M28" s="695">
        <f>tbl_해외[[#This Row],[선적일]]-1</f>
        <v>45407</v>
      </c>
      <c r="N28" s="695">
        <f>tbl_해외[[#This Row],[출고예정일]]</f>
        <v>45407</v>
      </c>
      <c r="O28" s="703">
        <v>45408</v>
      </c>
      <c r="P28" s="697" t="s">
        <v>162</v>
      </c>
      <c r="Q28" s="699">
        <v>0</v>
      </c>
      <c r="R28" s="695">
        <v>45406</v>
      </c>
      <c r="S28" s="697" t="str">
        <f>IFERROR(VLOOKUP($F28,product[],6,0),"error")</f>
        <v>error</v>
      </c>
      <c r="T28" s="697"/>
      <c r="U28" s="697"/>
      <c r="V28" s="697">
        <f>YEAR(tbl_해외[[#This Row],[선적일]])</f>
        <v>2024</v>
      </c>
      <c r="W28" s="696">
        <f>IF(tbl_해외[[#This Row],[선적일]]="",0,MONTH(tbl_해외[[#This Row],[선적일]]))</f>
        <v>4</v>
      </c>
      <c r="X28" s="697" t="str">
        <f>IF($S28="카메라",VLOOKUP($F28,드롭다운!$A:$F,2,0),"")</f>
        <v/>
      </c>
      <c r="Y28" s="697" t="str">
        <f>IF($S28="카메라",VLOOKUP($F28,드롭다운!$A:$F,3,0),"")</f>
        <v/>
      </c>
      <c r="Z28" s="697" t="str">
        <f>IF($S28="카메라",VLOOKUP($F28,드롭다운!$A:$F,4,0),"")</f>
        <v/>
      </c>
      <c r="AA28" s="697" t="str">
        <f>IF($S28="카메라",VLOOKUP($F28,드롭다운!$A:$F,5,0),"")</f>
        <v/>
      </c>
      <c r="AB28" s="697"/>
      <c r="AC28" s="724"/>
    </row>
    <row r="29" spans="1:29">
      <c r="A29" s="703">
        <v>45408</v>
      </c>
      <c r="B29" s="704">
        <v>2</v>
      </c>
      <c r="C29" s="696" t="s">
        <v>7985</v>
      </c>
      <c r="D29" s="697" t="s">
        <v>110</v>
      </c>
      <c r="E29" s="697" t="s">
        <v>7529</v>
      </c>
      <c r="F29" s="697" t="s">
        <v>50</v>
      </c>
      <c r="G29" s="697" t="s">
        <v>7520</v>
      </c>
      <c r="H29" s="698">
        <v>1</v>
      </c>
      <c r="I29" s="699">
        <v>2700</v>
      </c>
      <c r="J29" s="699">
        <f>tbl_해외[[#This Row],[수량]]*tbl_해외[[#This Row],[단가]]</f>
        <v>2700</v>
      </c>
      <c r="K29" s="700">
        <v>1383</v>
      </c>
      <c r="L29" s="701">
        <f t="shared" si="1"/>
        <v>3734100</v>
      </c>
      <c r="M29" s="695">
        <f>tbl_해외[[#This Row],[선적일]]-1</f>
        <v>45407</v>
      </c>
      <c r="N29" s="695">
        <f>tbl_해외[[#This Row],[출고예정일]]</f>
        <v>45407</v>
      </c>
      <c r="O29" s="703">
        <v>45408</v>
      </c>
      <c r="P29" s="697" t="s">
        <v>162</v>
      </c>
      <c r="Q29" s="699">
        <v>0</v>
      </c>
      <c r="R29" s="695">
        <v>45406</v>
      </c>
      <c r="S29" s="697" t="str">
        <f>IFERROR(VLOOKUP($F29,product[],6,0),"error")</f>
        <v>카메라</v>
      </c>
      <c r="T29" s="697" t="s">
        <v>51</v>
      </c>
      <c r="U29" s="697" t="s">
        <v>125</v>
      </c>
      <c r="V29" s="697">
        <f>YEAR(tbl_해외[[#This Row],[선적일]])</f>
        <v>2024</v>
      </c>
      <c r="W29" s="696">
        <f>IF(tbl_해외[[#This Row],[선적일]]="",0,MONTH(tbl_해외[[#This Row],[선적일]]))</f>
        <v>4</v>
      </c>
      <c r="X29" s="697" t="str">
        <f>IF($S29="카메라",VLOOKUP($F29,드롭다운!$A:$F,2,0),"")</f>
        <v>QVGA</v>
      </c>
      <c r="Y29" s="697" t="str">
        <f>IF($S29="카메라",VLOOKUP($F29,드롭다운!$A:$F,3,0),"")</f>
        <v>Radiometric</v>
      </c>
      <c r="Z29" s="697" t="str">
        <f>IF($S29="카메라",VLOOKUP($F29,드롭다운!$A:$F,4,0),"")</f>
        <v>Analogue</v>
      </c>
      <c r="AA29" s="697">
        <f>IF($S29="카메라",VLOOKUP($F29,드롭다운!$A:$F,5,0),"")</f>
        <v>17</v>
      </c>
      <c r="AB29" s="697"/>
      <c r="AC29" s="724"/>
    </row>
    <row r="30" spans="1:29">
      <c r="A30" s="703">
        <v>45408</v>
      </c>
      <c r="B30" s="704">
        <v>3</v>
      </c>
      <c r="C30" s="696" t="s">
        <v>7986</v>
      </c>
      <c r="D30" s="709" t="s">
        <v>1089</v>
      </c>
      <c r="E30" s="697" t="s">
        <v>7529</v>
      </c>
      <c r="F30" s="697" t="s">
        <v>103</v>
      </c>
      <c r="G30" s="697" t="s">
        <v>7519</v>
      </c>
      <c r="H30" s="698">
        <v>2</v>
      </c>
      <c r="I30" s="699">
        <v>2882</v>
      </c>
      <c r="J30" s="699">
        <f>tbl_해외[[#This Row],[수량]]*tbl_해외[[#This Row],[단가]]</f>
        <v>5764</v>
      </c>
      <c r="K30" s="700">
        <v>1383</v>
      </c>
      <c r="L30" s="701">
        <f t="shared" si="1"/>
        <v>7971612</v>
      </c>
      <c r="M30" s="695">
        <f>tbl_해외[[#This Row],[선적일]]-1</f>
        <v>45407</v>
      </c>
      <c r="N30" s="695">
        <f>tbl_해외[[#This Row],[출고예정일]]</f>
        <v>45407</v>
      </c>
      <c r="O30" s="703">
        <v>45408</v>
      </c>
      <c r="P30" s="697" t="s">
        <v>223</v>
      </c>
      <c r="Q30" s="699">
        <v>5734</v>
      </c>
      <c r="R30" s="695">
        <v>45393</v>
      </c>
      <c r="S30" s="697" t="str">
        <f>IFERROR(VLOOKUP($F30,product[],6,0),"error")</f>
        <v>카메라</v>
      </c>
      <c r="T30" s="697" t="s">
        <v>182</v>
      </c>
      <c r="U30" s="697" t="s">
        <v>126</v>
      </c>
      <c r="V30" s="697">
        <f>YEAR(tbl_해외[[#This Row],[선적일]])</f>
        <v>2024</v>
      </c>
      <c r="W30" s="696">
        <f>IF(tbl_해외[[#This Row],[선적일]]="",0,MONTH(tbl_해외[[#This Row],[선적일]]))</f>
        <v>4</v>
      </c>
      <c r="X30" s="697" t="str">
        <f>IF($S30="카메라",VLOOKUP($F30,드롭다운!$A:$F,2,0),"")</f>
        <v>VGA</v>
      </c>
      <c r="Y30" s="697" t="str">
        <f>IF($S30="카메라",VLOOKUP($F30,드롭다운!$A:$F,3,0),"")</f>
        <v>Radiometric</v>
      </c>
      <c r="Z30" s="697" t="str">
        <f>IF($S30="카메라",VLOOKUP($F30,드롭다운!$A:$F,4,0),"")</f>
        <v>Network</v>
      </c>
      <c r="AA30" s="697">
        <f>IF($S30="카메라",VLOOKUP($F30,드롭다운!$A:$F,5,0),"")</f>
        <v>17</v>
      </c>
      <c r="AB30" s="697"/>
      <c r="AC30" s="724"/>
    </row>
    <row r="31" spans="1:29">
      <c r="A31" s="703">
        <v>45422</v>
      </c>
      <c r="B31" s="704">
        <v>1</v>
      </c>
      <c r="C31" s="696" t="s">
        <v>7987</v>
      </c>
      <c r="D31" s="697" t="s">
        <v>110</v>
      </c>
      <c r="E31" s="697" t="s">
        <v>7533</v>
      </c>
      <c r="F31" s="697" t="s">
        <v>222</v>
      </c>
      <c r="G31" s="697" t="s">
        <v>832</v>
      </c>
      <c r="H31" s="698">
        <v>2</v>
      </c>
      <c r="I31" s="699">
        <v>590</v>
      </c>
      <c r="J31" s="699">
        <f>H31*I31</f>
        <v>1180</v>
      </c>
      <c r="K31" s="700">
        <v>1377.78</v>
      </c>
      <c r="L31" s="701">
        <f t="shared" si="1"/>
        <v>1625780.4</v>
      </c>
      <c r="M31" s="695">
        <f>tbl_해외[[#This Row],[선적일]]-1</f>
        <v>45421</v>
      </c>
      <c r="N31" s="695">
        <f>tbl_해외[[#This Row],[출고예정일]]</f>
        <v>45421</v>
      </c>
      <c r="O31" s="703">
        <v>45422</v>
      </c>
      <c r="P31" s="697" t="s">
        <v>162</v>
      </c>
      <c r="Q31" s="699">
        <v>1168</v>
      </c>
      <c r="R31" s="695">
        <v>45420</v>
      </c>
      <c r="S31" s="697" t="str">
        <f>IFERROR(VLOOKUP($F31,product[],6,0),"error")</f>
        <v>error</v>
      </c>
      <c r="T31" s="697" t="s">
        <v>158</v>
      </c>
      <c r="U31" s="697"/>
      <c r="V31" s="697">
        <f>YEAR(tbl_해외[[#This Row],[선적일]])</f>
        <v>2024</v>
      </c>
      <c r="W31" s="696">
        <f>IF(tbl_해외[[#This Row],[선적일]]="",0,MONTH(tbl_해외[[#This Row],[선적일]]))</f>
        <v>5</v>
      </c>
      <c r="X31" s="697" t="str">
        <f>IF($S31="카메라",VLOOKUP($F31,드롭다운!$A:$F,2,0),"")</f>
        <v/>
      </c>
      <c r="Y31" s="697" t="str">
        <f>IF($S31="카메라",VLOOKUP($F31,드롭다운!$A:$F,3,0),"")</f>
        <v/>
      </c>
      <c r="Z31" s="697" t="str">
        <f>IF($S31="카메라",VLOOKUP($F31,드롭다운!$A:$F,4,0),"")</f>
        <v/>
      </c>
      <c r="AA31" s="697" t="str">
        <f>IF($S31="카메라",VLOOKUP($F31,드롭다운!$A:$F,5,0),"")</f>
        <v/>
      </c>
      <c r="AB31" s="697"/>
      <c r="AC31" s="724"/>
    </row>
    <row r="32" spans="1:29">
      <c r="A32" s="703">
        <v>45443</v>
      </c>
      <c r="B32" s="704">
        <v>2</v>
      </c>
      <c r="C32" s="696" t="s">
        <v>7988</v>
      </c>
      <c r="D32" s="697" t="s">
        <v>110</v>
      </c>
      <c r="E32" s="697" t="s">
        <v>7530</v>
      </c>
      <c r="F32" s="697" t="s">
        <v>224</v>
      </c>
      <c r="G32" s="697" t="s">
        <v>225</v>
      </c>
      <c r="H32" s="698">
        <v>1</v>
      </c>
      <c r="I32" s="699">
        <v>233</v>
      </c>
      <c r="J32" s="699">
        <f>H32*I32</f>
        <v>233</v>
      </c>
      <c r="K32" s="700">
        <v>1360.68</v>
      </c>
      <c r="L32" s="701">
        <f t="shared" si="1"/>
        <v>317038.44</v>
      </c>
      <c r="M32" s="695">
        <v>45441</v>
      </c>
      <c r="N32" s="695">
        <v>45441</v>
      </c>
      <c r="O32" s="703">
        <v>45443</v>
      </c>
      <c r="P32" s="697" t="s">
        <v>162</v>
      </c>
      <c r="Q32" s="699">
        <v>1421</v>
      </c>
      <c r="R32" s="695">
        <v>45440</v>
      </c>
      <c r="S32" s="697" t="str">
        <f>IFERROR(VLOOKUP($F32,product[],6,0),"error")</f>
        <v>error</v>
      </c>
      <c r="T32" s="697"/>
      <c r="U32" s="697"/>
      <c r="V32" s="697">
        <f>YEAR(tbl_해외[[#This Row],[선적일]])</f>
        <v>2024</v>
      </c>
      <c r="W32" s="696">
        <f>IF(tbl_해외[[#This Row],[선적일]]="",0,MONTH(tbl_해외[[#This Row],[선적일]]))</f>
        <v>5</v>
      </c>
      <c r="X32" s="697" t="str">
        <f>IF($S32="카메라",VLOOKUP($F32,드롭다운!$A:$F,2,0),"")</f>
        <v/>
      </c>
      <c r="Y32" s="697" t="str">
        <f>IF($S32="카메라",VLOOKUP($F32,드롭다운!$A:$F,3,0),"")</f>
        <v/>
      </c>
      <c r="Z32" s="697" t="str">
        <f>IF($S32="카메라",VLOOKUP($F32,드롭다운!$A:$F,4,0),"")</f>
        <v/>
      </c>
      <c r="AA32" s="697" t="str">
        <f>IF($S32="카메라",VLOOKUP($F32,드롭다운!$A:$F,5,0),"")</f>
        <v/>
      </c>
      <c r="AB32" s="697"/>
      <c r="AC32" s="724"/>
    </row>
    <row r="33" spans="1:29">
      <c r="A33" s="703">
        <v>45443</v>
      </c>
      <c r="B33" s="704">
        <v>2</v>
      </c>
      <c r="C33" s="696" t="s">
        <v>7988</v>
      </c>
      <c r="D33" s="697" t="s">
        <v>110</v>
      </c>
      <c r="E33" s="697" t="s">
        <v>7531</v>
      </c>
      <c r="F33" s="697" t="s">
        <v>7534</v>
      </c>
      <c r="G33" s="697" t="s">
        <v>832</v>
      </c>
      <c r="H33" s="698">
        <v>1</v>
      </c>
      <c r="I33" s="699">
        <v>1200</v>
      </c>
      <c r="J33" s="699">
        <f>H33*I33</f>
        <v>1200</v>
      </c>
      <c r="K33" s="700">
        <v>1360.68</v>
      </c>
      <c r="L33" s="701">
        <f t="shared" si="1"/>
        <v>1632816</v>
      </c>
      <c r="M33" s="695">
        <v>45441</v>
      </c>
      <c r="N33" s="695">
        <v>45441</v>
      </c>
      <c r="O33" s="703">
        <v>45443</v>
      </c>
      <c r="P33" s="697" t="s">
        <v>162</v>
      </c>
      <c r="Q33" s="699">
        <v>0</v>
      </c>
      <c r="R33" s="695">
        <v>45440</v>
      </c>
      <c r="S33" s="697" t="str">
        <f>IFERROR(VLOOKUP($F33,product[],6,0),"error")</f>
        <v>error</v>
      </c>
      <c r="T33" s="697"/>
      <c r="U33" s="697"/>
      <c r="V33" s="697">
        <f>YEAR(tbl_해외[[#This Row],[선적일]])</f>
        <v>2024</v>
      </c>
      <c r="W33" s="696">
        <f>IF(tbl_해외[[#This Row],[선적일]]="",0,MONTH(tbl_해외[[#This Row],[선적일]]))</f>
        <v>5</v>
      </c>
      <c r="X33" s="697" t="str">
        <f>IF($S33="카메라",VLOOKUP($F33,드롭다운!$A:$F,2,0),"")</f>
        <v/>
      </c>
      <c r="Y33" s="697" t="str">
        <f>IF($S33="카메라",VLOOKUP($F33,드롭다운!$A:$F,3,0),"")</f>
        <v/>
      </c>
      <c r="Z33" s="697" t="str">
        <f>IF($S33="카메라",VLOOKUP($F33,드롭다운!$A:$F,4,0),"")</f>
        <v/>
      </c>
      <c r="AA33" s="697" t="str">
        <f>IF($S33="카메라",VLOOKUP($F33,드롭다운!$A:$F,5,0),"")</f>
        <v/>
      </c>
      <c r="AB33" s="697"/>
      <c r="AC33" s="724"/>
    </row>
    <row r="34" spans="1:29">
      <c r="A34" s="695">
        <v>45461</v>
      </c>
      <c r="B34" s="704">
        <v>1</v>
      </c>
      <c r="C34" s="696" t="s">
        <v>7989</v>
      </c>
      <c r="D34" s="697" t="s">
        <v>232</v>
      </c>
      <c r="E34" s="697" t="s">
        <v>7533</v>
      </c>
      <c r="F34" s="697" t="s">
        <v>244</v>
      </c>
      <c r="G34" s="697" t="s">
        <v>832</v>
      </c>
      <c r="H34" s="698">
        <v>2</v>
      </c>
      <c r="I34" s="699">
        <v>1190</v>
      </c>
      <c r="J34" s="699">
        <f>tbl_해외[[#This Row],[수량]]*tbl_해외[[#This Row],[단가]]</f>
        <v>2380</v>
      </c>
      <c r="K34" s="700">
        <v>1374.2</v>
      </c>
      <c r="L34" s="701">
        <f>tbl_해외[[#This Row],[금액]]*tbl_해외[[#This Row],[환율(원/달러)]]</f>
        <v>3270596</v>
      </c>
      <c r="M34" s="695">
        <v>45461</v>
      </c>
      <c r="N34" s="695">
        <v>45461</v>
      </c>
      <c r="O34" s="695">
        <v>45461</v>
      </c>
      <c r="P34" s="697" t="s">
        <v>162</v>
      </c>
      <c r="Q34" s="699">
        <v>0</v>
      </c>
      <c r="R34" s="695">
        <v>45456</v>
      </c>
      <c r="S34" s="697" t="str">
        <f>IFERROR(VLOOKUP($F34,product[],6,0),"error")</f>
        <v>error</v>
      </c>
      <c r="T34" s="697"/>
      <c r="U34" s="697"/>
      <c r="V34" s="697">
        <f>YEAR(tbl_해외[[#This Row],[선적일]])</f>
        <v>2024</v>
      </c>
      <c r="W34" s="696">
        <f>IF(tbl_해외[[#This Row],[선적일]]="",0,MONTH(tbl_해외[[#This Row],[선적일]]))</f>
        <v>6</v>
      </c>
      <c r="X34" s="697" t="str">
        <f>IF($S34="카메라",VLOOKUP($F34,드롭다운!$A:$F,2,0),"")</f>
        <v/>
      </c>
      <c r="Y34" s="697" t="str">
        <f>IF($S34="카메라",VLOOKUP($F34,드롭다운!$A:$F,3,0),"")</f>
        <v/>
      </c>
      <c r="Z34" s="697" t="str">
        <f>IF($S34="카메라",VLOOKUP($F34,드롭다운!$A:$F,4,0),"")</f>
        <v/>
      </c>
      <c r="AA34" s="697" t="str">
        <f>IF($S34="카메라",VLOOKUP($F34,드롭다운!$A:$F,5,0),"")</f>
        <v/>
      </c>
      <c r="AB34" s="697"/>
      <c r="AC34" s="724"/>
    </row>
    <row r="35" spans="1:29">
      <c r="A35" s="695">
        <v>45461</v>
      </c>
      <c r="B35" s="704">
        <v>1</v>
      </c>
      <c r="C35" s="696" t="s">
        <v>7989</v>
      </c>
      <c r="D35" s="697" t="s">
        <v>232</v>
      </c>
      <c r="E35" s="697" t="s">
        <v>7529</v>
      </c>
      <c r="F35" s="697" t="s">
        <v>241</v>
      </c>
      <c r="G35" s="697" t="s">
        <v>8186</v>
      </c>
      <c r="H35" s="698">
        <v>2</v>
      </c>
      <c r="I35" s="699">
        <v>3920</v>
      </c>
      <c r="J35" s="699">
        <f>tbl_해외[[#This Row],[수량]]*tbl_해외[[#This Row],[단가]]</f>
        <v>7840</v>
      </c>
      <c r="K35" s="700">
        <v>1374.2</v>
      </c>
      <c r="L35" s="701">
        <f>tbl_해외[[#This Row],[금액]]*tbl_해외[[#This Row],[환율(원/달러)]]</f>
        <v>10773728</v>
      </c>
      <c r="M35" s="695">
        <v>45461</v>
      </c>
      <c r="N35" s="695">
        <v>45461</v>
      </c>
      <c r="O35" s="695">
        <v>45461</v>
      </c>
      <c r="P35" s="697" t="s">
        <v>162</v>
      </c>
      <c r="Q35" s="699">
        <v>10208</v>
      </c>
      <c r="R35" s="695">
        <v>45456</v>
      </c>
      <c r="S35" s="697" t="str">
        <f>IFERROR(VLOOKUP($F35,product[],6,0),"error")</f>
        <v>카메라</v>
      </c>
      <c r="T35" s="697" t="s">
        <v>242</v>
      </c>
      <c r="U35" s="697" t="s">
        <v>243</v>
      </c>
      <c r="V35" s="697">
        <f>YEAR(tbl_해외[[#This Row],[선적일]])</f>
        <v>2024</v>
      </c>
      <c r="W35" s="696">
        <f>IF(tbl_해외[[#This Row],[선적일]]="",0,MONTH(tbl_해외[[#This Row],[선적일]]))</f>
        <v>6</v>
      </c>
      <c r="X35" s="697" t="str">
        <f>IF($S35="카메라",VLOOKUP($F35,드롭다운!$A:$F,2,0),"")</f>
        <v>VGA</v>
      </c>
      <c r="Y35" s="697" t="str">
        <f>IF($S35="카메라",VLOOKUP($F35,드롭다운!$A:$F,3,0),"")</f>
        <v>Radiometric</v>
      </c>
      <c r="Z35" s="697" t="str">
        <f>IF($S35="카메라",VLOOKUP($F35,드롭다운!$A:$F,4,0),"")</f>
        <v>Analogue</v>
      </c>
      <c r="AA35" s="697">
        <f>IF($S35="카메라",VLOOKUP($F35,드롭다운!$A:$F,5,0),"")</f>
        <v>17</v>
      </c>
      <c r="AB35" s="697"/>
      <c r="AC35" s="724"/>
    </row>
    <row r="36" spans="1:29">
      <c r="A36" s="695">
        <v>45461</v>
      </c>
      <c r="B36" s="704">
        <v>1</v>
      </c>
      <c r="C36" s="696" t="s">
        <v>7989</v>
      </c>
      <c r="D36" s="697" t="s">
        <v>232</v>
      </c>
      <c r="E36" s="697" t="s">
        <v>7533</v>
      </c>
      <c r="F36" s="697" t="s">
        <v>7639</v>
      </c>
      <c r="G36" s="697" t="s">
        <v>8227</v>
      </c>
      <c r="H36" s="698">
        <v>2</v>
      </c>
      <c r="I36" s="699">
        <v>1190</v>
      </c>
      <c r="J36" s="699">
        <f>tbl_해외[[#This Row],[수량]]*tbl_해외[[#This Row],[단가]]</f>
        <v>2380</v>
      </c>
      <c r="K36" s="700">
        <v>1374.2</v>
      </c>
      <c r="L36" s="701">
        <f>tbl_해외[[#This Row],[금액]]*tbl_해외[[#This Row],[환율(원/달러)]]</f>
        <v>3270596</v>
      </c>
      <c r="M36" s="695">
        <v>45461</v>
      </c>
      <c r="N36" s="695">
        <v>45461</v>
      </c>
      <c r="O36" s="695">
        <v>45461</v>
      </c>
      <c r="P36" s="697" t="s">
        <v>162</v>
      </c>
      <c r="Q36" s="699"/>
      <c r="R36" s="695">
        <v>45456</v>
      </c>
      <c r="S36" s="697" t="str">
        <f>IFERROR(VLOOKUP($F36,product[],6,0),"error")</f>
        <v>error</v>
      </c>
      <c r="T36" s="697" t="s">
        <v>242</v>
      </c>
      <c r="U36" s="697" t="s">
        <v>243</v>
      </c>
      <c r="V36" s="697">
        <f>YEAR(tbl_해외[[#This Row],[선적일]])</f>
        <v>2024</v>
      </c>
      <c r="W36" s="696">
        <f>IF(tbl_해외[[#This Row],[선적일]]="",0,MONTH(tbl_해외[[#This Row],[선적일]]))</f>
        <v>6</v>
      </c>
      <c r="X36" s="697" t="str">
        <f>IF($S36="카메라",VLOOKUP($F36,드롭다운!$A:$F,2,0),"")</f>
        <v/>
      </c>
      <c r="Y36" s="697" t="str">
        <f>IF($S36="카메라",VLOOKUP($F36,드롭다운!$A:$F,3,0),"")</f>
        <v/>
      </c>
      <c r="Z36" s="697" t="str">
        <f>IF($S36="카메라",VLOOKUP($F36,드롭다운!$A:$F,4,0),"")</f>
        <v/>
      </c>
      <c r="AA36" s="697" t="str">
        <f>IF($S36="카메라",VLOOKUP($F36,드롭다운!$A:$F,5,0),"")</f>
        <v/>
      </c>
      <c r="AB36" s="697"/>
      <c r="AC36" s="724"/>
    </row>
    <row r="37" spans="1:29">
      <c r="A37" s="703">
        <v>45503</v>
      </c>
      <c r="B37" s="704">
        <v>1</v>
      </c>
      <c r="C37" s="696" t="s">
        <v>7990</v>
      </c>
      <c r="D37" s="697" t="s">
        <v>261</v>
      </c>
      <c r="E37" s="697" t="s">
        <v>7533</v>
      </c>
      <c r="F37" s="697" t="s">
        <v>265</v>
      </c>
      <c r="G37" s="697" t="s">
        <v>832</v>
      </c>
      <c r="H37" s="698">
        <v>1</v>
      </c>
      <c r="I37" s="699">
        <v>740</v>
      </c>
      <c r="J37" s="699">
        <f>tbl_해외[[#This Row],[수량]]*tbl_해외[[#This Row],[단가]]</f>
        <v>740</v>
      </c>
      <c r="K37" s="700">
        <v>1386.16</v>
      </c>
      <c r="L37" s="701">
        <f>tbl_해외[[#This Row],[금액]]*tbl_해외[[#This Row],[환율(원/달러)]]</f>
        <v>1025758.4</v>
      </c>
      <c r="M37" s="695">
        <f>tbl_해외[[#This Row],[발주일]]-1</f>
        <v>45502</v>
      </c>
      <c r="N37" s="695">
        <f>tbl_해외[[#This Row],[발주일]]</f>
        <v>45503</v>
      </c>
      <c r="O37" s="703">
        <v>45503</v>
      </c>
      <c r="P37" s="697" t="s">
        <v>165</v>
      </c>
      <c r="Q37" s="699">
        <v>0</v>
      </c>
      <c r="R37" s="695">
        <v>45406</v>
      </c>
      <c r="S37" s="697" t="str">
        <f>IFERROR(VLOOKUP($F37,product[],6,0),"error")</f>
        <v>error</v>
      </c>
      <c r="T37" s="697"/>
      <c r="U37" s="697"/>
      <c r="V37" s="697">
        <f>YEAR(tbl_해외[[#This Row],[선적일]])</f>
        <v>2024</v>
      </c>
      <c r="W37" s="696">
        <f>IF(tbl_해외[[#This Row],[선적일]]="",0,MONTH(tbl_해외[[#This Row],[선적일]]))</f>
        <v>7</v>
      </c>
      <c r="X37" s="697" t="str">
        <f>IF($S37="카메라",VLOOKUP($F37,드롭다운!$A:$F,2,0),"")</f>
        <v/>
      </c>
      <c r="Y37" s="697" t="str">
        <f>IF($S37="카메라",VLOOKUP($F37,드롭다운!$A:$F,3,0),"")</f>
        <v/>
      </c>
      <c r="Z37" s="697" t="str">
        <f>IF($S37="카메라",VLOOKUP($F37,드롭다운!$A:$F,4,0),"")</f>
        <v/>
      </c>
      <c r="AA37" s="697" t="str">
        <f>IF($S37="카메라",VLOOKUP($F37,드롭다운!$A:$F,5,0),"")</f>
        <v/>
      </c>
      <c r="AB37" s="697"/>
      <c r="AC37" s="724"/>
    </row>
    <row r="38" spans="1:29">
      <c r="A38" s="703">
        <v>45503</v>
      </c>
      <c r="B38" s="704">
        <v>1</v>
      </c>
      <c r="C38" s="696" t="s">
        <v>7990</v>
      </c>
      <c r="D38" s="697" t="s">
        <v>261</v>
      </c>
      <c r="E38" s="697" t="s">
        <v>7532</v>
      </c>
      <c r="F38" s="697" t="s">
        <v>264</v>
      </c>
      <c r="G38" s="697" t="s">
        <v>832</v>
      </c>
      <c r="H38" s="698">
        <v>1</v>
      </c>
      <c r="I38" s="699">
        <v>1640</v>
      </c>
      <c r="J38" s="699">
        <f>tbl_해외[[#This Row],[수량]]*tbl_해외[[#This Row],[단가]]</f>
        <v>1640</v>
      </c>
      <c r="K38" s="700">
        <v>1386.16</v>
      </c>
      <c r="L38" s="701">
        <f>tbl_해외[[#This Row],[금액]]*tbl_해외[[#This Row],[환율(원/달러)]]</f>
        <v>2273302.4</v>
      </c>
      <c r="M38" s="695">
        <f>tbl_해외[[#This Row],[발주일]]-1</f>
        <v>45502</v>
      </c>
      <c r="N38" s="695">
        <f>tbl_해외[[#This Row],[발주일]]</f>
        <v>45503</v>
      </c>
      <c r="O38" s="703">
        <v>45503</v>
      </c>
      <c r="P38" s="697" t="s">
        <v>165</v>
      </c>
      <c r="Q38" s="699">
        <v>0</v>
      </c>
      <c r="R38" s="695">
        <v>45406</v>
      </c>
      <c r="S38" s="697" t="str">
        <f>IFERROR(VLOOKUP($F38,product[],6,0),"error")</f>
        <v>error</v>
      </c>
      <c r="T38" s="697"/>
      <c r="U38" s="697"/>
      <c r="V38" s="697">
        <f>YEAR(tbl_해외[[#This Row],[선적일]])</f>
        <v>2024</v>
      </c>
      <c r="W38" s="696">
        <f>IF(tbl_해외[[#This Row],[선적일]]="",0,MONTH(tbl_해외[[#This Row],[선적일]]))</f>
        <v>7</v>
      </c>
      <c r="X38" s="697" t="str">
        <f>IF($S38="카메라",VLOOKUP($F38,드롭다운!$A:$F,2,0),"")</f>
        <v/>
      </c>
      <c r="Y38" s="697" t="str">
        <f>IF($S38="카메라",VLOOKUP($F38,드롭다운!$A:$F,3,0),"")</f>
        <v/>
      </c>
      <c r="Z38" s="697" t="str">
        <f>IF($S38="카메라",VLOOKUP($F38,드롭다운!$A:$F,4,0),"")</f>
        <v/>
      </c>
      <c r="AA38" s="697" t="str">
        <f>IF($S38="카메라",VLOOKUP($F38,드롭다운!$A:$F,5,0),"")</f>
        <v/>
      </c>
      <c r="AB38" s="697"/>
      <c r="AC38" s="724"/>
    </row>
    <row r="39" spans="1:29">
      <c r="A39" s="703">
        <v>45503</v>
      </c>
      <c r="B39" s="704">
        <v>1</v>
      </c>
      <c r="C39" s="696" t="s">
        <v>7990</v>
      </c>
      <c r="D39" s="697" t="s">
        <v>261</v>
      </c>
      <c r="E39" s="697" t="s">
        <v>7529</v>
      </c>
      <c r="F39" s="697" t="s">
        <v>262</v>
      </c>
      <c r="G39" s="697" t="s">
        <v>7521</v>
      </c>
      <c r="H39" s="698">
        <v>1</v>
      </c>
      <c r="I39" s="699">
        <v>10035</v>
      </c>
      <c r="J39" s="699">
        <f>tbl_해외[[#This Row],[수량]]*tbl_해외[[#This Row],[단가]]</f>
        <v>10035</v>
      </c>
      <c r="K39" s="700">
        <v>1386.16</v>
      </c>
      <c r="L39" s="701">
        <f>tbl_해외[[#This Row],[금액]]*tbl_해외[[#This Row],[환율(원/달러)]]</f>
        <v>13910115.600000001</v>
      </c>
      <c r="M39" s="695">
        <f>tbl_해외[[#This Row],[발주일]]-1</f>
        <v>45502</v>
      </c>
      <c r="N39" s="695">
        <f>tbl_해외[[#This Row],[발주일]]</f>
        <v>45503</v>
      </c>
      <c r="O39" s="703">
        <v>45503</v>
      </c>
      <c r="P39" s="697" t="s">
        <v>165</v>
      </c>
      <c r="Q39" s="699">
        <v>12415</v>
      </c>
      <c r="R39" s="695">
        <v>45406</v>
      </c>
      <c r="S39" s="697" t="str">
        <f>IFERROR(VLOOKUP($F39,product[],6,0),"error")</f>
        <v>카메라</v>
      </c>
      <c r="T39" s="697" t="s">
        <v>263</v>
      </c>
      <c r="U39" s="697" t="s">
        <v>257</v>
      </c>
      <c r="V39" s="697">
        <f>YEAR(tbl_해외[[#This Row],[선적일]])</f>
        <v>2024</v>
      </c>
      <c r="W39" s="696">
        <f>IF(tbl_해외[[#This Row],[선적일]]="",0,MONTH(tbl_해외[[#This Row],[선적일]]))</f>
        <v>7</v>
      </c>
      <c r="X39" s="697" t="str">
        <f>IF($S39="카메라",VLOOKUP($F39,드롭다운!$A:$F,2,0),"")</f>
        <v>VGA</v>
      </c>
      <c r="Y39" s="697" t="str">
        <f>IF($S39="카메라",VLOOKUP($F39,드롭다운!$A:$F,3,0),"")</f>
        <v>Radiometric</v>
      </c>
      <c r="Z39" s="697" t="str">
        <f>IF($S39="카메라",VLOOKUP($F39,드롭다운!$A:$F,4,0),"")</f>
        <v>Analogue</v>
      </c>
      <c r="AA39" s="697">
        <f>IF($S39="카메라",VLOOKUP($F39,드롭다운!$A:$F,5,0),"")</f>
        <v>12</v>
      </c>
      <c r="AB39" s="697"/>
      <c r="AC39" s="724"/>
    </row>
    <row r="40" spans="1:29">
      <c r="A40" s="703">
        <v>45505</v>
      </c>
      <c r="B40" s="704">
        <v>1</v>
      </c>
      <c r="C40" s="696" t="s">
        <v>7991</v>
      </c>
      <c r="D40" s="697" t="s">
        <v>254</v>
      </c>
      <c r="E40" s="697" t="s">
        <v>7529</v>
      </c>
      <c r="F40" s="697" t="s">
        <v>258</v>
      </c>
      <c r="G40" s="697" t="s">
        <v>7523</v>
      </c>
      <c r="H40" s="698">
        <v>6</v>
      </c>
      <c r="I40" s="699">
        <v>2485</v>
      </c>
      <c r="J40" s="699">
        <f>tbl_해외[[#This Row],[수량]]*tbl_해외[[#This Row],[단가]]</f>
        <v>14910</v>
      </c>
      <c r="K40" s="700">
        <v>1386.16</v>
      </c>
      <c r="L40" s="701">
        <f>tbl_해외[[#This Row],[금액]]*tbl_해외[[#This Row],[환율(원/달러)]]</f>
        <v>20667645.600000001</v>
      </c>
      <c r="M40" s="695">
        <f>tbl_해외[[#This Row],[발주일]]-1</f>
        <v>45504</v>
      </c>
      <c r="N40" s="695">
        <f>tbl_해외[[#This Row],[발주일]]</f>
        <v>45505</v>
      </c>
      <c r="O40" s="703">
        <v>45505</v>
      </c>
      <c r="P40" s="697" t="s">
        <v>163</v>
      </c>
      <c r="Q40" s="699">
        <f>7455+7455</f>
        <v>14910</v>
      </c>
      <c r="R40" s="695" t="s">
        <v>298</v>
      </c>
      <c r="S40" s="697" t="str">
        <f>IFERROR(VLOOKUP($F40,product[],6,0),"error")</f>
        <v>카메라</v>
      </c>
      <c r="T40" s="697" t="s">
        <v>259</v>
      </c>
      <c r="U40" s="697" t="s">
        <v>260</v>
      </c>
      <c r="V40" s="697">
        <f>YEAR(tbl_해외[[#This Row],[선적일]])</f>
        <v>2024</v>
      </c>
      <c r="W40" s="696">
        <f>IF(tbl_해외[[#This Row],[선적일]]="",0,MONTH(tbl_해외[[#This Row],[선적일]]))</f>
        <v>8</v>
      </c>
      <c r="X40" s="697" t="str">
        <f>IF($S40="카메라",VLOOKUP($F40,드롭다운!$A:$F,2,0),"")</f>
        <v>VGA</v>
      </c>
      <c r="Y40" s="697" t="str">
        <f>IF($S40="카메라",VLOOKUP($F40,드롭다운!$A:$F,3,0),"")</f>
        <v>Radiometric</v>
      </c>
      <c r="Z40" s="697" t="str">
        <f>IF($S40="카메라",VLOOKUP($F40,드롭다운!$A:$F,4,0),"")</f>
        <v>Analogue</v>
      </c>
      <c r="AA40" s="697">
        <f>IF($S40="카메라",VLOOKUP($F40,드롭다운!$A:$F,5,0),"")</f>
        <v>17</v>
      </c>
      <c r="AB40" s="697"/>
      <c r="AC40" s="724"/>
    </row>
    <row r="41" spans="1:29">
      <c r="A41" s="703">
        <v>45505</v>
      </c>
      <c r="B41" s="704">
        <v>1</v>
      </c>
      <c r="C41" s="696" t="s">
        <v>7991</v>
      </c>
      <c r="D41" s="697" t="s">
        <v>254</v>
      </c>
      <c r="E41" s="697" t="s">
        <v>7529</v>
      </c>
      <c r="F41" s="697" t="s">
        <v>258</v>
      </c>
      <c r="G41" s="697" t="s">
        <v>7524</v>
      </c>
      <c r="H41" s="698">
        <v>1</v>
      </c>
      <c r="I41" s="699">
        <v>2635</v>
      </c>
      <c r="J41" s="699">
        <f>tbl_해외[[#This Row],[수량]]*tbl_해외[[#This Row],[단가]]</f>
        <v>2635</v>
      </c>
      <c r="K41" s="700">
        <v>1386.16</v>
      </c>
      <c r="L41" s="701">
        <f>tbl_해외[[#This Row],[금액]]*tbl_해외[[#This Row],[환율(원/달러)]]</f>
        <v>3652531.6</v>
      </c>
      <c r="M41" s="695">
        <f>tbl_해외[[#This Row],[발주일]]-1</f>
        <v>45504</v>
      </c>
      <c r="N41" s="695">
        <f>tbl_해외[[#This Row],[발주일]]</f>
        <v>45505</v>
      </c>
      <c r="O41" s="703">
        <v>45505</v>
      </c>
      <c r="P41" s="697" t="s">
        <v>163</v>
      </c>
      <c r="Q41" s="699">
        <v>2635</v>
      </c>
      <c r="R41" s="695">
        <v>45485</v>
      </c>
      <c r="S41" s="697" t="str">
        <f>IFERROR(VLOOKUP($F41,product[],6,0),"error")</f>
        <v>카메라</v>
      </c>
      <c r="T41" s="697" t="s">
        <v>259</v>
      </c>
      <c r="U41" s="697" t="s">
        <v>257</v>
      </c>
      <c r="V41" s="697">
        <f>YEAR(tbl_해외[[#This Row],[선적일]])</f>
        <v>2024</v>
      </c>
      <c r="W41" s="696">
        <f>IF(tbl_해외[[#This Row],[선적일]]="",0,MONTH(tbl_해외[[#This Row],[선적일]]))</f>
        <v>8</v>
      </c>
      <c r="X41" s="697" t="str">
        <f>IF($S41="카메라",VLOOKUP($F41,드롭다운!$A:$F,2,0),"")</f>
        <v>VGA</v>
      </c>
      <c r="Y41" s="697" t="str">
        <f>IF($S41="카메라",VLOOKUP($F41,드롭다운!$A:$F,3,0),"")</f>
        <v>Radiometric</v>
      </c>
      <c r="Z41" s="697" t="str">
        <f>IF($S41="카메라",VLOOKUP($F41,드롭다운!$A:$F,4,0),"")</f>
        <v>Analogue</v>
      </c>
      <c r="AA41" s="697">
        <f>IF($S41="카메라",VLOOKUP($F41,드롭다운!$A:$F,5,0),"")</f>
        <v>17</v>
      </c>
      <c r="AB41" s="697"/>
      <c r="AC41" s="724"/>
    </row>
    <row r="42" spans="1:29">
      <c r="A42" s="703">
        <v>45505</v>
      </c>
      <c r="B42" s="704">
        <v>1</v>
      </c>
      <c r="C42" s="696" t="s">
        <v>7991</v>
      </c>
      <c r="D42" s="697" t="s">
        <v>254</v>
      </c>
      <c r="E42" s="697" t="s">
        <v>7529</v>
      </c>
      <c r="F42" s="697" t="s">
        <v>255</v>
      </c>
      <c r="G42" s="697" t="s">
        <v>7522</v>
      </c>
      <c r="H42" s="698">
        <v>1</v>
      </c>
      <c r="I42" s="699">
        <v>2928</v>
      </c>
      <c r="J42" s="699">
        <f>tbl_해외[[#This Row],[수량]]*tbl_해외[[#This Row],[단가]]</f>
        <v>2928</v>
      </c>
      <c r="K42" s="700">
        <v>1386.16</v>
      </c>
      <c r="L42" s="701">
        <f>tbl_해외[[#This Row],[금액]]*tbl_해외[[#This Row],[환율(원/달러)]]</f>
        <v>4058676.4800000004</v>
      </c>
      <c r="M42" s="695">
        <f>tbl_해외[[#This Row],[발주일]]-1</f>
        <v>45504</v>
      </c>
      <c r="N42" s="695">
        <f>tbl_해외[[#This Row],[발주일]]</f>
        <v>45505</v>
      </c>
      <c r="O42" s="703">
        <v>45505</v>
      </c>
      <c r="P42" s="697" t="s">
        <v>163</v>
      </c>
      <c r="Q42" s="699">
        <v>2928</v>
      </c>
      <c r="R42" s="695">
        <v>45485</v>
      </c>
      <c r="S42" s="697" t="str">
        <f>IFERROR(VLOOKUP($F42,product[],6,0),"error")</f>
        <v>카메라</v>
      </c>
      <c r="T42" s="697" t="s">
        <v>256</v>
      </c>
      <c r="U42" s="697" t="s">
        <v>257</v>
      </c>
      <c r="V42" s="697">
        <f>YEAR(tbl_해외[[#This Row],[선적일]])</f>
        <v>2024</v>
      </c>
      <c r="W42" s="696">
        <f>IF(tbl_해외[[#This Row],[선적일]]="",0,MONTH(tbl_해외[[#This Row],[선적일]]))</f>
        <v>8</v>
      </c>
      <c r="X42" s="697" t="str">
        <f>IF($S42="카메라",VLOOKUP($F42,드롭다운!$A:$F,2,0),"")</f>
        <v>VGA</v>
      </c>
      <c r="Y42" s="697" t="str">
        <f>IF($S42="카메라",VLOOKUP($F42,드롭다운!$A:$F,3,0),"")</f>
        <v>Radiometric</v>
      </c>
      <c r="Z42" s="697" t="str">
        <f>IF($S42="카메라",VLOOKUP($F42,드롭다운!$A:$F,4,0),"")</f>
        <v>Network</v>
      </c>
      <c r="AA42" s="697">
        <f>IF($S42="카메라",VLOOKUP($F42,드롭다운!$A:$F,5,0),"")</f>
        <v>17</v>
      </c>
      <c r="AB42" s="697"/>
      <c r="AC42" s="724"/>
    </row>
    <row r="43" spans="1:29">
      <c r="A43" s="703">
        <v>45531</v>
      </c>
      <c r="B43" s="704">
        <v>2</v>
      </c>
      <c r="C43" s="696" t="s">
        <v>7992</v>
      </c>
      <c r="D43" s="709" t="s">
        <v>736</v>
      </c>
      <c r="E43" s="697" t="s">
        <v>7531</v>
      </c>
      <c r="F43" s="697" t="s">
        <v>7534</v>
      </c>
      <c r="G43" s="697" t="s">
        <v>832</v>
      </c>
      <c r="H43" s="698">
        <v>2</v>
      </c>
      <c r="I43" s="699">
        <v>250</v>
      </c>
      <c r="J43" s="699">
        <f>tbl_해외[[#This Row],[수량]]*tbl_해외[[#This Row],[단가]]</f>
        <v>500</v>
      </c>
      <c r="K43" s="700">
        <v>1339.64</v>
      </c>
      <c r="L43" s="701">
        <f>tbl_해외[[#This Row],[금액]]*tbl_해외[[#This Row],[환율(원/달러)]]</f>
        <v>669820</v>
      </c>
      <c r="M43" s="695">
        <f>tbl_해외[[#This Row],[발주일]]-1</f>
        <v>45530</v>
      </c>
      <c r="N43" s="695">
        <f>tbl_해외[[#This Row],[발주일]]</f>
        <v>45531</v>
      </c>
      <c r="O43" s="703">
        <v>45531</v>
      </c>
      <c r="P43" s="697" t="s">
        <v>295</v>
      </c>
      <c r="Q43" s="699">
        <v>500</v>
      </c>
      <c r="R43" s="695">
        <v>45531</v>
      </c>
      <c r="S43" s="697" t="str">
        <f>IFERROR(VLOOKUP($F43,product[],6,0),"error")</f>
        <v>error</v>
      </c>
      <c r="T43" s="697"/>
      <c r="U43" s="697"/>
      <c r="V43" s="697">
        <f>YEAR(tbl_해외[[#This Row],[선적일]])</f>
        <v>2024</v>
      </c>
      <c r="W43" s="696">
        <f>IF(tbl_해외[[#This Row],[선적일]]="",0,MONTH(tbl_해외[[#This Row],[선적일]]))</f>
        <v>8</v>
      </c>
      <c r="X43" s="697" t="str">
        <f>IF($S43="카메라",VLOOKUP($F43,드롭다운!$A:$F,2,0),"")</f>
        <v/>
      </c>
      <c r="Y43" s="697" t="str">
        <f>IF($S43="카메라",VLOOKUP($F43,드롭다운!$A:$F,3,0),"")</f>
        <v/>
      </c>
      <c r="Z43" s="697" t="str">
        <f>IF($S43="카메라",VLOOKUP($F43,드롭다운!$A:$F,4,0),"")</f>
        <v/>
      </c>
      <c r="AA43" s="697" t="str">
        <f>IF($S43="카메라",VLOOKUP($F43,드롭다운!$A:$F,5,0),"")</f>
        <v/>
      </c>
      <c r="AB43" s="697"/>
      <c r="AC43" s="724"/>
    </row>
    <row r="44" spans="1:29">
      <c r="A44" s="703">
        <v>45541</v>
      </c>
      <c r="B44" s="704">
        <v>1</v>
      </c>
      <c r="C44" s="696" t="s">
        <v>7993</v>
      </c>
      <c r="D44" s="697" t="s">
        <v>284</v>
      </c>
      <c r="E44" s="697" t="s">
        <v>7529</v>
      </c>
      <c r="F44" s="697" t="s">
        <v>285</v>
      </c>
      <c r="G44" s="697" t="s">
        <v>115</v>
      </c>
      <c r="H44" s="698">
        <v>2</v>
      </c>
      <c r="I44" s="699">
        <v>1800</v>
      </c>
      <c r="J44" s="699">
        <f>tbl_해외[[#This Row],[수량]]*tbl_해외[[#This Row],[단가]]</f>
        <v>3600</v>
      </c>
      <c r="K44" s="700">
        <v>1338.48</v>
      </c>
      <c r="L44" s="701">
        <f>tbl_해외[[#This Row],[금액]]*tbl_해외[[#This Row],[환율(원/달러)]]</f>
        <v>4818528</v>
      </c>
      <c r="M44" s="695">
        <f>tbl_해외[[#This Row],[발주일]]-1</f>
        <v>45540</v>
      </c>
      <c r="N44" s="695">
        <f>tbl_해외[[#This Row],[발주일]]</f>
        <v>45541</v>
      </c>
      <c r="O44" s="703">
        <v>45541</v>
      </c>
      <c r="P44" s="697" t="s">
        <v>296</v>
      </c>
      <c r="Q44" s="699">
        <v>3560</v>
      </c>
      <c r="R44" s="695">
        <v>45531</v>
      </c>
      <c r="S44" s="697" t="str">
        <f>IFERROR(VLOOKUP($F44,product[],6,0),"error")</f>
        <v>카메라</v>
      </c>
      <c r="T44" s="697" t="s">
        <v>286</v>
      </c>
      <c r="U44" s="697"/>
      <c r="V44" s="697">
        <f>YEAR(tbl_해외[[#This Row],[선적일]])</f>
        <v>2024</v>
      </c>
      <c r="W44" s="696">
        <f>IF(tbl_해외[[#This Row],[선적일]]="",0,MONTH(tbl_해외[[#This Row],[선적일]]))</f>
        <v>9</v>
      </c>
      <c r="X44" s="697" t="str">
        <f>IF($S44="카메라",VLOOKUP($F44,드롭다운!$A:$F,2,0),"")</f>
        <v>QVGA</v>
      </c>
      <c r="Y44" s="697" t="str">
        <f>IF($S44="카메라",VLOOKUP($F44,드롭다운!$A:$F,3,0),"")</f>
        <v>Security</v>
      </c>
      <c r="Z44" s="697" t="str">
        <f>IF($S44="카메라",VLOOKUP($F44,드롭다운!$A:$F,4,0),"")</f>
        <v>Analogue</v>
      </c>
      <c r="AA44" s="697">
        <f>IF($S44="카메라",VLOOKUP($F44,드롭다운!$A:$F,5,0),"")</f>
        <v>12</v>
      </c>
      <c r="AB44" s="697"/>
      <c r="AC44" s="724"/>
    </row>
    <row r="45" spans="1:29">
      <c r="A45" s="703">
        <v>45543</v>
      </c>
      <c r="B45" s="704">
        <v>2</v>
      </c>
      <c r="C45" s="696" t="s">
        <v>7994</v>
      </c>
      <c r="D45" s="697" t="s">
        <v>287</v>
      </c>
      <c r="E45" s="697" t="s">
        <v>7529</v>
      </c>
      <c r="F45" s="697" t="s">
        <v>288</v>
      </c>
      <c r="G45" s="697" t="s">
        <v>7525</v>
      </c>
      <c r="H45" s="698">
        <v>2</v>
      </c>
      <c r="I45" s="699">
        <v>3180</v>
      </c>
      <c r="J45" s="699">
        <f>tbl_해외[[#This Row],[수량]]*tbl_해외[[#This Row],[단가]]</f>
        <v>6360</v>
      </c>
      <c r="K45" s="700">
        <v>1332.88</v>
      </c>
      <c r="L45" s="701">
        <f>tbl_해외[[#This Row],[금액]]*tbl_해외[[#This Row],[환율(원/달러)]]</f>
        <v>8477116.8000000007</v>
      </c>
      <c r="M45" s="695">
        <f>tbl_해외[[#This Row],[발주일]]-1</f>
        <v>45542</v>
      </c>
      <c r="N45" s="695">
        <f>tbl_해외[[#This Row],[발주일]]</f>
        <v>45543</v>
      </c>
      <c r="O45" s="703">
        <v>45543</v>
      </c>
      <c r="P45" s="697" t="s">
        <v>162</v>
      </c>
      <c r="Q45" s="699">
        <v>5368</v>
      </c>
      <c r="R45" s="695" t="s">
        <v>297</v>
      </c>
      <c r="S45" s="697" t="str">
        <f>IFERROR(VLOOKUP($F45,product[],6,0),"error")</f>
        <v>카메라</v>
      </c>
      <c r="T45" s="697" t="s">
        <v>289</v>
      </c>
      <c r="U45" s="697" t="s">
        <v>290</v>
      </c>
      <c r="V45" s="697">
        <f>YEAR(tbl_해외[[#This Row],[선적일]])</f>
        <v>2024</v>
      </c>
      <c r="W45" s="696">
        <f>IF(tbl_해외[[#This Row],[선적일]]="",0,MONTH(tbl_해외[[#This Row],[선적일]]))</f>
        <v>9</v>
      </c>
      <c r="X45" s="697" t="str">
        <f>IF($S45="카메라",VLOOKUP($F45,드롭다운!$A:$F,2,0),"")</f>
        <v>VGA</v>
      </c>
      <c r="Y45" s="697" t="str">
        <f>IF($S45="카메라",VLOOKUP($F45,드롭다운!$A:$F,3,0),"")</f>
        <v>Radiometric</v>
      </c>
      <c r="Z45" s="697" t="str">
        <f>IF($S45="카메라",VLOOKUP($F45,드롭다운!$A:$F,4,0),"")</f>
        <v>Analogue</v>
      </c>
      <c r="AA45" s="697">
        <f>IF($S45="카메라",VLOOKUP($F45,드롭다운!$A:$F,5,0),"")</f>
        <v>12</v>
      </c>
      <c r="AB45" s="697"/>
      <c r="AC45" s="724"/>
    </row>
    <row r="46" spans="1:29">
      <c r="A46" s="703">
        <v>45543</v>
      </c>
      <c r="B46" s="704">
        <v>2</v>
      </c>
      <c r="C46" s="696" t="s">
        <v>7994</v>
      </c>
      <c r="D46" s="697" t="s">
        <v>287</v>
      </c>
      <c r="E46" s="697" t="s">
        <v>7533</v>
      </c>
      <c r="F46" s="697" t="s">
        <v>7639</v>
      </c>
      <c r="G46" s="697" t="s">
        <v>832</v>
      </c>
      <c r="H46" s="698">
        <v>2</v>
      </c>
      <c r="I46" s="699">
        <v>2200</v>
      </c>
      <c r="J46" s="699">
        <f>tbl_해외[[#This Row],[수량]]*tbl_해외[[#This Row],[단가]]</f>
        <v>4400</v>
      </c>
      <c r="K46" s="700">
        <v>1332.88</v>
      </c>
      <c r="L46" s="701">
        <f>tbl_해외[[#This Row],[금액]]*tbl_해외[[#This Row],[환율(원/달러)]]</f>
        <v>5864672.0000000009</v>
      </c>
      <c r="M46" s="695">
        <f>tbl_해외[[#This Row],[발주일]]-1</f>
        <v>45542</v>
      </c>
      <c r="N46" s="695">
        <f>tbl_해외[[#This Row],[발주일]]</f>
        <v>45543</v>
      </c>
      <c r="O46" s="703">
        <v>45543</v>
      </c>
      <c r="P46" s="697" t="s">
        <v>162</v>
      </c>
      <c r="Q46" s="699">
        <v>0</v>
      </c>
      <c r="R46" s="695">
        <v>45540</v>
      </c>
      <c r="S46" s="697" t="str">
        <f>IFERROR(VLOOKUP($F46,product[],6,0),"error")</f>
        <v>error</v>
      </c>
      <c r="T46" s="697"/>
      <c r="U46" s="697"/>
      <c r="V46" s="697">
        <f>YEAR(tbl_해외[[#This Row],[선적일]])</f>
        <v>2024</v>
      </c>
      <c r="W46" s="696">
        <f>IF(tbl_해외[[#This Row],[선적일]]="",0,MONTH(tbl_해외[[#This Row],[선적일]]))</f>
        <v>9</v>
      </c>
      <c r="X46" s="697" t="str">
        <f>IF($S46="카메라",VLOOKUP($F46,드롭다운!$A:$F,2,0),"")</f>
        <v/>
      </c>
      <c r="Y46" s="697" t="str">
        <f>IF($S46="카메라",VLOOKUP($F46,드롭다운!$A:$F,3,0),"")</f>
        <v/>
      </c>
      <c r="Z46" s="697" t="str">
        <f>IF($S46="카메라",VLOOKUP($F46,드롭다운!$A:$F,4,0),"")</f>
        <v/>
      </c>
      <c r="AA46" s="697" t="str">
        <f>IF($S46="카메라",VLOOKUP($F46,드롭다운!$A:$F,5,0),"")</f>
        <v/>
      </c>
      <c r="AB46" s="697"/>
      <c r="AC46" s="724"/>
    </row>
    <row r="47" spans="1:29">
      <c r="A47" s="703">
        <v>45546</v>
      </c>
      <c r="B47" s="704">
        <v>3</v>
      </c>
      <c r="C47" s="696" t="s">
        <v>7995</v>
      </c>
      <c r="D47" s="697" t="s">
        <v>291</v>
      </c>
      <c r="E47" s="697" t="s">
        <v>7529</v>
      </c>
      <c r="F47" s="697" t="s">
        <v>292</v>
      </c>
      <c r="G47" s="697" t="s">
        <v>7526</v>
      </c>
      <c r="H47" s="698">
        <v>1</v>
      </c>
      <c r="I47" s="699">
        <v>2695</v>
      </c>
      <c r="J47" s="699">
        <f>tbl_해외[[#This Row],[수량]]*tbl_해외[[#This Row],[단가]]</f>
        <v>2695</v>
      </c>
      <c r="K47" s="700"/>
      <c r="L47" s="701">
        <f>tbl_해외[[#This Row],[금액]]*tbl_해외[[#This Row],[환율(원/달러)]]</f>
        <v>0</v>
      </c>
      <c r="M47" s="695">
        <f>tbl_해외[[#This Row],[발주일]]-1</f>
        <v>45545</v>
      </c>
      <c r="N47" s="695">
        <f>tbl_해외[[#This Row],[발주일]]</f>
        <v>45546</v>
      </c>
      <c r="O47" s="703">
        <v>45546</v>
      </c>
      <c r="P47" s="697" t="s">
        <v>163</v>
      </c>
      <c r="Q47" s="699">
        <v>2690</v>
      </c>
      <c r="R47" s="695">
        <v>45540</v>
      </c>
      <c r="S47" s="697" t="str">
        <f>IFERROR(VLOOKUP($F47,product[],6,0),"error")</f>
        <v>카메라</v>
      </c>
      <c r="T47" s="697" t="s">
        <v>293</v>
      </c>
      <c r="U47" s="697" t="s">
        <v>294</v>
      </c>
      <c r="V47" s="697">
        <f>YEAR(tbl_해외[[#This Row],[선적일]])</f>
        <v>2024</v>
      </c>
      <c r="W47" s="696">
        <f>IF(tbl_해외[[#This Row],[선적일]]="",0,MONTH(tbl_해외[[#This Row],[선적일]]))</f>
        <v>9</v>
      </c>
      <c r="X47" s="697" t="str">
        <f>IF($S47="카메라",VLOOKUP($F47,드롭다운!$A:$F,2,0),"")</f>
        <v>VGA</v>
      </c>
      <c r="Y47" s="697" t="str">
        <f>IF($S47="카메라",VLOOKUP($F47,드롭다운!$A:$F,3,0),"")</f>
        <v>Radiometric</v>
      </c>
      <c r="Z47" s="697" t="str">
        <f>IF($S47="카메라",VLOOKUP($F47,드롭다운!$A:$F,4,0),"")</f>
        <v>Analogue</v>
      </c>
      <c r="AA47" s="697">
        <f>IF($S47="카메라",VLOOKUP($F47,드롭다운!$A:$F,5,0),"")</f>
        <v>17</v>
      </c>
      <c r="AB47" s="697"/>
      <c r="AC47" s="724"/>
    </row>
    <row r="48" spans="1:29">
      <c r="A48" s="695">
        <v>45575</v>
      </c>
      <c r="B48" s="704">
        <v>7</v>
      </c>
      <c r="C48" s="696" t="s">
        <v>8001</v>
      </c>
      <c r="D48" s="697" t="s">
        <v>7944</v>
      </c>
      <c r="E48" s="697" t="s">
        <v>7945</v>
      </c>
      <c r="F48" s="697" t="s">
        <v>7946</v>
      </c>
      <c r="G48" s="697" t="s">
        <v>7947</v>
      </c>
      <c r="H48" s="698">
        <v>10</v>
      </c>
      <c r="I48" s="699">
        <v>3700</v>
      </c>
      <c r="J48" s="699">
        <v>37000</v>
      </c>
      <c r="K48" s="700">
        <v>1344.25</v>
      </c>
      <c r="L48" s="701">
        <f>tbl_해외[[#This Row],[금액]]*tbl_해외[[#This Row],[환율(원/달러)]]</f>
        <v>49737250</v>
      </c>
      <c r="M48" s="695">
        <v>45583</v>
      </c>
      <c r="N48" s="695">
        <v>45580</v>
      </c>
      <c r="O48" s="695">
        <v>45582</v>
      </c>
      <c r="P48" s="695" t="s">
        <v>8022</v>
      </c>
      <c r="Q48" s="699">
        <v>36995</v>
      </c>
      <c r="R48" s="695">
        <v>45520</v>
      </c>
      <c r="S48" s="697" t="str">
        <f>IFERROR(VLOOKUP($F48,product[],6,0),"error")</f>
        <v>카메라</v>
      </c>
      <c r="T48" s="699"/>
      <c r="U48" s="695"/>
      <c r="V48" s="697">
        <f>YEAR(tbl_해외[[#This Row],[선적일]])</f>
        <v>2024</v>
      </c>
      <c r="W48" s="696">
        <f>IF(tbl_해외[[#This Row],[선적일]]="",0,MONTH(tbl_해외[[#This Row],[선적일]]))</f>
        <v>10</v>
      </c>
      <c r="X48" s="697" t="str">
        <f>IF($S48="카메라",VLOOKUP($F48,드롭다운!$A:$F,2,0),"")</f>
        <v>VGA</v>
      </c>
      <c r="Y48" s="697" t="str">
        <f>IF($S48="카메라",VLOOKUP($F48,드롭다운!$A:$F,3,0),"")</f>
        <v>Radiometric</v>
      </c>
      <c r="Z48" s="697" t="str">
        <f>IF($S48="카메라",VLOOKUP($F48,드롭다운!$A:$F,4,0),"")</f>
        <v>Analogue</v>
      </c>
      <c r="AA48" s="697">
        <f>IF($S48="카메라",VLOOKUP($F48,드롭다운!$A:$F,5,0),"")</f>
        <v>17</v>
      </c>
      <c r="AB48" s="697"/>
      <c r="AC48" s="724"/>
    </row>
    <row r="49" spans="1:29">
      <c r="A49" s="695">
        <v>45567</v>
      </c>
      <c r="B49" s="704">
        <v>4</v>
      </c>
      <c r="C49" s="696" t="s">
        <v>7999</v>
      </c>
      <c r="D49" s="697" t="s">
        <v>303</v>
      </c>
      <c r="E49" s="697" t="s">
        <v>7529</v>
      </c>
      <c r="F49" s="697" t="s">
        <v>304</v>
      </c>
      <c r="G49" s="697" t="s">
        <v>7524</v>
      </c>
      <c r="H49" s="698">
        <v>2</v>
      </c>
      <c r="I49" s="699">
        <v>2870</v>
      </c>
      <c r="J49" s="699">
        <f>tbl_해외[[#This Row],[수량]]*tbl_해외[[#This Row],[단가]]</f>
        <v>5740</v>
      </c>
      <c r="K49" s="700">
        <v>1344.25</v>
      </c>
      <c r="L49" s="701">
        <f>tbl_해외[[#This Row],[금액]]*tbl_해외[[#This Row],[환율(원/달러)]]</f>
        <v>7715995</v>
      </c>
      <c r="M49" s="695">
        <v>45583</v>
      </c>
      <c r="N49" s="695">
        <v>45586</v>
      </c>
      <c r="O49" s="703">
        <v>45585</v>
      </c>
      <c r="P49" s="697" t="s">
        <v>8038</v>
      </c>
      <c r="Q49" s="699">
        <v>0</v>
      </c>
      <c r="R49" s="695">
        <v>45567</v>
      </c>
      <c r="S49" s="697" t="str">
        <f>IFERROR(VLOOKUP($F49,product[],6,0),"error")</f>
        <v>카메라</v>
      </c>
      <c r="T49" s="697" t="s">
        <v>259</v>
      </c>
      <c r="U49" s="697" t="s">
        <v>257</v>
      </c>
      <c r="V49" s="697">
        <f>YEAR(tbl_해외[[#This Row],[선적일]])</f>
        <v>2024</v>
      </c>
      <c r="W49" s="696">
        <f>IF(tbl_해외[[#This Row],[선적일]]="",0,MONTH(tbl_해외[[#This Row],[선적일]]))</f>
        <v>10</v>
      </c>
      <c r="X49" s="697" t="str">
        <f>IF($S49="카메라",VLOOKUP($F49,드롭다운!$A:$F,2,0),"")</f>
        <v>QVGA</v>
      </c>
      <c r="Y49" s="697" t="str">
        <f>IF($S49="카메라",VLOOKUP($F49,드롭다운!$A:$F,3,0),"")</f>
        <v>Radiometric</v>
      </c>
      <c r="Z49" s="697" t="str">
        <f>IF($S49="카메라",VLOOKUP($F49,드롭다운!$A:$F,4,0),"")</f>
        <v>Analogue</v>
      </c>
      <c r="AA49" s="697">
        <f>IF($S49="카메라",VLOOKUP($F49,드롭다운!$A:$F,5,0),"")</f>
        <v>17</v>
      </c>
      <c r="AB49" s="697"/>
      <c r="AC49" s="724"/>
    </row>
    <row r="50" spans="1:29">
      <c r="A50" s="695">
        <v>45567</v>
      </c>
      <c r="B50" s="704">
        <v>8</v>
      </c>
      <c r="C50" s="696" t="s">
        <v>8037</v>
      </c>
      <c r="D50" s="697" t="s">
        <v>303</v>
      </c>
      <c r="E50" s="697" t="s">
        <v>7531</v>
      </c>
      <c r="F50" s="697" t="s">
        <v>7534</v>
      </c>
      <c r="G50" s="697" t="s">
        <v>832</v>
      </c>
      <c r="H50" s="698">
        <v>1</v>
      </c>
      <c r="I50" s="699">
        <v>1400</v>
      </c>
      <c r="J50" s="699">
        <v>1400</v>
      </c>
      <c r="K50" s="700">
        <v>1344.25</v>
      </c>
      <c r="L50" s="701">
        <v>1862000</v>
      </c>
      <c r="M50" s="695">
        <v>45583</v>
      </c>
      <c r="N50" s="695">
        <v>45586</v>
      </c>
      <c r="O50" s="703">
        <v>45585</v>
      </c>
      <c r="P50" s="697" t="s">
        <v>8038</v>
      </c>
      <c r="Q50" s="699">
        <v>7075</v>
      </c>
      <c r="R50" s="695">
        <v>45567</v>
      </c>
      <c r="S50" s="697" t="str">
        <f>IFERROR(VLOOKUP($F50,product[],6,0),"error")</f>
        <v>error</v>
      </c>
      <c r="T50" s="699"/>
      <c r="U50" s="695"/>
      <c r="V50" s="697">
        <f>YEAR(tbl_해외[[#This Row],[선적일]])</f>
        <v>2024</v>
      </c>
      <c r="W50" s="696">
        <f>IF(tbl_해외[[#This Row],[선적일]]="",0,MONTH(tbl_해외[[#This Row],[선적일]]))</f>
        <v>10</v>
      </c>
      <c r="X50" s="697" t="str">
        <f>IF($S50="카메라",VLOOKUP($F50,드롭다운!$A:$F,2,0),"")</f>
        <v/>
      </c>
      <c r="Y50" s="697" t="str">
        <f>IF($S50="카메라",VLOOKUP($F50,드롭다운!$A:$F,3,0),"")</f>
        <v/>
      </c>
      <c r="Z50" s="697" t="str">
        <f>IF($S50="카메라",VLOOKUP($F50,드롭다운!$A:$F,4,0),"")</f>
        <v/>
      </c>
      <c r="AA50" s="697" t="str">
        <f>IF($S50="카메라",VLOOKUP($F50,드롭다운!$A:$F,5,0),"")</f>
        <v/>
      </c>
      <c r="AB50" s="697"/>
      <c r="AC50" s="724"/>
    </row>
    <row r="51" spans="1:29">
      <c r="A51" s="695">
        <v>45567</v>
      </c>
      <c r="B51" s="704">
        <v>3</v>
      </c>
      <c r="C51" s="696" t="s">
        <v>7998</v>
      </c>
      <c r="D51" s="697" t="s">
        <v>305</v>
      </c>
      <c r="E51" s="697" t="s">
        <v>7529</v>
      </c>
      <c r="F51" s="697" t="s">
        <v>300</v>
      </c>
      <c r="G51" s="697" t="s">
        <v>7514</v>
      </c>
      <c r="H51" s="698">
        <v>2</v>
      </c>
      <c r="I51" s="699">
        <v>2445</v>
      </c>
      <c r="J51" s="699">
        <f>tbl_해외[[#This Row],[수량]]*tbl_해외[[#This Row],[단가]]</f>
        <v>4890</v>
      </c>
      <c r="K51" s="700">
        <v>1358.82</v>
      </c>
      <c r="L51" s="701">
        <f>tbl_해외[[#This Row],[금액]]*tbl_해외[[#This Row],[환율(원/달러)]]</f>
        <v>6644629.7999999998</v>
      </c>
      <c r="M51" s="695">
        <v>45576</v>
      </c>
      <c r="N51" s="695">
        <v>45586</v>
      </c>
      <c r="O51" s="695">
        <v>45587</v>
      </c>
      <c r="P51" s="695" t="s">
        <v>163</v>
      </c>
      <c r="Q51" s="699">
        <v>4885</v>
      </c>
      <c r="R51" s="695">
        <v>45567</v>
      </c>
      <c r="S51" s="697" t="str">
        <f>IFERROR(VLOOKUP($F51,product[],6,0),"error")</f>
        <v>카메라</v>
      </c>
      <c r="T51" s="697" t="s">
        <v>306</v>
      </c>
      <c r="U51" s="697" t="s">
        <v>302</v>
      </c>
      <c r="V51" s="697">
        <f>YEAR(tbl_해외[[#This Row],[선적일]])</f>
        <v>2024</v>
      </c>
      <c r="W51" s="696">
        <f>IF(tbl_해외[[#This Row],[선적일]]="",0,MONTH(tbl_해외[[#This Row],[선적일]]))</f>
        <v>10</v>
      </c>
      <c r="X51" s="697" t="str">
        <f>IF($S51="카메라",VLOOKUP($F51,드롭다운!$A:$F,2,0),"")</f>
        <v>VGA</v>
      </c>
      <c r="Y51" s="697" t="str">
        <f>IF($S51="카메라",VLOOKUP($F51,드롭다운!$A:$F,3,0),"")</f>
        <v>Radiometric</v>
      </c>
      <c r="Z51" s="697" t="str">
        <f>IF($S51="카메라",VLOOKUP($F51,드롭다운!$A:$F,4,0),"")</f>
        <v>Analogue</v>
      </c>
      <c r="AA51" s="697">
        <f>IF($S51="카메라",VLOOKUP($F51,드롭다운!$A:$F,5,0),"")</f>
        <v>17</v>
      </c>
      <c r="AB51" s="697"/>
      <c r="AC51" s="724"/>
    </row>
    <row r="52" spans="1:29">
      <c r="A52" s="695">
        <v>45575</v>
      </c>
      <c r="B52" s="704">
        <v>3</v>
      </c>
      <c r="C52" s="696" t="s">
        <v>7998</v>
      </c>
      <c r="D52" s="697" t="s">
        <v>254</v>
      </c>
      <c r="E52" s="697" t="s">
        <v>7942</v>
      </c>
      <c r="F52" s="697" t="s">
        <v>7943</v>
      </c>
      <c r="G52" s="697" t="s">
        <v>7964</v>
      </c>
      <c r="H52" s="698">
        <v>1</v>
      </c>
      <c r="I52" s="699">
        <v>2374</v>
      </c>
      <c r="J52" s="699">
        <f>tbl_해외[[#This Row],[수량]]*tbl_해외[[#This Row],[단가]]</f>
        <v>2374</v>
      </c>
      <c r="K52" s="700">
        <v>1358.82</v>
      </c>
      <c r="L52" s="701">
        <f>tbl_해외[[#This Row],[금액]]*tbl_해외[[#This Row],[환율(원/달러)]]</f>
        <v>3225838.6799999997</v>
      </c>
      <c r="M52" s="695">
        <v>45596</v>
      </c>
      <c r="N52" s="695">
        <v>45586</v>
      </c>
      <c r="O52" s="695">
        <v>45587</v>
      </c>
      <c r="P52" s="695" t="s">
        <v>163</v>
      </c>
      <c r="Q52" s="699">
        <v>2369</v>
      </c>
      <c r="R52" s="695">
        <v>45575</v>
      </c>
      <c r="S52" s="697" t="str">
        <f>IFERROR(VLOOKUP($F52,product[],6,0),"error")</f>
        <v>카메라</v>
      </c>
      <c r="T52" s="699"/>
      <c r="U52" s="695"/>
      <c r="V52" s="697">
        <f>YEAR(tbl_해외[[#This Row],[선적일]])</f>
        <v>2024</v>
      </c>
      <c r="W52" s="696">
        <f>IF(tbl_해외[[#This Row],[선적일]]="",0,MONTH(tbl_해외[[#This Row],[선적일]]))</f>
        <v>10</v>
      </c>
      <c r="X52" s="697" t="str">
        <f>IF($S52="카메라",VLOOKUP($F52,드롭다운!$A:$F,2,0),"")</f>
        <v>QVGA</v>
      </c>
      <c r="Y52" s="697" t="str">
        <f>IF($S52="카메라",VLOOKUP($F52,드롭다운!$A:$F,3,0),"")</f>
        <v>Radiometric</v>
      </c>
      <c r="Z52" s="697" t="str">
        <f>IF($S52="카메라",VLOOKUP($F52,드롭다운!$A:$F,4,0),"")</f>
        <v>Network</v>
      </c>
      <c r="AA52" s="697">
        <f>IF($S52="카메라",VLOOKUP($F52,드롭다운!$A:$F,5,0),"")</f>
        <v>17</v>
      </c>
      <c r="AB52" s="697"/>
      <c r="AC52" s="724"/>
    </row>
    <row r="53" spans="1:29">
      <c r="A53" s="695">
        <v>45567</v>
      </c>
      <c r="B53" s="704">
        <v>1</v>
      </c>
      <c r="C53" s="696" t="s">
        <v>7996</v>
      </c>
      <c r="D53" s="697" t="s">
        <v>307</v>
      </c>
      <c r="E53" s="697" t="s">
        <v>7529</v>
      </c>
      <c r="F53" s="697" t="s">
        <v>308</v>
      </c>
      <c r="G53" s="697" t="s">
        <v>7528</v>
      </c>
      <c r="H53" s="698">
        <v>2</v>
      </c>
      <c r="I53" s="699">
        <v>3700</v>
      </c>
      <c r="J53" s="699">
        <f>tbl_해외[[#This Row],[수량]]*tbl_해외[[#This Row],[단가]]</f>
        <v>7400</v>
      </c>
      <c r="K53" s="700">
        <v>1358.82</v>
      </c>
      <c r="L53" s="701">
        <f>tbl_해외[[#This Row],[금액]]*tbl_해외[[#This Row],[환율(원/달러)]]</f>
        <v>10055268</v>
      </c>
      <c r="M53" s="695">
        <v>45583</v>
      </c>
      <c r="N53" s="695">
        <v>45587</v>
      </c>
      <c r="O53" s="695">
        <v>45589</v>
      </c>
      <c r="P53" s="697" t="s">
        <v>8036</v>
      </c>
      <c r="Q53" s="699">
        <v>8568</v>
      </c>
      <c r="R53" s="695">
        <v>45588</v>
      </c>
      <c r="S53" s="697" t="str">
        <f>IFERROR(VLOOKUP($F53,product[],6,0),"error")</f>
        <v>카메라</v>
      </c>
      <c r="T53" s="697" t="s">
        <v>309</v>
      </c>
      <c r="U53" s="697" t="s">
        <v>310</v>
      </c>
      <c r="V53" s="697">
        <f>YEAR(tbl_해외[[#This Row],[선적일]])</f>
        <v>2024</v>
      </c>
      <c r="W53" s="696">
        <f>IF(tbl_해외[[#This Row],[선적일]]="",0,MONTH(tbl_해외[[#This Row],[선적일]]))</f>
        <v>10</v>
      </c>
      <c r="X53" s="697" t="str">
        <f>IF($S53="카메라",VLOOKUP($F53,드롭다운!$A:$F,2,0),"")</f>
        <v>VGA</v>
      </c>
      <c r="Y53" s="697" t="str">
        <f>IF($S53="카메라",VLOOKUP($F53,드롭다운!$A:$F,3,0),"")</f>
        <v>Radiometric</v>
      </c>
      <c r="Z53" s="697" t="str">
        <f>IF($S53="카메라",VLOOKUP($F53,드롭다운!$A:$F,4,0),"")</f>
        <v>Network</v>
      </c>
      <c r="AA53" s="697">
        <f>IF($S53="카메라",VLOOKUP($F53,드롭다운!$A:$F,5,0),"")</f>
        <v>17</v>
      </c>
      <c r="AB53" s="697"/>
      <c r="AC53" s="724"/>
    </row>
    <row r="54" spans="1:29">
      <c r="A54" s="695">
        <v>45567</v>
      </c>
      <c r="B54" s="704">
        <v>1</v>
      </c>
      <c r="C54" s="696" t="s">
        <v>7996</v>
      </c>
      <c r="D54" s="697" t="s">
        <v>307</v>
      </c>
      <c r="E54" s="697" t="s">
        <v>7533</v>
      </c>
      <c r="F54" s="697" t="s">
        <v>7638</v>
      </c>
      <c r="G54" s="697" t="s">
        <v>832</v>
      </c>
      <c r="H54" s="698">
        <v>2</v>
      </c>
      <c r="I54" s="699">
        <v>590</v>
      </c>
      <c r="J54" s="699">
        <f>tbl_해외[[#This Row],[수량]]*tbl_해외[[#This Row],[단가]]</f>
        <v>1180</v>
      </c>
      <c r="K54" s="700">
        <v>1358.82</v>
      </c>
      <c r="L54" s="701">
        <f>tbl_해외[[#This Row],[금액]]*tbl_해외[[#This Row],[환율(원/달러)]]</f>
        <v>1603407.5999999999</v>
      </c>
      <c r="M54" s="695">
        <v>45583</v>
      </c>
      <c r="N54" s="695">
        <v>45587</v>
      </c>
      <c r="O54" s="695">
        <v>45589</v>
      </c>
      <c r="P54" s="697" t="s">
        <v>8036</v>
      </c>
      <c r="Q54" s="699">
        <v>0</v>
      </c>
      <c r="R54" s="695">
        <v>45588</v>
      </c>
      <c r="S54" s="697" t="str">
        <f>IFERROR(VLOOKUP($F54,product[],6,0),"error")</f>
        <v>error</v>
      </c>
      <c r="T54" s="697"/>
      <c r="U54" s="697"/>
      <c r="V54" s="697">
        <f>YEAR(tbl_해외[[#This Row],[선적일]])</f>
        <v>2024</v>
      </c>
      <c r="W54" s="696">
        <f>IF(tbl_해외[[#This Row],[선적일]]="",0,MONTH(tbl_해외[[#This Row],[선적일]]))</f>
        <v>10</v>
      </c>
      <c r="X54" s="697" t="str">
        <f>IF($S54="카메라",VLOOKUP($F54,드롭다운!$A:$F,2,0),"")</f>
        <v/>
      </c>
      <c r="Y54" s="697" t="str">
        <f>IF($S54="카메라",VLOOKUP($F54,드롭다운!$A:$F,3,0),"")</f>
        <v/>
      </c>
      <c r="Z54" s="697" t="str">
        <f>IF($S54="카메라",VLOOKUP($F54,드롭다운!$A:$F,4,0),"")</f>
        <v/>
      </c>
      <c r="AA54" s="697" t="str">
        <f>IF($S54="카메라",VLOOKUP($F54,드롭다운!$A:$F,5,0),"")</f>
        <v/>
      </c>
      <c r="AB54" s="697"/>
      <c r="AC54" s="724"/>
    </row>
    <row r="55" spans="1:29">
      <c r="A55" s="695">
        <v>45567</v>
      </c>
      <c r="B55" s="704">
        <v>1</v>
      </c>
      <c r="C55" s="696" t="s">
        <v>7996</v>
      </c>
      <c r="D55" s="697" t="s">
        <v>307</v>
      </c>
      <c r="E55" s="697" t="s">
        <v>7532</v>
      </c>
      <c r="F55" s="697" t="s">
        <v>311</v>
      </c>
      <c r="G55" s="697" t="s">
        <v>832</v>
      </c>
      <c r="H55" s="698">
        <v>2</v>
      </c>
      <c r="I55" s="699">
        <v>0</v>
      </c>
      <c r="J55" s="699">
        <f>tbl_해외[[#This Row],[수량]]*tbl_해외[[#This Row],[단가]]</f>
        <v>0</v>
      </c>
      <c r="K55" s="700">
        <v>1358.82</v>
      </c>
      <c r="L55" s="701">
        <f>tbl_해외[[#This Row],[금액]]*tbl_해외[[#This Row],[환율(원/달러)]]</f>
        <v>0</v>
      </c>
      <c r="M55" s="695">
        <v>45583</v>
      </c>
      <c r="N55" s="695">
        <v>45587</v>
      </c>
      <c r="O55" s="695">
        <v>45589</v>
      </c>
      <c r="P55" s="697" t="s">
        <v>8036</v>
      </c>
      <c r="Q55" s="699">
        <v>0</v>
      </c>
      <c r="R55" s="695">
        <v>45588</v>
      </c>
      <c r="S55" s="697" t="str">
        <f>IFERROR(VLOOKUP($F55,product[],6,0),"error")</f>
        <v>error</v>
      </c>
      <c r="T55" s="697"/>
      <c r="U55" s="697"/>
      <c r="V55" s="697">
        <f>YEAR(tbl_해외[[#This Row],[선적일]])</f>
        <v>2024</v>
      </c>
      <c r="W55" s="696">
        <f>IF(tbl_해외[[#This Row],[선적일]]="",0,MONTH(tbl_해외[[#This Row],[선적일]]))</f>
        <v>10</v>
      </c>
      <c r="X55" s="697" t="str">
        <f>IF($S55="카메라",VLOOKUP($F55,드롭다운!$A:$F,2,0),"")</f>
        <v/>
      </c>
      <c r="Y55" s="697" t="str">
        <f>IF($S55="카메라",VLOOKUP($F55,드롭다운!$A:$F,3,0),"")</f>
        <v/>
      </c>
      <c r="Z55" s="697" t="str">
        <f>IF($S55="카메라",VLOOKUP($F55,드롭다운!$A:$F,4,0),"")</f>
        <v/>
      </c>
      <c r="AA55" s="697" t="str">
        <f>IF($S55="카메라",VLOOKUP($F55,드롭다운!$A:$F,5,0),"")</f>
        <v/>
      </c>
      <c r="AB55" s="697"/>
      <c r="AC55" s="724"/>
    </row>
    <row r="56" spans="1:29">
      <c r="A56" s="695">
        <v>45567</v>
      </c>
      <c r="B56" s="704">
        <v>2</v>
      </c>
      <c r="C56" s="696" t="s">
        <v>7997</v>
      </c>
      <c r="D56" s="710" t="s">
        <v>785</v>
      </c>
      <c r="E56" s="697" t="s">
        <v>7529</v>
      </c>
      <c r="F56" s="697" t="s">
        <v>300</v>
      </c>
      <c r="G56" s="697" t="s">
        <v>7527</v>
      </c>
      <c r="H56" s="698">
        <v>4</v>
      </c>
      <c r="I56" s="699">
        <v>4480</v>
      </c>
      <c r="J56" s="699">
        <f>tbl_해외[[#This Row],[수량]]*tbl_해외[[#This Row],[단가]]</f>
        <v>17920</v>
      </c>
      <c r="K56" s="700">
        <v>1358.82</v>
      </c>
      <c r="L56" s="701">
        <f>tbl_해외[[#This Row],[금액]]*tbl_해외[[#This Row],[환율(원/달러)]]</f>
        <v>24350054.399999999</v>
      </c>
      <c r="M56" s="695">
        <v>45590</v>
      </c>
      <c r="N56" s="695">
        <v>45590</v>
      </c>
      <c r="O56" s="695">
        <v>45590</v>
      </c>
      <c r="P56" s="697" t="s">
        <v>8414</v>
      </c>
      <c r="Q56" s="699">
        <v>17915</v>
      </c>
      <c r="R56" s="695">
        <v>45588</v>
      </c>
      <c r="S56" s="697" t="str">
        <f>IFERROR(VLOOKUP($F56,product[],6,0),"error")</f>
        <v>카메라</v>
      </c>
      <c r="T56" s="697" t="s">
        <v>301</v>
      </c>
      <c r="U56" s="697" t="s">
        <v>302</v>
      </c>
      <c r="V56" s="697">
        <f>YEAR(tbl_해외[[#This Row],[선적일]])</f>
        <v>2024</v>
      </c>
      <c r="W56" s="696">
        <f>IF(tbl_해외[[#This Row],[선적일]]="",0,MONTH(tbl_해외[[#This Row],[선적일]]))</f>
        <v>10</v>
      </c>
      <c r="X56" s="697" t="str">
        <f>IF($S56="카메라",VLOOKUP($F56,드롭다운!$A:$F,2,0),"")</f>
        <v>VGA</v>
      </c>
      <c r="Y56" s="697" t="str">
        <f>IF($S56="카메라",VLOOKUP($F56,드롭다운!$A:$F,3,0),"")</f>
        <v>Radiometric</v>
      </c>
      <c r="Z56" s="697" t="str">
        <f>IF($S56="카메라",VLOOKUP($F56,드롭다운!$A:$F,4,0),"")</f>
        <v>Analogue</v>
      </c>
      <c r="AA56" s="697">
        <f>IF($S56="카메라",VLOOKUP($F56,드롭다운!$A:$F,5,0),"")</f>
        <v>17</v>
      </c>
      <c r="AB56" s="697"/>
      <c r="AC56" s="724"/>
    </row>
    <row r="57" spans="1:29">
      <c r="A57" s="695">
        <v>45587</v>
      </c>
      <c r="B57" s="704">
        <v>2</v>
      </c>
      <c r="C57" s="696" t="s">
        <v>8072</v>
      </c>
      <c r="D57" s="710" t="s">
        <v>785</v>
      </c>
      <c r="E57" s="697" t="s">
        <v>7529</v>
      </c>
      <c r="F57" s="697" t="s">
        <v>241</v>
      </c>
      <c r="G57" s="697" t="s">
        <v>7527</v>
      </c>
      <c r="H57" s="698">
        <v>4</v>
      </c>
      <c r="I57" s="699">
        <v>4480</v>
      </c>
      <c r="J57" s="699">
        <f>tbl_해외[[#This Row],[수량]]*tbl_해외[[#This Row],[단가]]</f>
        <v>17920</v>
      </c>
      <c r="K57" s="700">
        <v>1358.82</v>
      </c>
      <c r="L57" s="701">
        <f>tbl_해외[[#This Row],[금액]]*tbl_해외[[#This Row],[환율(원/달러)]]</f>
        <v>24350054.399999999</v>
      </c>
      <c r="M57" s="695">
        <v>45590</v>
      </c>
      <c r="N57" s="695">
        <v>45590</v>
      </c>
      <c r="O57" s="695">
        <v>45590</v>
      </c>
      <c r="P57" s="697" t="s">
        <v>8414</v>
      </c>
      <c r="Q57" s="699">
        <v>17915</v>
      </c>
      <c r="R57" s="695">
        <v>45588</v>
      </c>
      <c r="S57" s="697" t="str">
        <f>IFERROR(VLOOKUP($F57,product[],6,0),"error")</f>
        <v>카메라</v>
      </c>
      <c r="T57" s="697" t="s">
        <v>301</v>
      </c>
      <c r="U57" s="697" t="s">
        <v>260</v>
      </c>
      <c r="V57" s="697">
        <f>YEAR(tbl_해외[[#This Row],[선적일]])</f>
        <v>2024</v>
      </c>
      <c r="W57" s="696">
        <f>IF(tbl_해외[[#This Row],[선적일]]="",0,MONTH(tbl_해외[[#This Row],[선적일]]))</f>
        <v>10</v>
      </c>
      <c r="X57" s="697" t="str">
        <f>IF($S57="카메라",VLOOKUP($F57,드롭다운!$A:$F,2,0),"")</f>
        <v>VGA</v>
      </c>
      <c r="Y57" s="697" t="str">
        <f>IF($S57="카메라",VLOOKUP($F57,드롭다운!$A:$F,3,0),"")</f>
        <v>Radiometric</v>
      </c>
      <c r="Z57" s="697" t="str">
        <f>IF($S57="카메라",VLOOKUP($F57,드롭다운!$A:$F,4,0),"")</f>
        <v>Analogue</v>
      </c>
      <c r="AA57" s="697">
        <f>IF($S57="카메라",VLOOKUP($F57,드롭다운!$A:$F,5,0),"")</f>
        <v>17</v>
      </c>
      <c r="AB57" s="697"/>
      <c r="AC57" s="724"/>
    </row>
    <row r="58" spans="1:29">
      <c r="A58" s="695">
        <v>45583</v>
      </c>
      <c r="B58" s="704">
        <v>9</v>
      </c>
      <c r="C58" s="696" t="s">
        <v>8056</v>
      </c>
      <c r="D58" s="697" t="s">
        <v>8054</v>
      </c>
      <c r="E58" s="697" t="s">
        <v>7531</v>
      </c>
      <c r="F58" s="697" t="s">
        <v>7534</v>
      </c>
      <c r="G58" s="697" t="s">
        <v>8055</v>
      </c>
      <c r="H58" s="698">
        <v>1</v>
      </c>
      <c r="I58" s="699">
        <v>400</v>
      </c>
      <c r="J58" s="699">
        <f>tbl_해외[[#This Row],[수량]]*tbl_해외[[#This Row],[단가]]</f>
        <v>400</v>
      </c>
      <c r="K58" s="700">
        <v>1376.82</v>
      </c>
      <c r="L58" s="701">
        <f>tbl_해외[[#This Row],[금액]]*tbl_해외[[#This Row],[환율(원/달러)]]</f>
        <v>550728</v>
      </c>
      <c r="M58" s="695">
        <v>45606</v>
      </c>
      <c r="N58" s="695">
        <v>45606</v>
      </c>
      <c r="O58" s="695">
        <v>45598</v>
      </c>
      <c r="P58" s="695" t="s">
        <v>295</v>
      </c>
      <c r="Q58" s="699">
        <v>400</v>
      </c>
      <c r="R58" s="695">
        <v>45590</v>
      </c>
      <c r="S58" s="697" t="str">
        <f>IFERROR(VLOOKUP($F58,product[],6,0),"error")</f>
        <v>error</v>
      </c>
      <c r="T58" s="699"/>
      <c r="U58" s="695"/>
      <c r="V58" s="697">
        <f>YEAR(tbl_해외[[#This Row],[선적일]])</f>
        <v>2024</v>
      </c>
      <c r="W58" s="696">
        <f>IF(tbl_해외[[#This Row],[선적일]]="",0,MONTH(tbl_해외[[#This Row],[선적일]]))</f>
        <v>11</v>
      </c>
      <c r="X58" s="697" t="str">
        <f>IF($S58="카메라",VLOOKUP($F58,드롭다운!$A:$F,2,0),"")</f>
        <v/>
      </c>
      <c r="Y58" s="697" t="str">
        <f>IF($S58="카메라",VLOOKUP($F58,드롭다운!$A:$F,3,0),"")</f>
        <v/>
      </c>
      <c r="Z58" s="697" t="str">
        <f>IF($S58="카메라",VLOOKUP($F58,드롭다운!$A:$F,4,0),"")</f>
        <v/>
      </c>
      <c r="AA58" s="697" t="str">
        <f>IF($S58="카메라",VLOOKUP($F58,드롭다운!$A:$F,5,0),"")</f>
        <v/>
      </c>
      <c r="AB58" s="697"/>
      <c r="AC58" s="724"/>
    </row>
    <row r="59" spans="1:29">
      <c r="A59" s="695">
        <v>45468</v>
      </c>
      <c r="B59" s="704" t="s">
        <v>8311</v>
      </c>
      <c r="C59" s="696" t="s">
        <v>8312</v>
      </c>
      <c r="D59" s="697" t="s">
        <v>110</v>
      </c>
      <c r="E59" s="697" t="s">
        <v>8187</v>
      </c>
      <c r="F59" s="697" t="s">
        <v>8188</v>
      </c>
      <c r="G59" s="697" t="s">
        <v>8189</v>
      </c>
      <c r="H59" s="698">
        <v>1</v>
      </c>
      <c r="I59" s="699">
        <v>3670</v>
      </c>
      <c r="J59" s="699">
        <f>H59*I59</f>
        <v>3670</v>
      </c>
      <c r="K59" s="700">
        <v>1383.52</v>
      </c>
      <c r="L59" s="701">
        <f>tbl_해외[[#This Row],[금액]]*tbl_해외[[#This Row],[환율(원/달러)]]</f>
        <v>5077518.4000000004</v>
      </c>
      <c r="M59" s="695">
        <v>45609</v>
      </c>
      <c r="N59" s="695">
        <v>45609</v>
      </c>
      <c r="O59" s="695">
        <v>45610</v>
      </c>
      <c r="P59" s="697" t="s">
        <v>8036</v>
      </c>
      <c r="Q59" s="699">
        <v>5558</v>
      </c>
      <c r="R59" s="695">
        <v>45601</v>
      </c>
      <c r="S59" s="697" t="str">
        <f>IFERROR(VLOOKUP($F59,product[],6,0),"error")</f>
        <v>카메라</v>
      </c>
      <c r="T59" s="699"/>
      <c r="U59" s="695"/>
      <c r="V59" s="697">
        <f>YEAR(tbl_해외[[#This Row],[선적일]])</f>
        <v>2024</v>
      </c>
      <c r="W59" s="696">
        <f>IF(tbl_해외[[#This Row],[선적일]]="",0,MONTH(tbl_해외[[#This Row],[선적일]]))</f>
        <v>11</v>
      </c>
      <c r="X59" s="697" t="str">
        <f>IF($S59="카메라",VLOOKUP($F59,드롭다운!$A:$F,2,0),"")</f>
        <v>VGA</v>
      </c>
      <c r="Y59" s="697" t="str">
        <f>IF($S59="카메라",VLOOKUP($F59,드롭다운!$A:$F,3,0),"")</f>
        <v>Radiometric</v>
      </c>
      <c r="Z59" s="697" t="str">
        <f>IF($S59="카메라",VLOOKUP($F59,드롭다운!$A:$F,4,0),"")</f>
        <v>Analogue</v>
      </c>
      <c r="AA59" s="697">
        <f>IF($S59="카메라",VLOOKUP($F59,드롭다운!$A:$F,5,0),"")</f>
        <v>17</v>
      </c>
      <c r="AB59" s="697"/>
      <c r="AC59" s="724"/>
    </row>
    <row r="60" spans="1:29">
      <c r="A60" s="695">
        <v>45468</v>
      </c>
      <c r="B60" s="704" t="s">
        <v>8311</v>
      </c>
      <c r="C60" s="696" t="s">
        <v>8312</v>
      </c>
      <c r="D60" s="697" t="s">
        <v>110</v>
      </c>
      <c r="E60" s="697" t="s">
        <v>8187</v>
      </c>
      <c r="F60" s="697" t="s">
        <v>7639</v>
      </c>
      <c r="G60" s="697" t="s">
        <v>8190</v>
      </c>
      <c r="H60" s="698">
        <v>1</v>
      </c>
      <c r="I60" s="699">
        <v>2200</v>
      </c>
      <c r="J60" s="699">
        <f>H60*I60</f>
        <v>2200</v>
      </c>
      <c r="K60" s="700">
        <v>1383.52</v>
      </c>
      <c r="L60" s="701">
        <f>tbl_해외[[#This Row],[금액]]*tbl_해외[[#This Row],[환율(원/달러)]]</f>
        <v>3043744</v>
      </c>
      <c r="M60" s="695">
        <v>45609</v>
      </c>
      <c r="N60" s="695">
        <v>45609</v>
      </c>
      <c r="O60" s="695">
        <v>45610</v>
      </c>
      <c r="P60" s="697" t="s">
        <v>8036</v>
      </c>
      <c r="Q60" s="699">
        <v>0</v>
      </c>
      <c r="R60" s="695">
        <v>45601</v>
      </c>
      <c r="S60" s="697" t="str">
        <f>IFERROR(VLOOKUP($F60,product[],6,0),"error")</f>
        <v>error</v>
      </c>
      <c r="T60" s="699"/>
      <c r="U60" s="695"/>
      <c r="V60" s="697">
        <f>YEAR(tbl_해외[[#This Row],[선적일]])</f>
        <v>2024</v>
      </c>
      <c r="W60" s="696">
        <f>IF(tbl_해외[[#This Row],[선적일]]="",0,MONTH(tbl_해외[[#This Row],[선적일]]))</f>
        <v>11</v>
      </c>
      <c r="X60" s="697" t="str">
        <f>IF($S60="카메라",VLOOKUP($F60,드롭다운!$A:$F,2,0),"")</f>
        <v/>
      </c>
      <c r="Y60" s="697" t="str">
        <f>IF($S60="카메라",VLOOKUP($F60,드롭다운!$A:$F,3,0),"")</f>
        <v/>
      </c>
      <c r="Z60" s="697" t="str">
        <f>IF($S60="카메라",VLOOKUP($F60,드롭다운!$A:$F,4,0),"")</f>
        <v/>
      </c>
      <c r="AA60" s="697" t="str">
        <f>IF($S60="카메라",VLOOKUP($F60,드롭다운!$A:$F,5,0),"")</f>
        <v/>
      </c>
      <c r="AB60" s="697"/>
      <c r="AC60" s="724"/>
    </row>
    <row r="61" spans="1:29">
      <c r="A61" s="695">
        <v>45589</v>
      </c>
      <c r="B61" s="704">
        <v>8</v>
      </c>
      <c r="C61" s="696" t="s">
        <v>8073</v>
      </c>
      <c r="D61" s="697" t="s">
        <v>117</v>
      </c>
      <c r="E61" s="697" t="s">
        <v>8050</v>
      </c>
      <c r="F61" s="697" t="s">
        <v>8051</v>
      </c>
      <c r="G61" s="697" t="s">
        <v>8052</v>
      </c>
      <c r="H61" s="698">
        <v>3</v>
      </c>
      <c r="I61" s="699">
        <v>2485</v>
      </c>
      <c r="J61" s="699">
        <f>tbl_해외[[#This Row],[수량]]*tbl_해외[[#This Row],[단가]]</f>
        <v>7455</v>
      </c>
      <c r="K61" s="700">
        <v>1399.1</v>
      </c>
      <c r="L61" s="701">
        <f>tbl_해외[[#This Row],[금액]]*tbl_해외[[#This Row],[환율(원/달러)]]</f>
        <v>10430290.5</v>
      </c>
      <c r="M61" s="695">
        <v>45618</v>
      </c>
      <c r="N61" s="695">
        <v>45619</v>
      </c>
      <c r="O61" s="695">
        <v>45619</v>
      </c>
      <c r="P61" s="695" t="s">
        <v>163</v>
      </c>
      <c r="Q61" s="699">
        <v>7438.5</v>
      </c>
      <c r="R61" s="695">
        <v>45596</v>
      </c>
      <c r="S61" s="697" t="str">
        <f>IFERROR(VLOOKUP($F61,product[],6,0),"error")</f>
        <v>카메라</v>
      </c>
      <c r="T61" s="699"/>
      <c r="U61" s="695"/>
      <c r="V61" s="697">
        <f>YEAR(tbl_해외[[#This Row],[선적일]])</f>
        <v>2024</v>
      </c>
      <c r="W61" s="696">
        <f>IF(tbl_해외[[#This Row],[선적일]]="",0,MONTH(tbl_해외[[#This Row],[선적일]]))</f>
        <v>11</v>
      </c>
      <c r="X61" s="697" t="str">
        <f>IF($S61="카메라",VLOOKUP($F61,드롭다운!$A:$F,2,0),"")</f>
        <v>VGA</v>
      </c>
      <c r="Y61" s="697" t="str">
        <f>IF($S61="카메라",VLOOKUP($F61,드롭다운!$A:$F,3,0),"")</f>
        <v>Radiometric</v>
      </c>
      <c r="Z61" s="697" t="str">
        <f>IF($S61="카메라",VLOOKUP($F61,드롭다운!$A:$F,4,0),"")</f>
        <v>Analogue</v>
      </c>
      <c r="AA61" s="697">
        <f>IF($S61="카메라",VLOOKUP($F61,드롭다운!$A:$F,5,0),"")</f>
        <v>17</v>
      </c>
      <c r="AB61" s="697"/>
      <c r="AC61" s="724"/>
    </row>
    <row r="62" spans="1:29">
      <c r="A62" s="695">
        <v>45593</v>
      </c>
      <c r="B62" s="704">
        <v>10</v>
      </c>
      <c r="C62" s="696" t="s">
        <v>8074</v>
      </c>
      <c r="D62" s="711" t="s">
        <v>8088</v>
      </c>
      <c r="E62" s="697" t="s">
        <v>7529</v>
      </c>
      <c r="F62" s="697" t="s">
        <v>49</v>
      </c>
      <c r="G62" s="697" t="s">
        <v>7515</v>
      </c>
      <c r="H62" s="698">
        <v>1</v>
      </c>
      <c r="I62" s="699">
        <v>3450</v>
      </c>
      <c r="J62" s="699">
        <f>H62*I62</f>
        <v>3450</v>
      </c>
      <c r="K62" s="700">
        <v>1399.1</v>
      </c>
      <c r="L62" s="701">
        <f t="shared" ref="L62:L93" si="2">K62*J62</f>
        <v>4826895</v>
      </c>
      <c r="M62" s="695">
        <v>45628</v>
      </c>
      <c r="N62" s="695">
        <v>45618</v>
      </c>
      <c r="O62" s="695">
        <v>45619</v>
      </c>
      <c r="P62" s="697" t="s">
        <v>295</v>
      </c>
      <c r="Q62" s="699">
        <v>3535</v>
      </c>
      <c r="R62" s="695">
        <v>45607</v>
      </c>
      <c r="S62" s="697" t="str">
        <f>IFERROR(VLOOKUP($F62,product[],6,0),"error")</f>
        <v>카메라</v>
      </c>
      <c r="T62" s="697" t="s">
        <v>56</v>
      </c>
      <c r="U62" s="697" t="s">
        <v>124</v>
      </c>
      <c r="V62" s="697">
        <f>YEAR(tbl_해외[[#This Row],[선적일]])</f>
        <v>2024</v>
      </c>
      <c r="W62" s="696">
        <f>IF(tbl_해외[[#This Row],[선적일]]="",0,MONTH(tbl_해외[[#This Row],[선적일]]))</f>
        <v>11</v>
      </c>
      <c r="X62" s="697" t="str">
        <f>IF($S62="카메라",VLOOKUP($F62,드롭다운!$A:$F,2,0),"")</f>
        <v>VGA</v>
      </c>
      <c r="Y62" s="697" t="str">
        <f>IF($S62="카메라",VLOOKUP($F62,드롭다운!$A:$F,3,0),"")</f>
        <v>Radiometric</v>
      </c>
      <c r="Z62" s="697" t="str">
        <f>IF($S62="카메라",VLOOKUP($F62,드롭다운!$A:$F,4,0),"")</f>
        <v>Analogue</v>
      </c>
      <c r="AA62" s="697">
        <f>IF($S62="카메라",VLOOKUP($F62,드롭다운!$A:$F,5,0),"")</f>
        <v>17</v>
      </c>
      <c r="AB62" s="697"/>
      <c r="AC62" s="724"/>
    </row>
    <row r="63" spans="1:29">
      <c r="A63" s="695">
        <v>45593</v>
      </c>
      <c r="B63" s="704">
        <v>10</v>
      </c>
      <c r="C63" s="696" t="s">
        <v>8074</v>
      </c>
      <c r="D63" s="711" t="s">
        <v>8088</v>
      </c>
      <c r="E63" s="697" t="s">
        <v>7531</v>
      </c>
      <c r="F63" s="697" t="s">
        <v>8070</v>
      </c>
      <c r="G63" s="697" t="s">
        <v>8071</v>
      </c>
      <c r="H63" s="698">
        <v>1</v>
      </c>
      <c r="I63" s="699">
        <v>100</v>
      </c>
      <c r="J63" s="699">
        <f>H63*I63</f>
        <v>100</v>
      </c>
      <c r="K63" s="700">
        <v>1399.1</v>
      </c>
      <c r="L63" s="701">
        <f t="shared" si="2"/>
        <v>139910</v>
      </c>
      <c r="M63" s="695">
        <v>45628</v>
      </c>
      <c r="N63" s="695">
        <v>45618</v>
      </c>
      <c r="O63" s="695">
        <v>45619</v>
      </c>
      <c r="P63" s="697" t="s">
        <v>295</v>
      </c>
      <c r="Q63" s="699">
        <v>0</v>
      </c>
      <c r="R63" s="695">
        <v>45607</v>
      </c>
      <c r="S63" s="697" t="str">
        <f>IFERROR(VLOOKUP($F63,product[],6,0),"error")</f>
        <v>error</v>
      </c>
      <c r="T63" s="697" t="s">
        <v>56</v>
      </c>
      <c r="U63" s="697" t="s">
        <v>124</v>
      </c>
      <c r="V63" s="697">
        <f>YEAR(tbl_해외[[#This Row],[선적일]])</f>
        <v>2024</v>
      </c>
      <c r="W63" s="696">
        <f>IF(tbl_해외[[#This Row],[선적일]]="",0,MONTH(tbl_해외[[#This Row],[선적일]]))</f>
        <v>11</v>
      </c>
      <c r="X63" s="697" t="str">
        <f>IF($S63="카메라",VLOOKUP($F63,드롭다운!$A:$F,2,0),"")</f>
        <v/>
      </c>
      <c r="Y63" s="697" t="str">
        <f>IF($S63="카메라",VLOOKUP($F63,드롭다운!$A:$F,3,0),"")</f>
        <v/>
      </c>
      <c r="Z63" s="697" t="str">
        <f>IF($S63="카메라",VLOOKUP($F63,드롭다운!$A:$F,4,0),"")</f>
        <v/>
      </c>
      <c r="AA63" s="697" t="str">
        <f>IF($S63="카메라",VLOOKUP($F63,드롭다운!$A:$F,5,0),"")</f>
        <v/>
      </c>
      <c r="AB63" s="697"/>
      <c r="AC63" s="724"/>
    </row>
    <row r="64" spans="1:29">
      <c r="A64" s="695">
        <v>45575</v>
      </c>
      <c r="B64" s="704" t="s">
        <v>8311</v>
      </c>
      <c r="C64" s="696" t="s">
        <v>8000</v>
      </c>
      <c r="D64" s="697" t="s">
        <v>110</v>
      </c>
      <c r="E64" s="697" t="s">
        <v>7533</v>
      </c>
      <c r="F64" s="697" t="s">
        <v>7939</v>
      </c>
      <c r="G64" s="697" t="s">
        <v>7941</v>
      </c>
      <c r="H64" s="698">
        <v>2</v>
      </c>
      <c r="I64" s="699">
        <v>590</v>
      </c>
      <c r="J64" s="699">
        <f>tbl_해외[[#This Row],[수량]]*tbl_해외[[#This Row],[단가]]</f>
        <v>1180</v>
      </c>
      <c r="K64" s="700">
        <v>1398.28</v>
      </c>
      <c r="L64" s="701">
        <f t="shared" si="2"/>
        <v>1649970.4</v>
      </c>
      <c r="M64" s="695">
        <v>45628</v>
      </c>
      <c r="N64" s="695">
        <v>45628</v>
      </c>
      <c r="O64" s="695">
        <v>45630</v>
      </c>
      <c r="P64" s="695" t="s">
        <v>162</v>
      </c>
      <c r="Q64" s="699">
        <v>0</v>
      </c>
      <c r="R64" s="695">
        <v>45622</v>
      </c>
      <c r="S64" s="697" t="str">
        <f>IFERROR(VLOOKUP($F64,product[],6,0),"error")</f>
        <v>error</v>
      </c>
      <c r="T64" s="699"/>
      <c r="U64" s="695"/>
      <c r="V64" s="697">
        <f>YEAR(tbl_해외[[#This Row],[선적일]])</f>
        <v>2024</v>
      </c>
      <c r="W64" s="696">
        <f>IF(tbl_해외[[#This Row],[선적일]]="",0,MONTH(tbl_해외[[#This Row],[선적일]]))</f>
        <v>12</v>
      </c>
      <c r="X64" s="697" t="str">
        <f>IF($S64="카메라",VLOOKUP($F64,드롭다운!$A:$F,2,0),"")</f>
        <v/>
      </c>
      <c r="Y64" s="697" t="str">
        <f>IF($S64="카메라",VLOOKUP($F64,드롭다운!$A:$F,3,0),"")</f>
        <v/>
      </c>
      <c r="Z64" s="697" t="str">
        <f>IF($S64="카메라",VLOOKUP($F64,드롭다운!$A:$F,4,0),"")</f>
        <v/>
      </c>
      <c r="AA64" s="697" t="str">
        <f>IF($S64="카메라",VLOOKUP($F64,드롭다운!$A:$F,5,0),"")</f>
        <v/>
      </c>
      <c r="AB64" s="697"/>
      <c r="AC64" s="724"/>
    </row>
    <row r="65" spans="1:29">
      <c r="A65" s="695">
        <v>45575</v>
      </c>
      <c r="B65" s="704" t="s">
        <v>8311</v>
      </c>
      <c r="C65" s="696" t="s">
        <v>8000</v>
      </c>
      <c r="D65" s="697" t="s">
        <v>110</v>
      </c>
      <c r="E65" s="697" t="s">
        <v>7532</v>
      </c>
      <c r="F65" s="697" t="s">
        <v>7940</v>
      </c>
      <c r="G65" s="697" t="s">
        <v>7941</v>
      </c>
      <c r="H65" s="698">
        <v>2</v>
      </c>
      <c r="I65" s="699">
        <v>0</v>
      </c>
      <c r="J65" s="699">
        <f>tbl_해외[[#This Row],[수량]]*tbl_해외[[#This Row],[단가]]</f>
        <v>0</v>
      </c>
      <c r="K65" s="700">
        <v>1398.28</v>
      </c>
      <c r="L65" s="701">
        <f t="shared" si="2"/>
        <v>0</v>
      </c>
      <c r="M65" s="695">
        <v>45628</v>
      </c>
      <c r="N65" s="695">
        <v>45628</v>
      </c>
      <c r="O65" s="695">
        <v>45630</v>
      </c>
      <c r="P65" s="695" t="s">
        <v>162</v>
      </c>
      <c r="Q65" s="699">
        <v>0</v>
      </c>
      <c r="R65" s="695">
        <v>45622</v>
      </c>
      <c r="S65" s="697" t="str">
        <f>IFERROR(VLOOKUP($F65,product[],6,0),"error")</f>
        <v>error</v>
      </c>
      <c r="T65" s="699"/>
      <c r="U65" s="695"/>
      <c r="V65" s="697">
        <f>YEAR(tbl_해외[[#This Row],[선적일]])</f>
        <v>2024</v>
      </c>
      <c r="W65" s="696">
        <f>IF(tbl_해외[[#This Row],[선적일]]="",0,MONTH(tbl_해외[[#This Row],[선적일]]))</f>
        <v>12</v>
      </c>
      <c r="X65" s="697" t="str">
        <f>IF($S65="카메라",VLOOKUP($F65,드롭다운!$A:$F,2,0),"")</f>
        <v/>
      </c>
      <c r="Y65" s="697" t="str">
        <f>IF($S65="카메라",VLOOKUP($F65,드롭다운!$A:$F,3,0),"")</f>
        <v/>
      </c>
      <c r="Z65" s="697" t="str">
        <f>IF($S65="카메라",VLOOKUP($F65,드롭다운!$A:$F,4,0),"")</f>
        <v/>
      </c>
      <c r="AA65" s="697" t="str">
        <f>IF($S65="카메라",VLOOKUP($F65,드롭다운!$A:$F,5,0),"")</f>
        <v/>
      </c>
      <c r="AB65" s="697"/>
      <c r="AC65" s="724"/>
    </row>
    <row r="66" spans="1:29">
      <c r="A66" s="695">
        <v>45618</v>
      </c>
      <c r="B66" s="704" t="s">
        <v>8311</v>
      </c>
      <c r="C66" s="696" t="s">
        <v>8313</v>
      </c>
      <c r="D66" s="697" t="s">
        <v>110</v>
      </c>
      <c r="E66" s="697" t="s">
        <v>7531</v>
      </c>
      <c r="F66" s="697" t="s">
        <v>7534</v>
      </c>
      <c r="G66" s="697" t="s">
        <v>8197</v>
      </c>
      <c r="H66" s="698">
        <v>1</v>
      </c>
      <c r="I66" s="699">
        <v>500</v>
      </c>
      <c r="J66" s="699">
        <f>H66*I66</f>
        <v>500</v>
      </c>
      <c r="K66" s="700">
        <v>1398.28</v>
      </c>
      <c r="L66" s="701">
        <f t="shared" si="2"/>
        <v>699140</v>
      </c>
      <c r="M66" s="695">
        <v>45628</v>
      </c>
      <c r="N66" s="695">
        <v>45628</v>
      </c>
      <c r="O66" s="695">
        <v>45630</v>
      </c>
      <c r="P66" s="695" t="s">
        <v>162</v>
      </c>
      <c r="Q66" s="699">
        <v>3368</v>
      </c>
      <c r="R66" s="695">
        <v>45622</v>
      </c>
      <c r="S66" s="697" t="str">
        <f>IFERROR(VLOOKUP($F66,product[],6,0),"error")</f>
        <v>error</v>
      </c>
      <c r="T66" s="699"/>
      <c r="U66" s="695"/>
      <c r="V66" s="697">
        <f>YEAR(tbl_해외[[#This Row],[선적일]])</f>
        <v>2024</v>
      </c>
      <c r="W66" s="696">
        <f>IF(tbl_해외[[#This Row],[선적일]]="",0,MONTH(tbl_해외[[#This Row],[선적일]]))</f>
        <v>12</v>
      </c>
      <c r="X66" s="697" t="str">
        <f>IF($S66="카메라",VLOOKUP($F66,드롭다운!$A:$F,2,0),"")</f>
        <v/>
      </c>
      <c r="Y66" s="697" t="str">
        <f>IF($S66="카메라",VLOOKUP($F66,드롭다운!$A:$F,3,0),"")</f>
        <v/>
      </c>
      <c r="Z66" s="697" t="str">
        <f>IF($S66="카메라",VLOOKUP($F66,드롭다운!$A:$F,4,0),"")</f>
        <v/>
      </c>
      <c r="AA66" s="697" t="str">
        <f>IF($S66="카메라",VLOOKUP($F66,드롭다운!$A:$F,5,0),"")</f>
        <v/>
      </c>
      <c r="AB66" s="697"/>
      <c r="AC66" s="724"/>
    </row>
    <row r="67" spans="1:29">
      <c r="A67" s="695">
        <v>45618</v>
      </c>
      <c r="B67" s="704" t="s">
        <v>8311</v>
      </c>
      <c r="C67" s="696" t="s">
        <v>8313</v>
      </c>
      <c r="D67" s="697" t="s">
        <v>110</v>
      </c>
      <c r="E67" s="697" t="s">
        <v>7531</v>
      </c>
      <c r="F67" s="697" t="s">
        <v>7534</v>
      </c>
      <c r="G67" s="697" t="s">
        <v>8198</v>
      </c>
      <c r="H67" s="698">
        <v>1</v>
      </c>
      <c r="I67" s="699">
        <v>1200</v>
      </c>
      <c r="J67" s="699">
        <f>H67*I67</f>
        <v>1200</v>
      </c>
      <c r="K67" s="700">
        <v>1398.28</v>
      </c>
      <c r="L67" s="701">
        <f t="shared" si="2"/>
        <v>1677936</v>
      </c>
      <c r="M67" s="695">
        <v>45628</v>
      </c>
      <c r="N67" s="695">
        <v>45628</v>
      </c>
      <c r="O67" s="695">
        <v>45630</v>
      </c>
      <c r="P67" s="695" t="s">
        <v>162</v>
      </c>
      <c r="Q67" s="699">
        <v>0</v>
      </c>
      <c r="R67" s="695">
        <v>45622</v>
      </c>
      <c r="S67" s="697" t="str">
        <f>IFERROR(VLOOKUP($F67,product[],6,0),"error")</f>
        <v>error</v>
      </c>
      <c r="T67" s="699"/>
      <c r="U67" s="695"/>
      <c r="V67" s="697">
        <f>YEAR(tbl_해외[[#This Row],[선적일]])</f>
        <v>2024</v>
      </c>
      <c r="W67" s="696">
        <f>IF(tbl_해외[[#This Row],[선적일]]="",0,MONTH(tbl_해외[[#This Row],[선적일]]))</f>
        <v>12</v>
      </c>
      <c r="X67" s="697" t="str">
        <f>IF($S67="카메라",VLOOKUP($F67,드롭다운!$A:$F,2,0),"")</f>
        <v/>
      </c>
      <c r="Y67" s="697" t="str">
        <f>IF($S67="카메라",VLOOKUP($F67,드롭다운!$A:$F,3,0),"")</f>
        <v/>
      </c>
      <c r="Z67" s="697" t="str">
        <f>IF($S67="카메라",VLOOKUP($F67,드롭다운!$A:$F,4,0),"")</f>
        <v/>
      </c>
      <c r="AA67" s="697" t="str">
        <f>IF($S67="카메라",VLOOKUP($F67,드롭다운!$A:$F,5,0),"")</f>
        <v/>
      </c>
      <c r="AB67" s="697"/>
      <c r="AC67" s="724"/>
    </row>
    <row r="68" spans="1:29">
      <c r="A68" s="695">
        <v>45618</v>
      </c>
      <c r="B68" s="704" t="s">
        <v>8311</v>
      </c>
      <c r="C68" s="696" t="s">
        <v>8313</v>
      </c>
      <c r="D68" s="697" t="s">
        <v>110</v>
      </c>
      <c r="E68" s="697" t="s">
        <v>7531</v>
      </c>
      <c r="F68" s="697" t="s">
        <v>7534</v>
      </c>
      <c r="G68" s="697" t="s">
        <v>8199</v>
      </c>
      <c r="H68" s="698">
        <v>1</v>
      </c>
      <c r="I68" s="699">
        <v>500</v>
      </c>
      <c r="J68" s="699">
        <f>H68*I68</f>
        <v>500</v>
      </c>
      <c r="K68" s="700">
        <v>1398.28</v>
      </c>
      <c r="L68" s="701">
        <f t="shared" si="2"/>
        <v>699140</v>
      </c>
      <c r="M68" s="695">
        <v>45628</v>
      </c>
      <c r="N68" s="695">
        <v>45628</v>
      </c>
      <c r="O68" s="695">
        <v>45630</v>
      </c>
      <c r="P68" s="695" t="s">
        <v>162</v>
      </c>
      <c r="Q68" s="699">
        <v>0</v>
      </c>
      <c r="R68" s="695">
        <v>45622</v>
      </c>
      <c r="S68" s="697" t="str">
        <f>IFERROR(VLOOKUP($F68,product[],6,0),"error")</f>
        <v>error</v>
      </c>
      <c r="T68" s="699"/>
      <c r="U68" s="695"/>
      <c r="V68" s="697">
        <f>YEAR(tbl_해외[[#This Row],[선적일]])</f>
        <v>2024</v>
      </c>
      <c r="W68" s="696">
        <f>IF(tbl_해외[[#This Row],[선적일]]="",0,MONTH(tbl_해외[[#This Row],[선적일]]))</f>
        <v>12</v>
      </c>
      <c r="X68" s="697" t="str">
        <f>IF($S68="카메라",VLOOKUP($F68,드롭다운!$A:$F,2,0),"")</f>
        <v/>
      </c>
      <c r="Y68" s="697" t="str">
        <f>IF($S68="카메라",VLOOKUP($F68,드롭다운!$A:$F,3,0),"")</f>
        <v/>
      </c>
      <c r="Z68" s="697" t="str">
        <f>IF($S68="카메라",VLOOKUP($F68,드롭다운!$A:$F,4,0),"")</f>
        <v/>
      </c>
      <c r="AA68" s="697" t="str">
        <f>IF($S68="카메라",VLOOKUP($F68,드롭다운!$A:$F,5,0),"")</f>
        <v/>
      </c>
      <c r="AB68" s="697"/>
      <c r="AC68" s="724"/>
    </row>
    <row r="69" spans="1:29">
      <c r="A69" s="695">
        <v>45625</v>
      </c>
      <c r="B69" s="704" t="s">
        <v>8311</v>
      </c>
      <c r="C69" s="696" t="s">
        <v>8299</v>
      </c>
      <c r="D69" s="697" t="s">
        <v>8243</v>
      </c>
      <c r="E69" s="697" t="s">
        <v>7531</v>
      </c>
      <c r="F69" s="697" t="s">
        <v>7534</v>
      </c>
      <c r="G69" s="697" t="s">
        <v>8244</v>
      </c>
      <c r="H69" s="698">
        <v>1</v>
      </c>
      <c r="I69" s="699">
        <v>500</v>
      </c>
      <c r="J69" s="699">
        <f>tbl_해외[[#This Row],[수량]]*tbl_해외[[#This Row],[단가]]</f>
        <v>500</v>
      </c>
      <c r="K69" s="700">
        <v>1405.68</v>
      </c>
      <c r="L69" s="701">
        <f t="shared" si="2"/>
        <v>702840</v>
      </c>
      <c r="M69" s="695">
        <v>45637</v>
      </c>
      <c r="N69" s="695">
        <v>45637</v>
      </c>
      <c r="O69" s="705">
        <v>45637</v>
      </c>
      <c r="P69" s="695" t="s">
        <v>295</v>
      </c>
      <c r="Q69" s="699">
        <v>977</v>
      </c>
      <c r="R69" s="695">
        <v>45632</v>
      </c>
      <c r="S69" s="697" t="str">
        <f>IFERROR(VLOOKUP($F69,product[],6,0),"error")</f>
        <v>error</v>
      </c>
      <c r="T69" s="699"/>
      <c r="U69" s="695"/>
      <c r="V69" s="697">
        <f>YEAR(tbl_해외[[#This Row],[선적일]])</f>
        <v>2024</v>
      </c>
      <c r="W69" s="696">
        <f>IF(tbl_해외[[#This Row],[선적일]]="",0,MONTH(tbl_해외[[#This Row],[선적일]]))</f>
        <v>12</v>
      </c>
      <c r="X69" s="697" t="str">
        <f>IF($S69="카메라",VLOOKUP($F69,드롭다운!$A:$F,2,0),"")</f>
        <v/>
      </c>
      <c r="Y69" s="697" t="str">
        <f>IF($S69="카메라",VLOOKUP($F69,드롭다운!$A:$F,3,0),"")</f>
        <v/>
      </c>
      <c r="Z69" s="697" t="str">
        <f>IF($S69="카메라",VLOOKUP($F69,드롭다운!$A:$F,4,0),"")</f>
        <v/>
      </c>
      <c r="AA69" s="697" t="str">
        <f>IF($S69="카메라",VLOOKUP($F69,드롭다운!$A:$F,5,0),"")</f>
        <v/>
      </c>
      <c r="AB69" s="697"/>
      <c r="AC69" s="724"/>
    </row>
    <row r="70" spans="1:29">
      <c r="A70" s="695">
        <v>45625</v>
      </c>
      <c r="B70" s="704" t="s">
        <v>8311</v>
      </c>
      <c r="C70" s="696" t="s">
        <v>8299</v>
      </c>
      <c r="D70" s="697" t="s">
        <v>8243</v>
      </c>
      <c r="E70" s="697" t="s">
        <v>7531</v>
      </c>
      <c r="F70" s="697" t="s">
        <v>7534</v>
      </c>
      <c r="G70" s="697" t="s">
        <v>8245</v>
      </c>
      <c r="H70" s="698">
        <v>1</v>
      </c>
      <c r="I70" s="699">
        <v>500</v>
      </c>
      <c r="J70" s="699">
        <f>tbl_해외[[#This Row],[수량]]*tbl_해외[[#This Row],[단가]]</f>
        <v>500</v>
      </c>
      <c r="K70" s="700">
        <v>1405.68</v>
      </c>
      <c r="L70" s="701">
        <f t="shared" si="2"/>
        <v>702840</v>
      </c>
      <c r="M70" s="695">
        <v>45637</v>
      </c>
      <c r="N70" s="695">
        <v>45637</v>
      </c>
      <c r="O70" s="705">
        <v>45637</v>
      </c>
      <c r="P70" s="695" t="s">
        <v>295</v>
      </c>
      <c r="Q70" s="699">
        <v>0</v>
      </c>
      <c r="R70" s="695">
        <v>45632</v>
      </c>
      <c r="S70" s="697" t="str">
        <f>IFERROR(VLOOKUP($F70,product[],6,0),"error")</f>
        <v>error</v>
      </c>
      <c r="T70" s="699"/>
      <c r="U70" s="695"/>
      <c r="V70" s="697">
        <f>YEAR(tbl_해외[[#This Row],[선적일]])</f>
        <v>2024</v>
      </c>
      <c r="W70" s="696">
        <f>IF(tbl_해외[[#This Row],[선적일]]="",0,MONTH(tbl_해외[[#This Row],[선적일]]))</f>
        <v>12</v>
      </c>
      <c r="X70" s="697" t="str">
        <f>IF($S70="카메라",VLOOKUP($F70,드롭다운!$A:$F,2,0),"")</f>
        <v/>
      </c>
      <c r="Y70" s="697" t="str">
        <f>IF($S70="카메라",VLOOKUP($F70,드롭다운!$A:$F,3,0),"")</f>
        <v/>
      </c>
      <c r="Z70" s="697" t="str">
        <f>IF($S70="카메라",VLOOKUP($F70,드롭다운!$A:$F,4,0),"")</f>
        <v/>
      </c>
      <c r="AA70" s="697" t="str">
        <f>IF($S70="카메라",VLOOKUP($F70,드롭다운!$A:$F,5,0),"")</f>
        <v/>
      </c>
      <c r="AB70" s="697"/>
      <c r="AC70" s="724"/>
    </row>
    <row r="71" spans="1:29">
      <c r="A71" s="695">
        <v>45594</v>
      </c>
      <c r="B71" s="704" t="s">
        <v>8311</v>
      </c>
      <c r="C71" s="696" t="s">
        <v>8314</v>
      </c>
      <c r="D71" s="697" t="s">
        <v>8122</v>
      </c>
      <c r="E71" s="697" t="s">
        <v>8078</v>
      </c>
      <c r="F71" s="697" t="s">
        <v>8079</v>
      </c>
      <c r="G71" s="697" t="s">
        <v>8080</v>
      </c>
      <c r="H71" s="698">
        <v>2</v>
      </c>
      <c r="I71" s="699">
        <v>1600</v>
      </c>
      <c r="J71" s="699">
        <f>H71*I71</f>
        <v>3200</v>
      </c>
      <c r="K71" s="700">
        <v>1438.14</v>
      </c>
      <c r="L71" s="701">
        <f t="shared" si="2"/>
        <v>4602048</v>
      </c>
      <c r="M71" s="695">
        <v>45650</v>
      </c>
      <c r="N71" s="695">
        <v>45650</v>
      </c>
      <c r="O71" s="695">
        <v>45651</v>
      </c>
      <c r="P71" s="695" t="s">
        <v>8298</v>
      </c>
      <c r="Q71" s="699">
        <v>3173</v>
      </c>
      <c r="R71" s="695">
        <v>45691</v>
      </c>
      <c r="S71" s="697" t="str">
        <f>IFERROR(VLOOKUP($F71,product[],6,0),"error")</f>
        <v>카메라</v>
      </c>
      <c r="T71" s="699" t="s">
        <v>9212</v>
      </c>
      <c r="U71" s="695"/>
      <c r="V71" s="697">
        <f>YEAR(tbl_해외[[#This Row],[선적일]])</f>
        <v>2024</v>
      </c>
      <c r="W71" s="696">
        <f>IF(tbl_해외[[#This Row],[선적일]]="",0,MONTH(tbl_해외[[#This Row],[선적일]]))</f>
        <v>12</v>
      </c>
      <c r="X71" s="697" t="str">
        <f>IF($S71="카메라",VLOOKUP($F71,드롭다운!$A:$F,2,0),"")</f>
        <v>QVGA</v>
      </c>
      <c r="Y71" s="697" t="str">
        <f>IF($S71="카메라",VLOOKUP($F71,드롭다운!$A:$F,3,0),"")</f>
        <v>Night vision</v>
      </c>
      <c r="Z71" s="697" t="str">
        <f>IF($S71="카메라",VLOOKUP($F71,드롭다운!$A:$F,4,0),"")</f>
        <v>Analogue</v>
      </c>
      <c r="AA71" s="697">
        <f>IF($S71="카메라",VLOOKUP($F71,드롭다운!$A:$F,5,0),"")</f>
        <v>17</v>
      </c>
      <c r="AB71" s="697"/>
      <c r="AC71" s="724"/>
    </row>
    <row r="72" spans="1:29">
      <c r="A72" s="712">
        <v>45519</v>
      </c>
      <c r="B72" s="713">
        <v>1</v>
      </c>
      <c r="C72" s="714" t="str">
        <f>"EX"&amp;TEXT(tbl_해외[[#This Row],[발주일]],"yymmdd")&amp;"-"&amp;TEXT(tbl_해외[[#This Row],[일렬번호]],"00")</f>
        <v>EX240815-01</v>
      </c>
      <c r="D72" s="715" t="s">
        <v>153</v>
      </c>
      <c r="E72" s="715" t="s">
        <v>7529</v>
      </c>
      <c r="F72" s="715" t="s">
        <v>8869</v>
      </c>
      <c r="G72" s="715" t="s">
        <v>7521</v>
      </c>
      <c r="H72" s="716" t="s">
        <v>8870</v>
      </c>
      <c r="I72" s="717">
        <v>11910</v>
      </c>
      <c r="J72" s="717">
        <f>tbl_해외[[#This Row],[수량]]*tbl_해외[[#This Row],[단가]]</f>
        <v>11910</v>
      </c>
      <c r="K72" s="718">
        <v>1454.03</v>
      </c>
      <c r="L72" s="719">
        <f t="shared" si="2"/>
        <v>17317497.300000001</v>
      </c>
      <c r="M72" s="712">
        <v>45659</v>
      </c>
      <c r="N72" s="712">
        <v>45659</v>
      </c>
      <c r="O72" s="720">
        <v>45661</v>
      </c>
      <c r="P72" s="712" t="s">
        <v>8413</v>
      </c>
      <c r="Q72" s="717">
        <v>14290</v>
      </c>
      <c r="R72" s="712">
        <v>45538</v>
      </c>
      <c r="S72" s="715" t="str">
        <f>IFERROR(VLOOKUP($F72,product[],6,0),"error")</f>
        <v>카메라</v>
      </c>
      <c r="T72" s="717"/>
      <c r="U72" s="712"/>
      <c r="V72" s="715">
        <f>YEAR(tbl_해외[[#This Row],[선적일]])</f>
        <v>2025</v>
      </c>
      <c r="W72" s="714">
        <f>IF(tbl_해외[[#This Row],[선적일]]="",0,MONTH(tbl_해외[[#This Row],[선적일]]))</f>
        <v>1</v>
      </c>
      <c r="X72" s="715" t="str">
        <f>IF($S72="카메라",VLOOKUP($F72,드롭다운!$A:$F,2,0),"")</f>
        <v>VGA</v>
      </c>
      <c r="Y72" s="715" t="str">
        <f>IF($S72="카메라",VLOOKUP($F72,드롭다운!$A:$F,3,0),"")</f>
        <v>Radiometric</v>
      </c>
      <c r="Z72" s="715" t="str">
        <f>IF($S72="카메라",VLOOKUP($F72,드롭다운!$A:$F,4,0),"")</f>
        <v>Analogue</v>
      </c>
      <c r="AA72" s="715">
        <f>IF($S72="카메라",VLOOKUP($F72,드롭다운!$A:$F,5,0),"")</f>
        <v>12</v>
      </c>
      <c r="AB72" s="715"/>
      <c r="AC72" s="724"/>
    </row>
    <row r="73" spans="1:29">
      <c r="A73" s="695">
        <v>45519</v>
      </c>
      <c r="B73" s="704">
        <v>1</v>
      </c>
      <c r="C73" s="696" t="str">
        <f>"EX"&amp;TEXT(tbl_해외[[#This Row],[발주일]],"yymmdd")&amp;"-"&amp;TEXT(tbl_해외[[#This Row],[일렬번호]],"00")</f>
        <v>EX240815-01</v>
      </c>
      <c r="D73" s="697" t="s">
        <v>153</v>
      </c>
      <c r="E73" s="697" t="s">
        <v>8872</v>
      </c>
      <c r="F73" s="697" t="s">
        <v>8873</v>
      </c>
      <c r="G73" s="697" t="s">
        <v>377</v>
      </c>
      <c r="H73" s="698" t="s">
        <v>8870</v>
      </c>
      <c r="I73" s="699">
        <v>1640</v>
      </c>
      <c r="J73" s="699">
        <f>tbl_해외[[#This Row],[수량]]*tbl_해외[[#This Row],[단가]]</f>
        <v>1640</v>
      </c>
      <c r="K73" s="700">
        <v>1454.03</v>
      </c>
      <c r="L73" s="701">
        <f t="shared" si="2"/>
        <v>2384609.2000000002</v>
      </c>
      <c r="M73" s="695">
        <v>45659</v>
      </c>
      <c r="N73" s="695">
        <v>45659</v>
      </c>
      <c r="O73" s="695">
        <v>45661</v>
      </c>
      <c r="P73" s="695" t="s">
        <v>8871</v>
      </c>
      <c r="Q73" s="699">
        <v>0</v>
      </c>
      <c r="R73" s="695">
        <v>45538</v>
      </c>
      <c r="S73" s="697" t="str">
        <f>IFERROR(VLOOKUP($F73,product[],6,0),"error")</f>
        <v>error</v>
      </c>
      <c r="T73" s="699"/>
      <c r="U73" s="695"/>
      <c r="V73" s="697">
        <f>YEAR(tbl_해외[[#This Row],[선적일]])</f>
        <v>2025</v>
      </c>
      <c r="W73" s="696">
        <f>IF(tbl_해외[[#This Row],[선적일]]="",0,MONTH(tbl_해외[[#This Row],[선적일]]))</f>
        <v>1</v>
      </c>
      <c r="X73" s="697" t="str">
        <f>IF($S73="카메라",VLOOKUP($F73,드롭다운!$A:$F,2,0),"")</f>
        <v/>
      </c>
      <c r="Y73" s="697" t="str">
        <f>IF($S73="카메라",VLOOKUP($F73,드롭다운!$A:$F,3,0),"")</f>
        <v/>
      </c>
      <c r="Z73" s="697" t="str">
        <f>IF($S73="카메라",VLOOKUP($F73,드롭다운!$A:$F,4,0),"")</f>
        <v/>
      </c>
      <c r="AA73" s="697" t="str">
        <f>IF($S73="카메라",VLOOKUP($F73,드롭다운!$A:$F,5,0),"")</f>
        <v/>
      </c>
      <c r="AB73" s="697"/>
      <c r="AC73" s="724"/>
    </row>
    <row r="74" spans="1:29">
      <c r="A74" s="695">
        <v>45519</v>
      </c>
      <c r="B74" s="704">
        <v>1</v>
      </c>
      <c r="C74" s="696" t="str">
        <f>"EX"&amp;TEXT(tbl_해외[[#This Row],[발주일]],"yymmdd")&amp;"-"&amp;TEXT(tbl_해외[[#This Row],[일렬번호]],"00")</f>
        <v>EX240815-01</v>
      </c>
      <c r="D74" s="697" t="s">
        <v>153</v>
      </c>
      <c r="E74" s="697" t="s">
        <v>8874</v>
      </c>
      <c r="F74" s="697" t="s">
        <v>8875</v>
      </c>
      <c r="G74" s="697" t="s">
        <v>377</v>
      </c>
      <c r="H74" s="698" t="s">
        <v>8870</v>
      </c>
      <c r="I74" s="699">
        <v>740</v>
      </c>
      <c r="J74" s="699">
        <f>tbl_해외[[#This Row],[수량]]*tbl_해외[[#This Row],[단가]]</f>
        <v>740</v>
      </c>
      <c r="K74" s="700">
        <v>1454.03</v>
      </c>
      <c r="L74" s="701">
        <f t="shared" si="2"/>
        <v>1075982.2</v>
      </c>
      <c r="M74" s="695">
        <v>45659</v>
      </c>
      <c r="N74" s="695">
        <v>45659</v>
      </c>
      <c r="O74" s="705">
        <v>45661</v>
      </c>
      <c r="P74" s="695" t="s">
        <v>8871</v>
      </c>
      <c r="Q74" s="699">
        <v>0</v>
      </c>
      <c r="R74" s="695">
        <v>45538</v>
      </c>
      <c r="S74" s="697" t="str">
        <f>IFERROR(VLOOKUP($F74,product[],6,0),"error")</f>
        <v>error</v>
      </c>
      <c r="T74" s="699"/>
      <c r="U74" s="695"/>
      <c r="V74" s="697">
        <f>YEAR(tbl_해외[[#This Row],[선적일]])</f>
        <v>2025</v>
      </c>
      <c r="W74" s="696">
        <f>IF(tbl_해외[[#This Row],[선적일]]="",0,MONTH(tbl_해외[[#This Row],[선적일]]))</f>
        <v>1</v>
      </c>
      <c r="X74" s="697" t="str">
        <f>IF($S74="카메라",VLOOKUP($F74,드롭다운!$A:$F,2,0),"")</f>
        <v/>
      </c>
      <c r="Y74" s="697" t="str">
        <f>IF($S74="카메라",VLOOKUP($F74,드롭다운!$A:$F,3,0),"")</f>
        <v/>
      </c>
      <c r="Z74" s="697" t="str">
        <f>IF($S74="카메라",VLOOKUP($F74,드롭다운!$A:$F,4,0),"")</f>
        <v/>
      </c>
      <c r="AA74" s="697" t="str">
        <f>IF($S74="카메라",VLOOKUP($F74,드롭다운!$A:$F,5,0),"")</f>
        <v/>
      </c>
      <c r="AB74" s="697"/>
      <c r="AC74" s="724"/>
    </row>
    <row r="75" spans="1:29">
      <c r="A75" s="695">
        <v>45636</v>
      </c>
      <c r="B75" s="704">
        <v>1</v>
      </c>
      <c r="C75" s="696" t="str">
        <f>"EX"&amp;TEXT(tbl_해외[[#This Row],[발주일]],"yymmdd")&amp;"-"&amp;TEXT(tbl_해외[[#This Row],[일렬번호]],"00")</f>
        <v>EX241210-01</v>
      </c>
      <c r="D75" s="697" t="s">
        <v>8261</v>
      </c>
      <c r="E75" s="697" t="s">
        <v>7529</v>
      </c>
      <c r="F75" s="697" t="s">
        <v>49</v>
      </c>
      <c r="G75" s="697" t="s">
        <v>7527</v>
      </c>
      <c r="H75" s="698">
        <v>5</v>
      </c>
      <c r="I75" s="699">
        <v>4480</v>
      </c>
      <c r="J75" s="699">
        <f>tbl_해외[[#This Row],[수량]]*tbl_해외[[#This Row],[단가]]</f>
        <v>22400</v>
      </c>
      <c r="K75" s="700">
        <v>1470.6</v>
      </c>
      <c r="L75" s="701">
        <f t="shared" si="2"/>
        <v>32941439.999999996</v>
      </c>
      <c r="M75" s="695">
        <v>45666</v>
      </c>
      <c r="N75" s="695">
        <v>45666</v>
      </c>
      <c r="O75" s="705">
        <v>45666</v>
      </c>
      <c r="P75" s="695" t="s">
        <v>9118</v>
      </c>
      <c r="Q75" s="699">
        <v>22395</v>
      </c>
      <c r="R75" s="695">
        <v>45665</v>
      </c>
      <c r="S75" s="697" t="str">
        <f>IFERROR(VLOOKUP($F75,product[],6,0),"error")</f>
        <v>카메라</v>
      </c>
      <c r="T75" s="699"/>
      <c r="U75" s="695"/>
      <c r="V75" s="697">
        <f>YEAR(tbl_해외[[#This Row],[선적일]])</f>
        <v>2025</v>
      </c>
      <c r="W75" s="696">
        <f>IF(tbl_해외[[#This Row],[선적일]]="",0,MONTH(tbl_해외[[#This Row],[선적일]]))</f>
        <v>1</v>
      </c>
      <c r="X75" s="697" t="str">
        <f>IF($S75="카메라",VLOOKUP($F75,드롭다운!$A:$F,2,0),"")</f>
        <v>VGA</v>
      </c>
      <c r="Y75" s="697" t="str">
        <f>IF($S75="카메라",VLOOKUP($F75,드롭다운!$A:$F,3,0),"")</f>
        <v>Radiometric</v>
      </c>
      <c r="Z75" s="697" t="str">
        <f>IF($S75="카메라",VLOOKUP($F75,드롭다운!$A:$F,4,0),"")</f>
        <v>Analogue</v>
      </c>
      <c r="AA75" s="697">
        <f>IF($S75="카메라",VLOOKUP($F75,드롭다운!$A:$F,5,0),"")</f>
        <v>17</v>
      </c>
      <c r="AB75" s="697"/>
      <c r="AC75" s="724"/>
    </row>
    <row r="76" spans="1:29">
      <c r="A76" s="695">
        <v>45639</v>
      </c>
      <c r="B76" s="704">
        <v>1</v>
      </c>
      <c r="C76" s="696" t="str">
        <f>"EX"&amp;TEXT(tbl_해외[[#This Row],[발주일]],"yymmdd")&amp;"-"&amp;TEXT(tbl_해외[[#This Row],[일렬번호]],"00")</f>
        <v>EX241213-01</v>
      </c>
      <c r="D76" s="697" t="s">
        <v>152</v>
      </c>
      <c r="E76" s="697" t="s">
        <v>7529</v>
      </c>
      <c r="F76" s="697" t="s">
        <v>122</v>
      </c>
      <c r="G76" s="697" t="s">
        <v>115</v>
      </c>
      <c r="H76" s="698">
        <v>1</v>
      </c>
      <c r="I76" s="699">
        <v>2464</v>
      </c>
      <c r="J76" s="699">
        <f>tbl_해외[[#This Row],[수량]]*tbl_해외[[#This Row],[단가]]</f>
        <v>2464</v>
      </c>
      <c r="K76" s="700">
        <v>1460.88</v>
      </c>
      <c r="L76" s="701">
        <f t="shared" si="2"/>
        <v>3599608.3200000003</v>
      </c>
      <c r="M76" s="695">
        <v>45674</v>
      </c>
      <c r="N76" s="695">
        <v>45675</v>
      </c>
      <c r="O76" s="705">
        <v>45675</v>
      </c>
      <c r="P76" s="695" t="s">
        <v>8876</v>
      </c>
      <c r="Q76" s="699">
        <v>2425</v>
      </c>
      <c r="R76" s="695">
        <v>45671</v>
      </c>
      <c r="S76" s="697" t="str">
        <f>IFERROR(VLOOKUP($F76,product[],6,0),"error")</f>
        <v>카메라</v>
      </c>
      <c r="T76" s="699"/>
      <c r="U76" s="695"/>
      <c r="V76" s="697">
        <f>YEAR(tbl_해외[[#This Row],[선적일]])</f>
        <v>2025</v>
      </c>
      <c r="W76" s="696">
        <f>IF(tbl_해외[[#This Row],[선적일]]="",0,MONTH(tbl_해외[[#This Row],[선적일]]))</f>
        <v>1</v>
      </c>
      <c r="X76" s="697" t="str">
        <f>IF($S76="카메라",VLOOKUP($F76,드롭다운!$A:$F,2,0),"")</f>
        <v>VGA</v>
      </c>
      <c r="Y76" s="697" t="str">
        <f>IF($S76="카메라",VLOOKUP($F76,드롭다운!$A:$F,3,0),"")</f>
        <v>Security</v>
      </c>
      <c r="Z76" s="697" t="str">
        <f>IF($S76="카메라",VLOOKUP($F76,드롭다운!$A:$F,4,0),"")</f>
        <v>Network</v>
      </c>
      <c r="AA76" s="697">
        <f>IF($S76="카메라",VLOOKUP($F76,드롭다운!$A:$F,5,0),"")</f>
        <v>12</v>
      </c>
      <c r="AB76" s="697"/>
      <c r="AC76" s="724"/>
    </row>
    <row r="77" spans="1:29">
      <c r="A77" s="695">
        <v>45671</v>
      </c>
      <c r="B77" s="704">
        <v>1</v>
      </c>
      <c r="C77" s="696" t="str">
        <f>"EX"&amp;TEXT(tbl_해외[[#This Row],[발주일]],"yymmdd")&amp;"-"&amp;TEXT(tbl_해외[[#This Row],[일렬번호]],"00")</f>
        <v>EX250114-01</v>
      </c>
      <c r="D77" s="697" t="s">
        <v>152</v>
      </c>
      <c r="E77" s="697" t="s">
        <v>8877</v>
      </c>
      <c r="F77" s="697" t="s">
        <v>8881</v>
      </c>
      <c r="G77" s="697" t="s">
        <v>8882</v>
      </c>
      <c r="H77" s="698">
        <v>1</v>
      </c>
      <c r="I77" s="699">
        <v>200</v>
      </c>
      <c r="J77" s="699">
        <f>tbl_해외[[#This Row],[수량]]*tbl_해외[[#This Row],[단가]]</f>
        <v>200</v>
      </c>
      <c r="K77" s="700">
        <v>1460.88</v>
      </c>
      <c r="L77" s="701">
        <f t="shared" si="2"/>
        <v>292176</v>
      </c>
      <c r="M77" s="695">
        <v>45674</v>
      </c>
      <c r="N77" s="695">
        <v>45675</v>
      </c>
      <c r="O77" s="705">
        <v>45675</v>
      </c>
      <c r="P77" s="695" t="s">
        <v>295</v>
      </c>
      <c r="Q77" s="699">
        <v>161</v>
      </c>
      <c r="R77" s="695">
        <v>45673</v>
      </c>
      <c r="S77" s="697" t="str">
        <f>IFERROR(VLOOKUP($F77,product[],6,0),"error")</f>
        <v>error</v>
      </c>
      <c r="T77" s="699"/>
      <c r="U77" s="695"/>
      <c r="V77" s="697">
        <f>YEAR(tbl_해외[[#This Row],[선적일]])</f>
        <v>2025</v>
      </c>
      <c r="W77" s="696">
        <f>IF(tbl_해외[[#This Row],[선적일]]="",0,MONTH(tbl_해외[[#This Row],[선적일]]))</f>
        <v>1</v>
      </c>
      <c r="X77" s="697" t="str">
        <f>IF($S77="카메라",VLOOKUP($F77,드롭다운!$A:$F,2,0),"")</f>
        <v/>
      </c>
      <c r="Y77" s="697" t="str">
        <f>IF($S77="카메라",VLOOKUP($F77,드롭다운!$A:$F,3,0),"")</f>
        <v/>
      </c>
      <c r="Z77" s="697" t="str">
        <f>IF($S77="카메라",VLOOKUP($F77,드롭다운!$A:$F,4,0),"")</f>
        <v/>
      </c>
      <c r="AA77" s="697" t="str">
        <f>IF($S77="카메라",VLOOKUP($F77,드롭다운!$A:$F,5,0),"")</f>
        <v/>
      </c>
      <c r="AB77" s="697"/>
      <c r="AC77" s="724"/>
    </row>
    <row r="78" spans="1:29">
      <c r="A78" s="695">
        <v>45645</v>
      </c>
      <c r="B78" s="704">
        <v>1</v>
      </c>
      <c r="C78" s="696" t="str">
        <f>"EX"&amp;TEXT(tbl_해외[[#This Row],[발주일]],"yymmdd")&amp;"-"&amp;TEXT(tbl_해외[[#This Row],[일렬번호]],"00")</f>
        <v>EX241219-01</v>
      </c>
      <c r="D78" s="697" t="s">
        <v>8272</v>
      </c>
      <c r="E78" s="697" t="s">
        <v>7529</v>
      </c>
      <c r="F78" s="697" t="s">
        <v>50</v>
      </c>
      <c r="G78" s="697" t="s">
        <v>8878</v>
      </c>
      <c r="H78" s="698">
        <v>1</v>
      </c>
      <c r="I78" s="699">
        <v>2620</v>
      </c>
      <c r="J78" s="699">
        <f>tbl_해외[[#This Row],[수량]]*tbl_해외[[#This Row],[단가]]</f>
        <v>2620</v>
      </c>
      <c r="K78" s="700">
        <v>1456.02</v>
      </c>
      <c r="L78" s="701">
        <f t="shared" si="2"/>
        <v>3814772.4</v>
      </c>
      <c r="M78" s="695">
        <v>45698</v>
      </c>
      <c r="N78" s="695">
        <v>45698</v>
      </c>
      <c r="O78" s="705">
        <v>45699</v>
      </c>
      <c r="P78" s="695" t="s">
        <v>8879</v>
      </c>
      <c r="Q78" s="699">
        <v>2615</v>
      </c>
      <c r="R78" s="695">
        <v>45677</v>
      </c>
      <c r="S78" s="697" t="str">
        <f>IFERROR(VLOOKUP($F78,product[],6,0),"error")</f>
        <v>카메라</v>
      </c>
      <c r="T78" s="699"/>
      <c r="U78" s="695"/>
      <c r="V78" s="697">
        <f>YEAR(tbl_해외[[#This Row],[선적일]])</f>
        <v>2025</v>
      </c>
      <c r="W78" s="696">
        <f>IF(tbl_해외[[#This Row],[선적일]]="",0,MONTH(tbl_해외[[#This Row],[선적일]]))</f>
        <v>2</v>
      </c>
      <c r="X78" s="697" t="str">
        <f>IF($S78="카메라",VLOOKUP($F78,드롭다운!$A:$F,2,0),"")</f>
        <v>QVGA</v>
      </c>
      <c r="Y78" s="697" t="str">
        <f>IF($S78="카메라",VLOOKUP($F78,드롭다운!$A:$F,3,0),"")</f>
        <v>Radiometric</v>
      </c>
      <c r="Z78" s="697" t="str">
        <f>IF($S78="카메라",VLOOKUP($F78,드롭다운!$A:$F,4,0),"")</f>
        <v>Analogue</v>
      </c>
      <c r="AA78" s="697">
        <f>IF($S78="카메라",VLOOKUP($F78,드롭다운!$A:$F,5,0),"")</f>
        <v>17</v>
      </c>
      <c r="AB78" s="697"/>
      <c r="AC78" s="724"/>
    </row>
    <row r="79" spans="1:29">
      <c r="A79" s="695">
        <v>45664</v>
      </c>
      <c r="B79" s="704">
        <v>1</v>
      </c>
      <c r="C79" s="696" t="str">
        <f>"EX"&amp;TEXT(tbl_해외[[#This Row],[발주일]],"yymmdd")&amp;"-"&amp;TEXT(tbl_해외[[#This Row],[일렬번호]],"00")</f>
        <v>EX250107-01</v>
      </c>
      <c r="D79" s="697" t="s">
        <v>110</v>
      </c>
      <c r="E79" s="697" t="s">
        <v>7529</v>
      </c>
      <c r="F79" s="697" t="s">
        <v>8880</v>
      </c>
      <c r="G79" s="697" t="s">
        <v>377</v>
      </c>
      <c r="H79" s="698">
        <v>2</v>
      </c>
      <c r="I79" s="699">
        <v>590</v>
      </c>
      <c r="J79" s="699">
        <f>tbl_해외[[#This Row],[수량]]*tbl_해외[[#This Row],[단가]]</f>
        <v>1180</v>
      </c>
      <c r="K79" s="700">
        <v>1456.02</v>
      </c>
      <c r="L79" s="701">
        <f t="shared" si="2"/>
        <v>1718103.6</v>
      </c>
      <c r="M79" s="695">
        <v>45698</v>
      </c>
      <c r="N79" s="695">
        <v>45698</v>
      </c>
      <c r="O79" s="705">
        <v>45699</v>
      </c>
      <c r="P79" s="695" t="s">
        <v>162</v>
      </c>
      <c r="Q79" s="699">
        <v>1168</v>
      </c>
      <c r="R79" s="695">
        <v>45698</v>
      </c>
      <c r="S79" s="697" t="str">
        <f>IFERROR(VLOOKUP($F79,product[],6,0),"error")</f>
        <v>error</v>
      </c>
      <c r="T79" s="699"/>
      <c r="U79" s="695"/>
      <c r="V79" s="697">
        <f>YEAR(tbl_해외[[#This Row],[선적일]])</f>
        <v>2025</v>
      </c>
      <c r="W79" s="696">
        <f>IF(tbl_해외[[#This Row],[선적일]]="",0,MONTH(tbl_해외[[#This Row],[선적일]]))</f>
        <v>2</v>
      </c>
      <c r="X79" s="697" t="str">
        <f>IF($S79="카메라",VLOOKUP($F79,드롭다운!$A:$F,2,0),"")</f>
        <v/>
      </c>
      <c r="Y79" s="697" t="str">
        <f>IF($S79="카메라",VLOOKUP($F79,드롭다운!$A:$F,3,0),"")</f>
        <v/>
      </c>
      <c r="Z79" s="697" t="str">
        <f>IF($S79="카메라",VLOOKUP($F79,드롭다운!$A:$F,4,0),"")</f>
        <v/>
      </c>
      <c r="AA79" s="697" t="str">
        <f>IF($S79="카메라",VLOOKUP($F79,드롭다운!$A:$F,5,0),"")</f>
        <v/>
      </c>
      <c r="AB79" s="697"/>
      <c r="AC79" s="724"/>
    </row>
    <row r="80" spans="1:29">
      <c r="A80" s="695">
        <v>45664</v>
      </c>
      <c r="B80" s="704">
        <v>1</v>
      </c>
      <c r="C80" s="696" t="str">
        <f>"EX"&amp;TEXT(tbl_해외[[#This Row],[발주일]],"yymmdd")&amp;"-"&amp;TEXT(tbl_해외[[#This Row],[일렬번호]],"00")</f>
        <v>EX250107-01</v>
      </c>
      <c r="D80" s="697" t="s">
        <v>110</v>
      </c>
      <c r="E80" s="697" t="s">
        <v>8872</v>
      </c>
      <c r="F80" s="697" t="s">
        <v>179</v>
      </c>
      <c r="G80" s="697" t="s">
        <v>377</v>
      </c>
      <c r="H80" s="698">
        <v>2</v>
      </c>
      <c r="I80" s="699">
        <v>0</v>
      </c>
      <c r="J80" s="699">
        <f>tbl_해외[[#This Row],[수량]]*tbl_해외[[#This Row],[단가]]</f>
        <v>0</v>
      </c>
      <c r="K80" s="700">
        <v>1456.02</v>
      </c>
      <c r="L80" s="701">
        <f t="shared" si="2"/>
        <v>0</v>
      </c>
      <c r="M80" s="695">
        <v>45698</v>
      </c>
      <c r="N80" s="695">
        <v>45698</v>
      </c>
      <c r="O80" s="705">
        <v>45699</v>
      </c>
      <c r="P80" s="695" t="s">
        <v>162</v>
      </c>
      <c r="Q80" s="699">
        <v>0</v>
      </c>
      <c r="R80" s="695">
        <v>45698</v>
      </c>
      <c r="S80" s="697" t="str">
        <f>IFERROR(VLOOKUP($F80,product[],6,0),"error")</f>
        <v>error</v>
      </c>
      <c r="T80" s="699"/>
      <c r="U80" s="695"/>
      <c r="V80" s="697">
        <f>YEAR(tbl_해외[[#This Row],[선적일]])</f>
        <v>2025</v>
      </c>
      <c r="W80" s="696">
        <f>IF(tbl_해외[[#This Row],[선적일]]="",0,MONTH(tbl_해외[[#This Row],[선적일]]))</f>
        <v>2</v>
      </c>
      <c r="X80" s="697" t="str">
        <f>IF($S80="카메라",VLOOKUP($F80,드롭다운!$A:$F,2,0),"")</f>
        <v/>
      </c>
      <c r="Y80" s="697" t="str">
        <f>IF($S80="카메라",VLOOKUP($F80,드롭다운!$A:$F,3,0),"")</f>
        <v/>
      </c>
      <c r="Z80" s="697" t="str">
        <f>IF($S80="카메라",VLOOKUP($F80,드롭다운!$A:$F,4,0),"")</f>
        <v/>
      </c>
      <c r="AA80" s="697" t="str">
        <f>IF($S80="카메라",VLOOKUP($F80,드롭다운!$A:$F,5,0),"")</f>
        <v/>
      </c>
      <c r="AB80" s="697"/>
      <c r="AC80" s="724"/>
    </row>
    <row r="81" spans="1:29">
      <c r="A81" s="695">
        <v>45691</v>
      </c>
      <c r="B81" s="704">
        <v>3</v>
      </c>
      <c r="C81" s="696" t="str">
        <f>"EX"&amp;TEXT(tbl_해외[[#This Row],[발주일]],"yymmdd")&amp;"-"&amp;TEXT(tbl_해외[[#This Row],[일렬번호]],"00")</f>
        <v>EX250203-03</v>
      </c>
      <c r="D81" s="697" t="s">
        <v>8455</v>
      </c>
      <c r="E81" s="697" t="s">
        <v>8877</v>
      </c>
      <c r="F81" s="697" t="s">
        <v>8881</v>
      </c>
      <c r="G81" s="697" t="s">
        <v>8892</v>
      </c>
      <c r="H81" s="698">
        <v>1</v>
      </c>
      <c r="I81" s="699">
        <v>380</v>
      </c>
      <c r="J81" s="699">
        <f>tbl_해외[[#This Row],[수량]]*tbl_해외[[#This Row],[단가]]</f>
        <v>380</v>
      </c>
      <c r="K81" s="700">
        <v>1507.67</v>
      </c>
      <c r="L81" s="701">
        <f t="shared" si="2"/>
        <v>572914.6</v>
      </c>
      <c r="M81" s="695">
        <v>45700</v>
      </c>
      <c r="N81" s="695">
        <v>45700</v>
      </c>
      <c r="O81" s="705">
        <v>45701</v>
      </c>
      <c r="P81" s="695" t="s">
        <v>8893</v>
      </c>
      <c r="Q81" s="699">
        <v>350</v>
      </c>
      <c r="R81" s="695">
        <v>45327</v>
      </c>
      <c r="S81" s="697" t="str">
        <f>IFERROR(VLOOKUP($F81,product[],6,0),"error")</f>
        <v>error</v>
      </c>
      <c r="T81" s="699"/>
      <c r="U81" s="695"/>
      <c r="V81" s="697">
        <f>YEAR(tbl_해외[[#This Row],[선적일]])</f>
        <v>2025</v>
      </c>
      <c r="W81" s="696">
        <f>IF(tbl_해외[[#This Row],[선적일]]="",0,MONTH(tbl_해외[[#This Row],[선적일]]))</f>
        <v>2</v>
      </c>
      <c r="X81" s="697" t="str">
        <f>IF($S81="카메라",VLOOKUP($F81,드롭다운!$A:$F,2,0),"")</f>
        <v/>
      </c>
      <c r="Y81" s="697" t="str">
        <f>IF($S81="카메라",VLOOKUP($F81,드롭다운!$A:$F,3,0),"")</f>
        <v/>
      </c>
      <c r="Z81" s="697" t="str">
        <f>IF($S81="카메라",VLOOKUP($F81,드롭다운!$A:$F,4,0),"")</f>
        <v/>
      </c>
      <c r="AA81" s="697" t="str">
        <f>IF($S81="카메라",VLOOKUP($F81,드롭다운!$A:$F,5,0),"")</f>
        <v/>
      </c>
      <c r="AB81" s="697"/>
      <c r="AC81" s="724"/>
    </row>
    <row r="82" spans="1:29">
      <c r="A82" s="695">
        <v>45681</v>
      </c>
      <c r="B82" s="704">
        <v>1</v>
      </c>
      <c r="C82" s="696" t="str">
        <f>"EX"&amp;TEXT(tbl_해외[[#This Row],[발주일]],"yymmdd")&amp;"-"&amp;TEXT(tbl_해외[[#This Row],[일렬번호]],"00")</f>
        <v>EX250124-01</v>
      </c>
      <c r="D82" s="697" t="s">
        <v>117</v>
      </c>
      <c r="E82" s="697" t="s">
        <v>7529</v>
      </c>
      <c r="F82" s="697" t="s">
        <v>116</v>
      </c>
      <c r="G82" s="697" t="s">
        <v>8889</v>
      </c>
      <c r="H82" s="698">
        <v>1</v>
      </c>
      <c r="I82" s="699">
        <v>3145</v>
      </c>
      <c r="J82" s="699">
        <f>tbl_해외[[#This Row],[수량]]*tbl_해외[[#This Row],[단가]]</f>
        <v>3145</v>
      </c>
      <c r="K82" s="700">
        <v>1441.66</v>
      </c>
      <c r="L82" s="701">
        <f t="shared" si="2"/>
        <v>4534020.7</v>
      </c>
      <c r="M82" s="695">
        <v>45715</v>
      </c>
      <c r="N82" s="695">
        <v>45715</v>
      </c>
      <c r="O82" s="705">
        <v>45716</v>
      </c>
      <c r="P82" s="695" t="s">
        <v>8890</v>
      </c>
      <c r="Q82" s="699">
        <v>3134</v>
      </c>
      <c r="R82" s="695">
        <v>45708</v>
      </c>
      <c r="S82" s="697" t="str">
        <f>IFERROR(VLOOKUP($F82,product[],6,0),"error")</f>
        <v>카메라</v>
      </c>
      <c r="T82" s="699"/>
      <c r="U82" s="695"/>
      <c r="V82" s="697">
        <f>YEAR(tbl_해외[[#This Row],[선적일]])</f>
        <v>2025</v>
      </c>
      <c r="W82" s="696">
        <f>IF(tbl_해외[[#This Row],[선적일]]="",0,MONTH(tbl_해외[[#This Row],[선적일]]))</f>
        <v>2</v>
      </c>
      <c r="X82" s="697" t="str">
        <f>IF($S82="카메라",VLOOKUP($F82,드롭다운!$A:$F,2,0),"")</f>
        <v>QVGA</v>
      </c>
      <c r="Y82" s="697" t="str">
        <f>IF($S82="카메라",VLOOKUP($F82,드롭다운!$A:$F,3,0),"")</f>
        <v>Radiometric</v>
      </c>
      <c r="Z82" s="697" t="str">
        <f>IF($S82="카메라",VLOOKUP($F82,드롭다운!$A:$F,4,0),"")</f>
        <v>Network</v>
      </c>
      <c r="AA82" s="697">
        <f>IF($S82="카메라",VLOOKUP($F82,드롭다운!$A:$F,5,0),"")</f>
        <v>17</v>
      </c>
      <c r="AB82" s="697"/>
      <c r="AC82" s="724"/>
    </row>
    <row r="83" spans="1:29">
      <c r="A83" s="695">
        <v>45691</v>
      </c>
      <c r="B83" s="704">
        <v>2</v>
      </c>
      <c r="C83" s="696" t="str">
        <f>"EX"&amp;TEXT(tbl_해외[[#This Row],[발주일]],"yymmdd")&amp;"-"&amp;TEXT(tbl_해외[[#This Row],[일렬번호]],"00")</f>
        <v>EX250203-02</v>
      </c>
      <c r="D83" s="697" t="s">
        <v>8054</v>
      </c>
      <c r="E83" s="697" t="s">
        <v>8877</v>
      </c>
      <c r="F83" s="697" t="s">
        <v>8881</v>
      </c>
      <c r="G83" s="697" t="s">
        <v>8891</v>
      </c>
      <c r="H83" s="698">
        <v>1</v>
      </c>
      <c r="I83" s="699">
        <v>400</v>
      </c>
      <c r="J83" s="699">
        <f>tbl_해외[[#This Row],[수량]]*tbl_해외[[#This Row],[단가]]</f>
        <v>400</v>
      </c>
      <c r="K83" s="700">
        <v>1433.08</v>
      </c>
      <c r="L83" s="701">
        <f t="shared" si="2"/>
        <v>573232</v>
      </c>
      <c r="M83" s="695">
        <v>45721</v>
      </c>
      <c r="N83" s="695">
        <v>45721</v>
      </c>
      <c r="O83" s="705">
        <v>45722</v>
      </c>
      <c r="P83" s="695" t="s">
        <v>8876</v>
      </c>
      <c r="Q83" s="699">
        <v>800</v>
      </c>
      <c r="R83" s="695">
        <v>45721</v>
      </c>
      <c r="S83" s="697" t="str">
        <f>IFERROR(VLOOKUP($F83,product[],6,0),"error")</f>
        <v>error</v>
      </c>
      <c r="T83" s="699"/>
      <c r="U83" s="695"/>
      <c r="V83" s="697">
        <f>YEAR(tbl_해외[[#This Row],[선적일]])</f>
        <v>2025</v>
      </c>
      <c r="W83" s="696">
        <f>IF(tbl_해외[[#This Row],[선적일]]="",0,MONTH(tbl_해외[[#This Row],[선적일]]))</f>
        <v>3</v>
      </c>
      <c r="X83" s="697" t="str">
        <f>IF($S83="카메라",VLOOKUP($F83,드롭다운!$A:$F,2,0),"")</f>
        <v/>
      </c>
      <c r="Y83" s="697" t="str">
        <f>IF($S83="카메라",VLOOKUP($F83,드롭다운!$A:$F,3,0),"")</f>
        <v/>
      </c>
      <c r="Z83" s="697" t="str">
        <f>IF($S83="카메라",VLOOKUP($F83,드롭다운!$A:$F,4,0),"")</f>
        <v/>
      </c>
      <c r="AA83" s="697" t="str">
        <f>IF($S83="카메라",VLOOKUP($F83,드롭다운!$A:$F,5,0),"")</f>
        <v/>
      </c>
      <c r="AB83" s="697"/>
      <c r="AC83" s="724"/>
    </row>
    <row r="84" spans="1:29">
      <c r="A84" s="695">
        <v>45694</v>
      </c>
      <c r="B84" s="704">
        <v>1</v>
      </c>
      <c r="C84" s="696" t="str">
        <f>"EX"&amp;TEXT(tbl_해외[[#This Row],[발주일]],"yymmdd")&amp;"-"&amp;TEXT(tbl_해외[[#This Row],[일렬번호]],"00")</f>
        <v>EX250206-01</v>
      </c>
      <c r="D84" s="697" t="s">
        <v>8054</v>
      </c>
      <c r="E84" s="697" t="s">
        <v>8877</v>
      </c>
      <c r="F84" s="697" t="s">
        <v>8881</v>
      </c>
      <c r="G84" s="697" t="s">
        <v>8894</v>
      </c>
      <c r="H84" s="698">
        <v>1</v>
      </c>
      <c r="I84" s="699">
        <v>400</v>
      </c>
      <c r="J84" s="699">
        <f>tbl_해외[[#This Row],[수량]]*tbl_해외[[#This Row],[단가]]</f>
        <v>400</v>
      </c>
      <c r="K84" s="700">
        <v>1433.08</v>
      </c>
      <c r="L84" s="701">
        <f t="shared" si="2"/>
        <v>573232</v>
      </c>
      <c r="M84" s="695">
        <v>45721</v>
      </c>
      <c r="N84" s="695">
        <v>45721</v>
      </c>
      <c r="O84" s="705">
        <v>45722</v>
      </c>
      <c r="P84" s="695" t="s">
        <v>8876</v>
      </c>
      <c r="Q84" s="699">
        <v>0</v>
      </c>
      <c r="R84" s="695">
        <v>45721</v>
      </c>
      <c r="S84" s="697" t="str">
        <f>IFERROR(VLOOKUP($F84,product[],6,0),"error")</f>
        <v>error</v>
      </c>
      <c r="T84" s="699"/>
      <c r="U84" s="695"/>
      <c r="V84" s="697">
        <f>YEAR(tbl_해외[[#This Row],[선적일]])</f>
        <v>2025</v>
      </c>
      <c r="W84" s="696">
        <f>IF(tbl_해외[[#This Row],[선적일]]="",0,MONTH(tbl_해외[[#This Row],[선적일]]))</f>
        <v>3</v>
      </c>
      <c r="X84" s="697" t="str">
        <f>IF($S84="카메라",VLOOKUP($F84,드롭다운!$A:$F,2,0),"")</f>
        <v/>
      </c>
      <c r="Y84" s="697" t="str">
        <f>IF($S84="카메라",VLOOKUP($F84,드롭다운!$A:$F,3,0),"")</f>
        <v/>
      </c>
      <c r="Z84" s="697" t="str">
        <f>IF($S84="카메라",VLOOKUP($F84,드롭다운!$A:$F,4,0),"")</f>
        <v/>
      </c>
      <c r="AA84" s="697" t="str">
        <f>IF($S84="카메라",VLOOKUP($F84,드롭다운!$A:$F,5,0),"")</f>
        <v/>
      </c>
      <c r="AB84" s="697"/>
      <c r="AC84" s="724"/>
    </row>
    <row r="85" spans="1:29">
      <c r="A85" s="695">
        <v>45691</v>
      </c>
      <c r="B85" s="704">
        <v>1</v>
      </c>
      <c r="C85" s="696" t="str">
        <f>"EX"&amp;TEXT(tbl_해외[[#This Row],[발주일]],"yymmdd")&amp;"-"&amp;TEXT(tbl_해외[[#This Row],[일렬번호]],"00")</f>
        <v>EX250203-01</v>
      </c>
      <c r="D85" s="697" t="s">
        <v>110</v>
      </c>
      <c r="E85" s="697" t="s">
        <v>7529</v>
      </c>
      <c r="F85" s="697" t="s">
        <v>50</v>
      </c>
      <c r="G85" s="697" t="s">
        <v>7516</v>
      </c>
      <c r="H85" s="698">
        <v>2</v>
      </c>
      <c r="I85" s="721">
        <v>2950</v>
      </c>
      <c r="J85" s="699">
        <f>tbl_해외[[#This Row],[수량]]*tbl_해외[[#This Row],[단가]]</f>
        <v>5900</v>
      </c>
      <c r="K85" s="700">
        <v>1453.98</v>
      </c>
      <c r="L85" s="701">
        <f t="shared" si="2"/>
        <v>8578482</v>
      </c>
      <c r="M85" s="695">
        <v>45727</v>
      </c>
      <c r="N85" s="695">
        <v>45727</v>
      </c>
      <c r="O85" s="705">
        <v>45728</v>
      </c>
      <c r="P85" s="695" t="s">
        <v>8883</v>
      </c>
      <c r="Q85" s="721">
        <v>15588</v>
      </c>
      <c r="R85" s="695">
        <v>45722</v>
      </c>
      <c r="S85" s="697" t="str">
        <f>IFERROR(VLOOKUP($F85,product[],6,0),"error")</f>
        <v>카메라</v>
      </c>
      <c r="T85" s="699"/>
      <c r="U85" s="695"/>
      <c r="V85" s="697">
        <f>YEAR(tbl_해외[[#This Row],[선적일]])</f>
        <v>2025</v>
      </c>
      <c r="W85" s="696">
        <f>IF(tbl_해외[[#This Row],[선적일]]="",0,MONTH(tbl_해외[[#This Row],[선적일]]))</f>
        <v>3</v>
      </c>
      <c r="X85" s="697" t="str">
        <f>IF($S85="카메라",VLOOKUP($F85,드롭다운!$A:$F,2,0),"")</f>
        <v>QVGA</v>
      </c>
      <c r="Y85" s="697" t="str">
        <f>IF($S85="카메라",VLOOKUP($F85,드롭다운!$A:$F,3,0),"")</f>
        <v>Radiometric</v>
      </c>
      <c r="Z85" s="697" t="str">
        <f>IF($S85="카메라",VLOOKUP($F85,드롭다운!$A:$F,4,0),"")</f>
        <v>Analogue</v>
      </c>
      <c r="AA85" s="697">
        <f>IF($S85="카메라",VLOOKUP($F85,드롭다운!$A:$F,5,0),"")</f>
        <v>17</v>
      </c>
      <c r="AB85" s="697">
        <v>81008</v>
      </c>
      <c r="AC85" s="724"/>
    </row>
    <row r="86" spans="1:29">
      <c r="A86" s="695">
        <v>45691</v>
      </c>
      <c r="B86" s="704">
        <v>1</v>
      </c>
      <c r="C86" s="696" t="str">
        <f>"EX"&amp;TEXT(tbl_해외[[#This Row],[발주일]],"yymmdd")&amp;"-"&amp;TEXT(tbl_해외[[#This Row],[일렬번호]],"00")</f>
        <v>EX250203-01</v>
      </c>
      <c r="D86" s="697" t="s">
        <v>110</v>
      </c>
      <c r="E86" s="697" t="s">
        <v>8874</v>
      </c>
      <c r="F86" s="697" t="s">
        <v>8880</v>
      </c>
      <c r="G86" s="697" t="s">
        <v>377</v>
      </c>
      <c r="H86" s="698">
        <v>2</v>
      </c>
      <c r="I86" s="699">
        <v>590</v>
      </c>
      <c r="J86" s="699">
        <f>tbl_해외[[#This Row],[수량]]*tbl_해외[[#This Row],[단가]]</f>
        <v>1180</v>
      </c>
      <c r="K86" s="700">
        <v>1453.98</v>
      </c>
      <c r="L86" s="701">
        <f t="shared" si="2"/>
        <v>1715696.4</v>
      </c>
      <c r="M86" s="695">
        <v>45727</v>
      </c>
      <c r="N86" s="695">
        <v>45727</v>
      </c>
      <c r="O86" s="705">
        <v>45728</v>
      </c>
      <c r="P86" s="695" t="s">
        <v>8883</v>
      </c>
      <c r="Q86" s="699">
        <v>0</v>
      </c>
      <c r="R86" s="695">
        <v>45722</v>
      </c>
      <c r="S86" s="697" t="str">
        <f>IFERROR(VLOOKUP($F86,product[],6,0),"error")</f>
        <v>error</v>
      </c>
      <c r="T86" s="699"/>
      <c r="U86" s="695"/>
      <c r="V86" s="697">
        <f>YEAR(tbl_해외[[#This Row],[선적일]])</f>
        <v>2025</v>
      </c>
      <c r="W86" s="696">
        <f>IF(tbl_해외[[#This Row],[선적일]]="",0,MONTH(tbl_해외[[#This Row],[선적일]]))</f>
        <v>3</v>
      </c>
      <c r="X86" s="697" t="str">
        <f>IF($S86="카메라",VLOOKUP($F86,드롭다운!$A:$F,2,0),"")</f>
        <v/>
      </c>
      <c r="Y86" s="697" t="str">
        <f>IF($S86="카메라",VLOOKUP($F86,드롭다운!$A:$F,3,0),"")</f>
        <v/>
      </c>
      <c r="Z86" s="697" t="str">
        <f>IF($S86="카메라",VLOOKUP($F86,드롭다운!$A:$F,4,0),"")</f>
        <v/>
      </c>
      <c r="AA86" s="697" t="str">
        <f>IF($S86="카메라",VLOOKUP($F86,드롭다운!$A:$F,5,0),"")</f>
        <v/>
      </c>
      <c r="AB86" s="697">
        <v>81008</v>
      </c>
      <c r="AC86" s="724"/>
    </row>
    <row r="87" spans="1:29">
      <c r="A87" s="695">
        <v>45691</v>
      </c>
      <c r="B87" s="704">
        <v>1</v>
      </c>
      <c r="C87" s="696" t="str">
        <f>"EX"&amp;TEXT(tbl_해외[[#This Row],[발주일]],"yymmdd")&amp;"-"&amp;TEXT(tbl_해외[[#This Row],[일렬번호]],"00")</f>
        <v>EX250203-01</v>
      </c>
      <c r="D87" s="697" t="s">
        <v>110</v>
      </c>
      <c r="E87" s="697" t="s">
        <v>8872</v>
      </c>
      <c r="F87" s="697" t="s">
        <v>179</v>
      </c>
      <c r="G87" s="697" t="s">
        <v>377</v>
      </c>
      <c r="H87" s="698">
        <v>2</v>
      </c>
      <c r="I87" s="699">
        <v>0</v>
      </c>
      <c r="J87" s="699">
        <f>tbl_해외[[#This Row],[수량]]*tbl_해외[[#This Row],[단가]]</f>
        <v>0</v>
      </c>
      <c r="K87" s="700">
        <v>1453.98</v>
      </c>
      <c r="L87" s="701">
        <f t="shared" si="2"/>
        <v>0</v>
      </c>
      <c r="M87" s="695">
        <v>45727</v>
      </c>
      <c r="N87" s="695">
        <v>45727</v>
      </c>
      <c r="O87" s="705">
        <v>45728</v>
      </c>
      <c r="P87" s="695" t="s">
        <v>8883</v>
      </c>
      <c r="Q87" s="699">
        <v>0</v>
      </c>
      <c r="R87" s="695">
        <v>45722</v>
      </c>
      <c r="S87" s="697" t="str">
        <f>IFERROR(VLOOKUP($F87,product[],6,0),"error")</f>
        <v>error</v>
      </c>
      <c r="T87" s="699"/>
      <c r="U87" s="695"/>
      <c r="V87" s="697">
        <f>YEAR(tbl_해외[[#This Row],[선적일]])</f>
        <v>2025</v>
      </c>
      <c r="W87" s="696">
        <f>IF(tbl_해외[[#This Row],[선적일]]="",0,MONTH(tbl_해외[[#This Row],[선적일]]))</f>
        <v>3</v>
      </c>
      <c r="X87" s="697" t="str">
        <f>IF($S87="카메라",VLOOKUP($F87,드롭다운!$A:$F,2,0),"")</f>
        <v/>
      </c>
      <c r="Y87" s="697" t="str">
        <f>IF($S87="카메라",VLOOKUP($F87,드롭다운!$A:$F,3,0),"")</f>
        <v/>
      </c>
      <c r="Z87" s="697" t="str">
        <f>IF($S87="카메라",VLOOKUP($F87,드롭다운!$A:$F,4,0),"")</f>
        <v/>
      </c>
      <c r="AA87" s="697" t="str">
        <f>IF($S87="카메라",VLOOKUP($F87,드롭다운!$A:$F,5,0),"")</f>
        <v/>
      </c>
      <c r="AB87" s="697">
        <v>81008</v>
      </c>
      <c r="AC87" s="724"/>
    </row>
    <row r="88" spans="1:29">
      <c r="A88" s="695">
        <v>45713</v>
      </c>
      <c r="B88" s="704">
        <v>1</v>
      </c>
      <c r="C88" s="696" t="str">
        <f>"EX"&amp;TEXT(tbl_해외[[#This Row],[발주일]],"yymmdd")&amp;"-"&amp;TEXT(tbl_해외[[#This Row],[일렬번호]],"00")</f>
        <v>EX250225-01</v>
      </c>
      <c r="D88" s="697" t="s">
        <v>110</v>
      </c>
      <c r="E88" s="697" t="s">
        <v>7529</v>
      </c>
      <c r="F88" s="697" t="s">
        <v>49</v>
      </c>
      <c r="G88" s="697" t="s">
        <v>7520</v>
      </c>
      <c r="H88" s="698">
        <v>2</v>
      </c>
      <c r="I88" s="699">
        <v>3670</v>
      </c>
      <c r="J88" s="699">
        <f>tbl_해외[[#This Row],[수량]]*tbl_해외[[#This Row],[단가]]</f>
        <v>7340</v>
      </c>
      <c r="K88" s="700">
        <v>1453.98</v>
      </c>
      <c r="L88" s="701">
        <f t="shared" si="2"/>
        <v>10672213.199999999</v>
      </c>
      <c r="M88" s="695">
        <v>45727</v>
      </c>
      <c r="N88" s="695">
        <v>45727</v>
      </c>
      <c r="O88" s="705">
        <v>45728</v>
      </c>
      <c r="P88" s="695" t="s">
        <v>8883</v>
      </c>
      <c r="Q88" s="699">
        <v>0</v>
      </c>
      <c r="R88" s="695">
        <v>45722</v>
      </c>
      <c r="S88" s="697" t="str">
        <f>IFERROR(VLOOKUP($F88,product[],6,0),"error")</f>
        <v>카메라</v>
      </c>
      <c r="T88" s="699"/>
      <c r="U88" s="695"/>
      <c r="V88" s="697">
        <f>YEAR(tbl_해외[[#This Row],[선적일]])</f>
        <v>2025</v>
      </c>
      <c r="W88" s="696">
        <f>IF(tbl_해외[[#This Row],[선적일]]="",0,MONTH(tbl_해외[[#This Row],[선적일]]))</f>
        <v>3</v>
      </c>
      <c r="X88" s="697" t="str">
        <f>IF($S88="카메라",VLOOKUP($F88,드롭다운!$A:$F,2,0),"")</f>
        <v>VGA</v>
      </c>
      <c r="Y88" s="697" t="str">
        <f>IF($S88="카메라",VLOOKUP($F88,드롭다운!$A:$F,3,0),"")</f>
        <v>Radiometric</v>
      </c>
      <c r="Z88" s="697" t="str">
        <f>IF($S88="카메라",VLOOKUP($F88,드롭다운!$A:$F,4,0),"")</f>
        <v>Analogue</v>
      </c>
      <c r="AA88" s="697">
        <f>IF($S88="카메라",VLOOKUP($F88,드롭다운!$A:$F,5,0),"")</f>
        <v>17</v>
      </c>
      <c r="AB88" s="697">
        <v>81011</v>
      </c>
      <c r="AC88" s="724"/>
    </row>
    <row r="89" spans="1:29">
      <c r="A89" s="695">
        <v>45713</v>
      </c>
      <c r="B89" s="704">
        <v>1</v>
      </c>
      <c r="C89" s="696" t="str">
        <f>"EX"&amp;TEXT(tbl_해외[[#This Row],[발주일]],"yymmdd")&amp;"-"&amp;TEXT(tbl_해외[[#This Row],[일렬번호]],"00")</f>
        <v>EX250225-01</v>
      </c>
      <c r="D89" s="697" t="s">
        <v>110</v>
      </c>
      <c r="E89" s="697" t="s">
        <v>8874</v>
      </c>
      <c r="F89" s="697" t="s">
        <v>8880</v>
      </c>
      <c r="G89" s="697" t="s">
        <v>179</v>
      </c>
      <c r="H89" s="698">
        <v>2</v>
      </c>
      <c r="I89" s="699">
        <v>590</v>
      </c>
      <c r="J89" s="699">
        <f>tbl_해외[[#This Row],[수량]]*tbl_해외[[#This Row],[단가]]</f>
        <v>1180</v>
      </c>
      <c r="K89" s="700">
        <v>1453.98</v>
      </c>
      <c r="L89" s="701">
        <f t="shared" si="2"/>
        <v>1715696.4</v>
      </c>
      <c r="M89" s="695">
        <v>45727</v>
      </c>
      <c r="N89" s="695">
        <v>45727</v>
      </c>
      <c r="O89" s="705">
        <v>45728</v>
      </c>
      <c r="P89" s="695" t="s">
        <v>8883</v>
      </c>
      <c r="Q89" s="699">
        <v>0</v>
      </c>
      <c r="R89" s="695">
        <v>45722</v>
      </c>
      <c r="S89" s="697" t="str">
        <f>IFERROR(VLOOKUP($F89,product[],6,0),"error")</f>
        <v>error</v>
      </c>
      <c r="T89" s="699"/>
      <c r="U89" s="695"/>
      <c r="V89" s="697">
        <f>YEAR(tbl_해외[[#This Row],[선적일]])</f>
        <v>2025</v>
      </c>
      <c r="W89" s="696">
        <f>IF(tbl_해외[[#This Row],[선적일]]="",0,MONTH(tbl_해외[[#This Row],[선적일]]))</f>
        <v>3</v>
      </c>
      <c r="X89" s="697" t="str">
        <f>IF($S89="카메라",VLOOKUP($F89,드롭다운!$A:$F,2,0),"")</f>
        <v/>
      </c>
      <c r="Y89" s="697" t="str">
        <f>IF($S89="카메라",VLOOKUP($F89,드롭다운!$A:$F,3,0),"")</f>
        <v/>
      </c>
      <c r="Z89" s="697" t="str">
        <f>IF($S89="카메라",VLOOKUP($F89,드롭다운!$A:$F,4,0),"")</f>
        <v/>
      </c>
      <c r="AA89" s="697" t="str">
        <f>IF($S89="카메라",VLOOKUP($F89,드롭다운!$A:$F,5,0),"")</f>
        <v/>
      </c>
      <c r="AB89" s="697">
        <v>81011</v>
      </c>
      <c r="AC89" s="724"/>
    </row>
    <row r="90" spans="1:29">
      <c r="A90" s="695">
        <v>45713</v>
      </c>
      <c r="B90" s="704">
        <v>1</v>
      </c>
      <c r="C90" s="696" t="str">
        <f>"EX"&amp;TEXT(tbl_해외[[#This Row],[발주일]],"yymmdd")&amp;"-"&amp;TEXT(tbl_해외[[#This Row],[일렬번호]],"00")</f>
        <v>EX250225-01</v>
      </c>
      <c r="D90" s="697" t="s">
        <v>110</v>
      </c>
      <c r="E90" s="697" t="s">
        <v>8872</v>
      </c>
      <c r="F90" s="697" t="s">
        <v>179</v>
      </c>
      <c r="G90" s="697" t="s">
        <v>179</v>
      </c>
      <c r="H90" s="698">
        <v>2</v>
      </c>
      <c r="I90" s="699">
        <v>0</v>
      </c>
      <c r="J90" s="699">
        <f>tbl_해외[[#This Row],[수량]]*tbl_해외[[#This Row],[단가]]</f>
        <v>0</v>
      </c>
      <c r="K90" s="700"/>
      <c r="L90" s="701">
        <f t="shared" si="2"/>
        <v>0</v>
      </c>
      <c r="M90" s="695">
        <v>45727</v>
      </c>
      <c r="N90" s="695">
        <v>45727</v>
      </c>
      <c r="O90" s="705">
        <v>45728</v>
      </c>
      <c r="P90" s="695" t="s">
        <v>8883</v>
      </c>
      <c r="Q90" s="699">
        <v>0</v>
      </c>
      <c r="R90" s="695">
        <v>45722</v>
      </c>
      <c r="S90" s="697" t="str">
        <f>IFERROR(VLOOKUP($F90,product[],6,0),"error")</f>
        <v>error</v>
      </c>
      <c r="T90" s="699"/>
      <c r="U90" s="695"/>
      <c r="V90" s="697">
        <f>YEAR(tbl_해외[[#This Row],[선적일]])</f>
        <v>2025</v>
      </c>
      <c r="W90" s="696">
        <f>IF(tbl_해외[[#This Row],[선적일]]="",0,MONTH(tbl_해외[[#This Row],[선적일]]))</f>
        <v>3</v>
      </c>
      <c r="X90" s="697" t="str">
        <f>IF($S90="카메라",VLOOKUP($F90,드롭다운!$A:$F,2,0),"")</f>
        <v/>
      </c>
      <c r="Y90" s="697" t="str">
        <f>IF($S90="카메라",VLOOKUP($F90,드롭다운!$A:$F,3,0),"")</f>
        <v/>
      </c>
      <c r="Z90" s="697" t="str">
        <f>IF($S90="카메라",VLOOKUP($F90,드롭다운!$A:$F,4,0),"")</f>
        <v/>
      </c>
      <c r="AA90" s="697" t="str">
        <f>IF($S90="카메라",VLOOKUP($F90,드롭다운!$A:$F,5,0),"")</f>
        <v/>
      </c>
      <c r="AB90" s="697">
        <v>81011</v>
      </c>
      <c r="AC90" s="724"/>
    </row>
    <row r="91" spans="1:29">
      <c r="A91" s="695">
        <v>45679</v>
      </c>
      <c r="B91" s="704">
        <v>1</v>
      </c>
      <c r="C91" s="696" t="str">
        <f>"EX"&amp;TEXT(tbl_해외[[#This Row],[발주일]],"yymmdd")&amp;"-"&amp;TEXT(tbl_해외[[#This Row],[일렬번호]],"00")</f>
        <v>EX250122-01</v>
      </c>
      <c r="D91" s="697" t="s">
        <v>110</v>
      </c>
      <c r="E91" s="697" t="s">
        <v>7529</v>
      </c>
      <c r="F91" s="697" t="s">
        <v>49</v>
      </c>
      <c r="G91" s="697" t="s">
        <v>8888</v>
      </c>
      <c r="H91" s="698">
        <v>4</v>
      </c>
      <c r="I91" s="699">
        <v>3920</v>
      </c>
      <c r="J91" s="699">
        <f>tbl_해외[[#This Row],[수량]]*tbl_해외[[#This Row],[단가]]</f>
        <v>15680</v>
      </c>
      <c r="K91" s="700">
        <v>1451.92</v>
      </c>
      <c r="L91" s="701">
        <f t="shared" si="2"/>
        <v>22766105.600000001</v>
      </c>
      <c r="M91" s="695">
        <v>45735</v>
      </c>
      <c r="N91" s="695">
        <v>45735</v>
      </c>
      <c r="O91" s="705">
        <v>45736</v>
      </c>
      <c r="P91" s="695" t="s">
        <v>8883</v>
      </c>
      <c r="Q91" s="699">
        <v>18028</v>
      </c>
      <c r="R91" s="695">
        <v>45736</v>
      </c>
      <c r="S91" s="697" t="str">
        <f>IFERROR(VLOOKUP($F91,product[],6,0),"error")</f>
        <v>카메라</v>
      </c>
      <c r="T91" s="699"/>
      <c r="U91" s="695"/>
      <c r="V91" s="697">
        <f>YEAR(tbl_해외[[#This Row],[선적일]])</f>
        <v>2025</v>
      </c>
      <c r="W91" s="696">
        <f>IF(tbl_해외[[#This Row],[선적일]]="",0,MONTH(tbl_해외[[#This Row],[선적일]]))</f>
        <v>3</v>
      </c>
      <c r="X91" s="697" t="str">
        <f>IF($S91="카메라",VLOOKUP($F91,드롭다운!$A:$F,2,0),"")</f>
        <v>VGA</v>
      </c>
      <c r="Y91" s="697" t="str">
        <f>IF($S91="카메라",VLOOKUP($F91,드롭다운!$A:$F,3,0),"")</f>
        <v>Radiometric</v>
      </c>
      <c r="Z91" s="697" t="str">
        <f>IF($S91="카메라",VLOOKUP($F91,드롭다운!$A:$F,4,0),"")</f>
        <v>Analogue</v>
      </c>
      <c r="AA91" s="697">
        <f>IF($S91="카메라",VLOOKUP($F91,드롭다운!$A:$F,5,0),"")</f>
        <v>17</v>
      </c>
      <c r="AB91" s="697">
        <v>81007</v>
      </c>
      <c r="AC91" s="724"/>
    </row>
    <row r="92" spans="1:29">
      <c r="A92" s="695">
        <v>45679</v>
      </c>
      <c r="B92" s="704">
        <v>1</v>
      </c>
      <c r="C92" s="696" t="str">
        <f>"EX"&amp;TEXT(tbl_해외[[#This Row],[발주일]],"yymmdd")&amp;"-"&amp;TEXT(tbl_해외[[#This Row],[일렬번호]],"00")</f>
        <v>EX250122-01</v>
      </c>
      <c r="D92" s="697" t="s">
        <v>110</v>
      </c>
      <c r="E92" s="697" t="s">
        <v>8874</v>
      </c>
      <c r="F92" s="697" t="s">
        <v>8880</v>
      </c>
      <c r="G92" s="697" t="s">
        <v>377</v>
      </c>
      <c r="H92" s="698">
        <v>4</v>
      </c>
      <c r="I92" s="699">
        <v>590</v>
      </c>
      <c r="J92" s="699">
        <f>tbl_해외[[#This Row],[수량]]*tbl_해외[[#This Row],[단가]]</f>
        <v>2360</v>
      </c>
      <c r="K92" s="700">
        <v>1451.92</v>
      </c>
      <c r="L92" s="701">
        <f t="shared" si="2"/>
        <v>3426531.2</v>
      </c>
      <c r="M92" s="695">
        <v>45735</v>
      </c>
      <c r="N92" s="695">
        <v>45735</v>
      </c>
      <c r="O92" s="705">
        <v>45736</v>
      </c>
      <c r="P92" s="695" t="s">
        <v>8883</v>
      </c>
      <c r="Q92" s="699">
        <v>0</v>
      </c>
      <c r="R92" s="695">
        <v>45736</v>
      </c>
      <c r="S92" s="697" t="str">
        <f>IFERROR(VLOOKUP($F92,product[],6,0),"error")</f>
        <v>error</v>
      </c>
      <c r="T92" s="699"/>
      <c r="U92" s="695"/>
      <c r="V92" s="697">
        <f>YEAR(tbl_해외[[#This Row],[선적일]])</f>
        <v>2025</v>
      </c>
      <c r="W92" s="696">
        <f>IF(tbl_해외[[#This Row],[선적일]]="",0,MONTH(tbl_해외[[#This Row],[선적일]]))</f>
        <v>3</v>
      </c>
      <c r="X92" s="697" t="str">
        <f>IF($S92="카메라",VLOOKUP($F92,드롭다운!$A:$F,2,0),"")</f>
        <v/>
      </c>
      <c r="Y92" s="697" t="str">
        <f>IF($S92="카메라",VLOOKUP($F92,드롭다운!$A:$F,3,0),"")</f>
        <v/>
      </c>
      <c r="Z92" s="697" t="str">
        <f>IF($S92="카메라",VLOOKUP($F92,드롭다운!$A:$F,4,0),"")</f>
        <v/>
      </c>
      <c r="AA92" s="697" t="str">
        <f>IF($S92="카메라",VLOOKUP($F92,드롭다운!$A:$F,5,0),"")</f>
        <v/>
      </c>
      <c r="AB92" s="697">
        <v>81007</v>
      </c>
      <c r="AC92" s="724"/>
    </row>
    <row r="93" spans="1:29">
      <c r="A93" s="695">
        <v>45679</v>
      </c>
      <c r="B93" s="704">
        <v>1</v>
      </c>
      <c r="C93" s="696" t="str">
        <f>"EX"&amp;TEXT(tbl_해외[[#This Row],[발주일]],"yymmdd")&amp;"-"&amp;TEXT(tbl_해외[[#This Row],[일렬번호]],"00")</f>
        <v>EX250122-01</v>
      </c>
      <c r="D93" s="697" t="s">
        <v>110</v>
      </c>
      <c r="E93" s="697" t="s">
        <v>8872</v>
      </c>
      <c r="F93" s="697" t="s">
        <v>179</v>
      </c>
      <c r="G93" s="697" t="s">
        <v>377</v>
      </c>
      <c r="H93" s="698">
        <v>4</v>
      </c>
      <c r="I93" s="699">
        <v>0</v>
      </c>
      <c r="J93" s="699">
        <f>tbl_해외[[#This Row],[수량]]*tbl_해외[[#This Row],[단가]]</f>
        <v>0</v>
      </c>
      <c r="K93" s="700">
        <v>1451.92</v>
      </c>
      <c r="L93" s="701">
        <f t="shared" si="2"/>
        <v>0</v>
      </c>
      <c r="M93" s="695">
        <v>45735</v>
      </c>
      <c r="N93" s="695">
        <v>45735</v>
      </c>
      <c r="O93" s="705">
        <v>45736</v>
      </c>
      <c r="P93" s="695" t="s">
        <v>8883</v>
      </c>
      <c r="Q93" s="699">
        <v>0</v>
      </c>
      <c r="R93" s="695">
        <v>45736</v>
      </c>
      <c r="S93" s="697" t="str">
        <f>IFERROR(VLOOKUP($F93,product[],6,0),"error")</f>
        <v>error</v>
      </c>
      <c r="T93" s="699"/>
      <c r="U93" s="695"/>
      <c r="V93" s="697">
        <f>YEAR(tbl_해외[[#This Row],[선적일]])</f>
        <v>2025</v>
      </c>
      <c r="W93" s="696">
        <f>IF(tbl_해외[[#This Row],[선적일]]="",0,MONTH(tbl_해외[[#This Row],[선적일]]))</f>
        <v>3</v>
      </c>
      <c r="X93" s="697" t="str">
        <f>IF($S93="카메라",VLOOKUP($F93,드롭다운!$A:$F,2,0),"")</f>
        <v/>
      </c>
      <c r="Y93" s="697" t="str">
        <f>IF($S93="카메라",VLOOKUP($F93,드롭다운!$A:$F,3,0),"")</f>
        <v/>
      </c>
      <c r="Z93" s="697" t="str">
        <f>IF($S93="카메라",VLOOKUP($F93,드롭다운!$A:$F,4,0),"")</f>
        <v/>
      </c>
      <c r="AA93" s="697" t="str">
        <f>IF($S93="카메라",VLOOKUP($F93,드롭다운!$A:$F,5,0),"")</f>
        <v/>
      </c>
      <c r="AB93" s="697">
        <v>81007</v>
      </c>
      <c r="AC93" s="724"/>
    </row>
    <row r="94" spans="1:29">
      <c r="A94" s="695">
        <v>45707</v>
      </c>
      <c r="B94" s="704">
        <v>1</v>
      </c>
      <c r="C94" s="696" t="str">
        <f>"EX"&amp;TEXT(tbl_해외[[#This Row],[발주일]],"yymmdd")&amp;"-"&amp;TEXT(tbl_해외[[#This Row],[일렬번호]],"00")</f>
        <v>EX250219-01</v>
      </c>
      <c r="D94" s="697" t="s">
        <v>110</v>
      </c>
      <c r="E94" s="697" t="s">
        <v>7529</v>
      </c>
      <c r="F94" s="697" t="s">
        <v>49</v>
      </c>
      <c r="G94" s="697" t="s">
        <v>7516</v>
      </c>
      <c r="H94" s="698">
        <v>1</v>
      </c>
      <c r="I94" s="699">
        <v>3920</v>
      </c>
      <c r="J94" s="699">
        <f>tbl_해외[[#This Row],[수량]]*tbl_해외[[#This Row],[단가]]</f>
        <v>3920</v>
      </c>
      <c r="K94" s="700">
        <v>1467.1</v>
      </c>
      <c r="L94" s="701">
        <f t="shared" ref="L94:L125" si="3">K94*J94</f>
        <v>5751032</v>
      </c>
      <c r="M94" s="695">
        <v>45747</v>
      </c>
      <c r="N94" s="695">
        <v>45747</v>
      </c>
      <c r="O94" s="705">
        <v>45748</v>
      </c>
      <c r="P94" s="695" t="s">
        <v>8883</v>
      </c>
      <c r="Q94" s="699"/>
      <c r="R94" s="695">
        <v>45747</v>
      </c>
      <c r="S94" s="697" t="str">
        <f>IFERROR(VLOOKUP($F94,product[],6,0),"error")</f>
        <v>카메라</v>
      </c>
      <c r="T94" s="699"/>
      <c r="U94" s="695"/>
      <c r="V94" s="697">
        <f>YEAR(tbl_해외[[#This Row],[선적일]])</f>
        <v>2025</v>
      </c>
      <c r="W94" s="696">
        <f>IF(tbl_해외[[#This Row],[선적일]]="",0,MONTH(tbl_해외[[#This Row],[선적일]]))</f>
        <v>4</v>
      </c>
      <c r="X94" s="697" t="str">
        <f>IF($S94="카메라",VLOOKUP($F94,드롭다운!$A:$F,2,0),"")</f>
        <v>VGA</v>
      </c>
      <c r="Y94" s="697" t="str">
        <f>IF($S94="카메라",VLOOKUP($F94,드롭다운!$A:$F,3,0),"")</f>
        <v>Radiometric</v>
      </c>
      <c r="Z94" s="697" t="str">
        <f>IF($S94="카메라",VLOOKUP($F94,드롭다운!$A:$F,4,0),"")</f>
        <v>Analogue</v>
      </c>
      <c r="AA94" s="697">
        <f>IF($S94="카메라",VLOOKUP($F94,드롭다운!$A:$F,5,0),"")</f>
        <v>17</v>
      </c>
      <c r="AB94" s="697">
        <v>81010</v>
      </c>
      <c r="AC94" s="724"/>
    </row>
    <row r="95" spans="1:29">
      <c r="A95" s="695">
        <v>45730</v>
      </c>
      <c r="B95" s="704">
        <v>1</v>
      </c>
      <c r="C95" s="696" t="str">
        <f>"EX"&amp;TEXT(tbl_해외[[#This Row],[발주일]],"yymmdd")&amp;"-"&amp;TEXT(tbl_해외[[#This Row],[일렬번호]],"00")</f>
        <v>EX250314-01</v>
      </c>
      <c r="D95" s="697" t="s">
        <v>110</v>
      </c>
      <c r="E95" s="697" t="s">
        <v>7529</v>
      </c>
      <c r="F95" s="697" t="s">
        <v>49</v>
      </c>
      <c r="G95" s="697" t="s">
        <v>8903</v>
      </c>
      <c r="H95" s="698">
        <v>4</v>
      </c>
      <c r="I95" s="699">
        <v>3920</v>
      </c>
      <c r="J95" s="699">
        <f>tbl_해외[[#This Row],[수량]]*tbl_해외[[#This Row],[단가]]</f>
        <v>15680</v>
      </c>
      <c r="K95" s="700">
        <v>1467.1</v>
      </c>
      <c r="L95" s="701">
        <f t="shared" si="3"/>
        <v>23004128</v>
      </c>
      <c r="M95" s="695">
        <v>45747</v>
      </c>
      <c r="N95" s="702">
        <v>45747</v>
      </c>
      <c r="O95" s="703">
        <v>45748</v>
      </c>
      <c r="P95" s="695" t="s">
        <v>8883</v>
      </c>
      <c r="Q95" s="699">
        <v>20768</v>
      </c>
      <c r="R95" s="697">
        <v>45747</v>
      </c>
      <c r="S95" s="697" t="str">
        <f>IFERROR(VLOOKUP($F95,product[],6,0),"error")</f>
        <v>카메라</v>
      </c>
      <c r="T95" s="695"/>
      <c r="U95" s="695"/>
      <c r="V95" s="697">
        <f>YEAR(tbl_해외[[#This Row],[선적일]])</f>
        <v>2025</v>
      </c>
      <c r="W95" s="696">
        <f>IF(tbl_해외[[#This Row],[선적일]]="",0,MONTH(tbl_해외[[#This Row],[선적일]]))</f>
        <v>4</v>
      </c>
      <c r="X95" s="697" t="str">
        <f>IF($S95="카메라",VLOOKUP($F95,드롭다운!$A:$F,2,0),"")</f>
        <v>VGA</v>
      </c>
      <c r="Y95" s="697" t="str">
        <f>IF($S95="카메라",VLOOKUP($F95,드롭다운!$A:$F,3,0),"")</f>
        <v>Radiometric</v>
      </c>
      <c r="Z95" s="697" t="str">
        <f>IF($S95="카메라",VLOOKUP($F95,드롭다운!$A:$F,4,0),"")</f>
        <v>Analogue</v>
      </c>
      <c r="AA95" s="697">
        <f>IF($S95="카메라",VLOOKUP($F95,드롭다운!$A:$F,5,0),"")</f>
        <v>17</v>
      </c>
      <c r="AB95" s="697">
        <v>81015</v>
      </c>
      <c r="AC95" s="724"/>
    </row>
    <row r="96" spans="1:29">
      <c r="A96" s="695">
        <v>45730</v>
      </c>
      <c r="B96" s="704">
        <v>1</v>
      </c>
      <c r="C96" s="696" t="str">
        <f>"EX"&amp;TEXT(tbl_해외[[#This Row],[발주일]],"yymmdd")&amp;"-"&amp;TEXT(tbl_해외[[#This Row],[일렬번호]],"00")</f>
        <v>EX250314-01</v>
      </c>
      <c r="D96" s="697" t="s">
        <v>110</v>
      </c>
      <c r="E96" s="697" t="s">
        <v>8874</v>
      </c>
      <c r="F96" s="697" t="s">
        <v>8899</v>
      </c>
      <c r="G96" s="697" t="s">
        <v>179</v>
      </c>
      <c r="H96" s="698">
        <v>2</v>
      </c>
      <c r="I96" s="699">
        <v>590</v>
      </c>
      <c r="J96" s="699">
        <f>tbl_해외[[#This Row],[수량]]*tbl_해외[[#This Row],[단가]]</f>
        <v>1180</v>
      </c>
      <c r="K96" s="700">
        <v>1467.1</v>
      </c>
      <c r="L96" s="701">
        <f t="shared" si="3"/>
        <v>1731178</v>
      </c>
      <c r="M96" s="695">
        <v>45747</v>
      </c>
      <c r="N96" s="695">
        <v>45747</v>
      </c>
      <c r="O96" s="705">
        <v>45748</v>
      </c>
      <c r="P96" s="695" t="s">
        <v>8883</v>
      </c>
      <c r="Q96" s="699">
        <v>0</v>
      </c>
      <c r="R96" s="695">
        <v>45747</v>
      </c>
      <c r="S96" s="697" t="str">
        <f>IFERROR(VLOOKUP($F96,product[],6,0),"error")</f>
        <v>error</v>
      </c>
      <c r="T96" s="699"/>
      <c r="U96" s="695"/>
      <c r="V96" s="697">
        <f>YEAR(tbl_해외[[#This Row],[선적일]])</f>
        <v>2025</v>
      </c>
      <c r="W96" s="696">
        <f>IF(tbl_해외[[#This Row],[선적일]]="",0,MONTH(tbl_해외[[#This Row],[선적일]]))</f>
        <v>4</v>
      </c>
      <c r="X96" s="697" t="str">
        <f>IF($S96="카메라",VLOOKUP($F96,드롭다운!$A:$F,2,0),"")</f>
        <v/>
      </c>
      <c r="Y96" s="697" t="str">
        <f>IF($S96="카메라",VLOOKUP($F96,드롭다운!$A:$F,3,0),"")</f>
        <v/>
      </c>
      <c r="Z96" s="697" t="str">
        <f>IF($S96="카메라",VLOOKUP($F96,드롭다운!$A:$F,4,0),"")</f>
        <v/>
      </c>
      <c r="AA96" s="697" t="str">
        <f>IF($S96="카메라",VLOOKUP($F96,드롭다운!$A:$F,5,0),"")</f>
        <v/>
      </c>
      <c r="AB96" s="697">
        <v>81015</v>
      </c>
      <c r="AC96" s="724"/>
    </row>
    <row r="97" spans="1:29">
      <c r="A97" s="695">
        <v>45730</v>
      </c>
      <c r="B97" s="704">
        <v>1</v>
      </c>
      <c r="C97" s="696" t="str">
        <f>"EX"&amp;TEXT(tbl_해외[[#This Row],[발주일]],"yymmdd")&amp;"-"&amp;TEXT(tbl_해외[[#This Row],[일렬번호]],"00")</f>
        <v>EX250314-01</v>
      </c>
      <c r="D97" s="697" t="s">
        <v>110</v>
      </c>
      <c r="E97" s="697" t="s">
        <v>8872</v>
      </c>
      <c r="F97" s="697" t="s">
        <v>179</v>
      </c>
      <c r="G97" s="697" t="s">
        <v>377</v>
      </c>
      <c r="H97" s="698">
        <v>2</v>
      </c>
      <c r="I97" s="699">
        <v>0</v>
      </c>
      <c r="J97" s="699">
        <f>tbl_해외[[#This Row],[수량]]*tbl_해외[[#This Row],[단가]]</f>
        <v>0</v>
      </c>
      <c r="K97" s="700">
        <v>1467.1</v>
      </c>
      <c r="L97" s="701">
        <f t="shared" si="3"/>
        <v>0</v>
      </c>
      <c r="M97" s="695">
        <v>45747</v>
      </c>
      <c r="N97" s="695">
        <v>45747</v>
      </c>
      <c r="O97" s="705">
        <v>45748</v>
      </c>
      <c r="P97" s="695" t="s">
        <v>8883</v>
      </c>
      <c r="Q97" s="699">
        <v>0</v>
      </c>
      <c r="R97" s="695">
        <v>45747</v>
      </c>
      <c r="S97" s="697" t="str">
        <f>IFERROR(VLOOKUP($F97,product[],6,0),"error")</f>
        <v>error</v>
      </c>
      <c r="T97" s="699"/>
      <c r="U97" s="695"/>
      <c r="V97" s="697">
        <f>YEAR(tbl_해외[[#This Row],[선적일]])</f>
        <v>2025</v>
      </c>
      <c r="W97" s="696">
        <f>IF(tbl_해외[[#This Row],[선적일]]="",0,MONTH(tbl_해외[[#This Row],[선적일]]))</f>
        <v>4</v>
      </c>
      <c r="X97" s="697" t="str">
        <f>IF($S97="카메라",VLOOKUP($F97,드롭다운!$A:$F,2,0),"")</f>
        <v/>
      </c>
      <c r="Y97" s="697" t="str">
        <f>IF($S97="카메라",VLOOKUP($F97,드롭다운!$A:$F,3,0),"")</f>
        <v/>
      </c>
      <c r="Z97" s="697" t="str">
        <f>IF($S97="카메라",VLOOKUP($F97,드롭다운!$A:$F,4,0),"")</f>
        <v/>
      </c>
      <c r="AA97" s="697" t="str">
        <f>IF($S97="카메라",VLOOKUP($F97,드롭다운!$A:$F,5,0),"")</f>
        <v/>
      </c>
      <c r="AB97" s="697">
        <v>81015</v>
      </c>
      <c r="AC97" s="724"/>
    </row>
    <row r="98" spans="1:29">
      <c r="A98" s="695">
        <v>45729</v>
      </c>
      <c r="B98" s="704">
        <v>1</v>
      </c>
      <c r="C98" s="696" t="str">
        <f>"EX"&amp;TEXT(tbl_해외[[#This Row],[발주일]],"yymmdd")&amp;"-"&amp;TEXT(tbl_해외[[#This Row],[일렬번호]],"00")</f>
        <v>EX250313-01</v>
      </c>
      <c r="D98" s="697" t="s">
        <v>117</v>
      </c>
      <c r="E98" s="697" t="s">
        <v>7529</v>
      </c>
      <c r="F98" s="697" t="s">
        <v>49</v>
      </c>
      <c r="G98" s="697" t="s">
        <v>8902</v>
      </c>
      <c r="H98" s="698">
        <v>1</v>
      </c>
      <c r="I98" s="699">
        <v>2605</v>
      </c>
      <c r="J98" s="699">
        <f>tbl_해외[[#This Row],[수량]]*tbl_해외[[#This Row],[단가]]</f>
        <v>2605</v>
      </c>
      <c r="K98" s="700">
        <v>1463.36</v>
      </c>
      <c r="L98" s="701">
        <f t="shared" si="3"/>
        <v>3812052.8</v>
      </c>
      <c r="M98" s="695">
        <v>45761</v>
      </c>
      <c r="N98" s="695">
        <v>45761</v>
      </c>
      <c r="O98" s="705">
        <v>45762</v>
      </c>
      <c r="P98" s="695" t="s">
        <v>8890</v>
      </c>
      <c r="Q98" s="699">
        <v>2594</v>
      </c>
      <c r="R98" s="695">
        <v>45735</v>
      </c>
      <c r="S98" s="697" t="str">
        <f>IFERROR(VLOOKUP($F98,product[],6,0),"error")</f>
        <v>카메라</v>
      </c>
      <c r="T98" s="699"/>
      <c r="U98" s="695"/>
      <c r="V98" s="697">
        <f>YEAR(tbl_해외[[#This Row],[선적일]])</f>
        <v>2025</v>
      </c>
      <c r="W98" s="696">
        <f>IF(tbl_해외[[#This Row],[선적일]]="",0,MONTH(tbl_해외[[#This Row],[선적일]]))</f>
        <v>4</v>
      </c>
      <c r="X98" s="697" t="str">
        <f>IF($S98="카메라",VLOOKUP($F98,드롭다운!$A:$F,2,0),"")</f>
        <v>VGA</v>
      </c>
      <c r="Y98" s="697" t="str">
        <f>IF($S98="카메라",VLOOKUP($F98,드롭다운!$A:$F,3,0),"")</f>
        <v>Radiometric</v>
      </c>
      <c r="Z98" s="697" t="str">
        <f>IF($S98="카메라",VLOOKUP($F98,드롭다운!$A:$F,4,0),"")</f>
        <v>Analogue</v>
      </c>
      <c r="AA98" s="697">
        <f>IF($S98="카메라",VLOOKUP($F98,드롭다운!$A:$F,5,0),"")</f>
        <v>17</v>
      </c>
      <c r="AB98" s="722" t="s">
        <v>8915</v>
      </c>
      <c r="AC98" s="724"/>
    </row>
    <row r="99" spans="1:29">
      <c r="A99" s="695">
        <v>45702</v>
      </c>
      <c r="B99" s="704">
        <v>1</v>
      </c>
      <c r="C99" s="696" t="str">
        <f>"EX"&amp;TEXT(tbl_해외[[#This Row],[발주일]],"yymmdd")&amp;"-"&amp;TEXT(tbl_해외[[#This Row],[일렬번호]],"00")</f>
        <v>EX250214-01</v>
      </c>
      <c r="D99" s="697" t="s">
        <v>8528</v>
      </c>
      <c r="E99" s="697" t="s">
        <v>7529</v>
      </c>
      <c r="F99" s="697" t="s">
        <v>103</v>
      </c>
      <c r="G99" s="697" t="s">
        <v>7526</v>
      </c>
      <c r="H99" s="698">
        <v>11</v>
      </c>
      <c r="I99" s="699">
        <v>2838</v>
      </c>
      <c r="J99" s="699">
        <f>tbl_해외[[#This Row],[수량]]*tbl_해외[[#This Row],[단가]]</f>
        <v>31218</v>
      </c>
      <c r="K99" s="700">
        <v>1463.36</v>
      </c>
      <c r="L99" s="701">
        <f t="shared" si="3"/>
        <v>45683172.479999997</v>
      </c>
      <c r="M99" s="695">
        <v>45765</v>
      </c>
      <c r="N99" s="695">
        <v>45765</v>
      </c>
      <c r="O99" s="705">
        <v>45765</v>
      </c>
      <c r="P99" s="695" t="s">
        <v>8898</v>
      </c>
      <c r="Q99" s="699">
        <v>31188</v>
      </c>
      <c r="R99" s="695">
        <v>45400</v>
      </c>
      <c r="S99" s="697" t="str">
        <f>IFERROR(VLOOKUP($F99,product[],6,0),"error")</f>
        <v>카메라</v>
      </c>
      <c r="T99" s="699"/>
      <c r="U99" s="695"/>
      <c r="V99" s="697">
        <f>YEAR(tbl_해외[[#This Row],[선적일]])</f>
        <v>2025</v>
      </c>
      <c r="W99" s="696">
        <f>IF(tbl_해외[[#This Row],[선적일]]="",0,MONTH(tbl_해외[[#This Row],[선적일]]))</f>
        <v>4</v>
      </c>
      <c r="X99" s="697" t="str">
        <f>IF($S99="카메라",VLOOKUP($F99,드롭다운!$A:$F,2,0),"")</f>
        <v>VGA</v>
      </c>
      <c r="Y99" s="697" t="str">
        <f>IF($S99="카메라",VLOOKUP($F99,드롭다운!$A:$F,3,0),"")</f>
        <v>Radiometric</v>
      </c>
      <c r="Z99" s="697" t="str">
        <f>IF($S99="카메라",VLOOKUP($F99,드롭다운!$A:$F,4,0),"")</f>
        <v>Network</v>
      </c>
      <c r="AA99" s="697">
        <f>IF($S99="카메라",VLOOKUP($F99,드롭다운!$A:$F,5,0),"")</f>
        <v>17</v>
      </c>
      <c r="AB99" s="697" t="s">
        <v>8914</v>
      </c>
      <c r="AC99" s="724"/>
    </row>
    <row r="100" spans="1:29">
      <c r="A100" s="695">
        <v>45678</v>
      </c>
      <c r="B100" s="704">
        <v>1</v>
      </c>
      <c r="C100" s="696" t="str">
        <f>"EX"&amp;TEXT(tbl_해외[[#This Row],[발주일]],"yymmdd")&amp;"-"&amp;TEXT(tbl_해외[[#This Row],[일렬번호]],"00")</f>
        <v>EX250121-01</v>
      </c>
      <c r="D100" s="697" t="s">
        <v>110</v>
      </c>
      <c r="E100" s="697" t="s">
        <v>7529</v>
      </c>
      <c r="F100" s="697" t="s">
        <v>49</v>
      </c>
      <c r="G100" s="697" t="s">
        <v>7516</v>
      </c>
      <c r="H100" s="698">
        <v>2</v>
      </c>
      <c r="I100" s="699">
        <v>3920</v>
      </c>
      <c r="J100" s="699">
        <f>tbl_해외[[#This Row],[수량]]*tbl_해외[[#This Row],[단가]]</f>
        <v>7840</v>
      </c>
      <c r="K100" s="700">
        <v>1463.36</v>
      </c>
      <c r="L100" s="701">
        <f t="shared" si="3"/>
        <v>11472742.399999999</v>
      </c>
      <c r="M100" s="695">
        <v>45765</v>
      </c>
      <c r="N100" s="695">
        <v>45765</v>
      </c>
      <c r="O100" s="705">
        <v>45766</v>
      </c>
      <c r="P100" s="695" t="s">
        <v>8883</v>
      </c>
      <c r="Q100" s="699">
        <v>18728</v>
      </c>
      <c r="R100" s="695">
        <v>45765</v>
      </c>
      <c r="S100" s="697" t="str">
        <f>IFERROR(VLOOKUP($F100,product[],6,0),"error")</f>
        <v>카메라</v>
      </c>
      <c r="T100" s="699"/>
      <c r="U100" s="695"/>
      <c r="V100" s="697">
        <f>YEAR(tbl_해외[[#This Row],[선적일]])</f>
        <v>2025</v>
      </c>
      <c r="W100" s="696">
        <f>IF(tbl_해외[[#This Row],[선적일]]="",0,MONTH(tbl_해외[[#This Row],[선적일]]))</f>
        <v>4</v>
      </c>
      <c r="X100" s="697" t="str">
        <f>IF($S100="카메라",VLOOKUP($F100,드롭다운!$A:$F,2,0),"")</f>
        <v>VGA</v>
      </c>
      <c r="Y100" s="697" t="str">
        <f>IF($S100="카메라",VLOOKUP($F100,드롭다운!$A:$F,3,0),"")</f>
        <v>Radiometric</v>
      </c>
      <c r="Z100" s="697" t="str">
        <f>IF($S100="카메라",VLOOKUP($F100,드롭다운!$A:$F,4,0),"")</f>
        <v>Analogue</v>
      </c>
      <c r="AA100" s="697">
        <f>IF($S100="카메라",VLOOKUP($F100,드롭다운!$A:$F,5,0),"")</f>
        <v>17</v>
      </c>
      <c r="AB100" s="697">
        <v>81006</v>
      </c>
      <c r="AC100" s="724"/>
    </row>
    <row r="101" spans="1:29">
      <c r="A101" s="695">
        <v>45720</v>
      </c>
      <c r="B101" s="704">
        <v>2</v>
      </c>
      <c r="C101" s="696" t="str">
        <f>"EX"&amp;TEXT(tbl_해외[[#This Row],[발주일]],"yymmdd")&amp;"-"&amp;TEXT(tbl_해외[[#This Row],[일렬번호]],"00")</f>
        <v>EX250304-02</v>
      </c>
      <c r="D101" s="697" t="s">
        <v>110</v>
      </c>
      <c r="E101" s="697" t="s">
        <v>8874</v>
      </c>
      <c r="F101" s="697" t="s">
        <v>8899</v>
      </c>
      <c r="G101" s="697" t="s">
        <v>377</v>
      </c>
      <c r="H101" s="698">
        <v>2</v>
      </c>
      <c r="I101" s="723">
        <v>590</v>
      </c>
      <c r="J101" s="699">
        <f>tbl_해외[[#This Row],[수량]]*tbl_해외[[#This Row],[단가]]</f>
        <v>1180</v>
      </c>
      <c r="K101" s="700">
        <v>1463.36</v>
      </c>
      <c r="L101" s="701">
        <f t="shared" si="3"/>
        <v>1726764.7999999998</v>
      </c>
      <c r="M101" s="695">
        <v>45765</v>
      </c>
      <c r="N101" s="695">
        <v>45765</v>
      </c>
      <c r="O101" s="705">
        <v>45766</v>
      </c>
      <c r="P101" s="695" t="s">
        <v>8883</v>
      </c>
      <c r="Q101" s="699">
        <v>0</v>
      </c>
      <c r="R101" s="695">
        <v>45765</v>
      </c>
      <c r="S101" s="697" t="str">
        <f>IFERROR(VLOOKUP($F101,product[],6,0),"error")</f>
        <v>error</v>
      </c>
      <c r="T101" s="699"/>
      <c r="U101" s="695"/>
      <c r="V101" s="697">
        <f>YEAR(tbl_해외[[#This Row],[선적일]])</f>
        <v>2025</v>
      </c>
      <c r="W101" s="696">
        <f>IF(tbl_해외[[#This Row],[선적일]]="",0,MONTH(tbl_해외[[#This Row],[선적일]]))</f>
        <v>4</v>
      </c>
      <c r="X101" s="697" t="str">
        <f>IF($S101="카메라",VLOOKUP($F101,드롭다운!$A:$F,2,0),"")</f>
        <v/>
      </c>
      <c r="Y101" s="697" t="str">
        <f>IF($S101="카메라",VLOOKUP($F101,드롭다운!$A:$F,3,0),"")</f>
        <v/>
      </c>
      <c r="Z101" s="697" t="str">
        <f>IF($S101="카메라",VLOOKUP($F101,드롭다운!$A:$F,4,0),"")</f>
        <v/>
      </c>
      <c r="AA101" s="697" t="str">
        <f>IF($S101="카메라",VLOOKUP($F101,드롭다운!$A:$F,5,0),"")</f>
        <v/>
      </c>
      <c r="AB101" s="697">
        <v>81013</v>
      </c>
      <c r="AC101" s="724"/>
    </row>
    <row r="102" spans="1:29">
      <c r="A102" s="695">
        <v>45720</v>
      </c>
      <c r="B102" s="704">
        <v>2</v>
      </c>
      <c r="C102" s="696" t="str">
        <f>"EX"&amp;TEXT(tbl_해외[[#This Row],[발주일]],"yymmdd")&amp;"-"&amp;TEXT(tbl_해외[[#This Row],[일렬번호]],"00")</f>
        <v>EX250304-02</v>
      </c>
      <c r="D102" s="697" t="s">
        <v>110</v>
      </c>
      <c r="E102" s="697" t="s">
        <v>8872</v>
      </c>
      <c r="F102" s="697" t="s">
        <v>179</v>
      </c>
      <c r="G102" s="697" t="s">
        <v>377</v>
      </c>
      <c r="H102" s="698">
        <v>2</v>
      </c>
      <c r="I102" s="723">
        <v>0</v>
      </c>
      <c r="J102" s="699">
        <f>tbl_해외[[#This Row],[수량]]*tbl_해외[[#This Row],[단가]]</f>
        <v>0</v>
      </c>
      <c r="K102" s="700">
        <v>1463.36</v>
      </c>
      <c r="L102" s="701">
        <f t="shared" si="3"/>
        <v>0</v>
      </c>
      <c r="M102" s="695">
        <v>45765</v>
      </c>
      <c r="N102" s="695">
        <v>45765</v>
      </c>
      <c r="O102" s="705">
        <v>45766</v>
      </c>
      <c r="P102" s="695" t="s">
        <v>8883</v>
      </c>
      <c r="Q102" s="699">
        <v>0</v>
      </c>
      <c r="R102" s="695">
        <v>45765</v>
      </c>
      <c r="S102" s="697" t="str">
        <f>IFERROR(VLOOKUP($F102,product[],6,0),"error")</f>
        <v>error</v>
      </c>
      <c r="T102" s="699"/>
      <c r="U102" s="695"/>
      <c r="V102" s="697">
        <f>YEAR(tbl_해외[[#This Row],[선적일]])</f>
        <v>2025</v>
      </c>
      <c r="W102" s="696">
        <f>IF(tbl_해외[[#This Row],[선적일]]="",0,MONTH(tbl_해외[[#This Row],[선적일]]))</f>
        <v>4</v>
      </c>
      <c r="X102" s="697" t="str">
        <f>IF($S102="카메라",VLOOKUP($F102,드롭다운!$A:$F,2,0),"")</f>
        <v/>
      </c>
      <c r="Y102" s="697" t="str">
        <f>IF($S102="카메라",VLOOKUP($F102,드롭다운!$A:$F,3,0),"")</f>
        <v/>
      </c>
      <c r="Z102" s="697" t="str">
        <f>IF($S102="카메라",VLOOKUP($F102,드롭다운!$A:$F,4,0),"")</f>
        <v/>
      </c>
      <c r="AA102" s="697" t="str">
        <f>IF($S102="카메라",VLOOKUP($F102,드롭다운!$A:$F,5,0),"")</f>
        <v/>
      </c>
      <c r="AB102" s="697">
        <v>81013</v>
      </c>
      <c r="AC102" s="724"/>
    </row>
    <row r="103" spans="1:29">
      <c r="A103" s="695">
        <v>45698</v>
      </c>
      <c r="B103" s="704">
        <v>1</v>
      </c>
      <c r="C103" s="696" t="str">
        <f>"EX"&amp;TEXT(tbl_해외[[#This Row],[발주일]],"yymmdd")&amp;"-"&amp;TEXT(tbl_해외[[#This Row],[일렬번호]],"00")</f>
        <v>EX250210-01</v>
      </c>
      <c r="D103" s="697" t="s">
        <v>110</v>
      </c>
      <c r="E103" s="697" t="s">
        <v>7529</v>
      </c>
      <c r="F103" s="697" t="s">
        <v>49</v>
      </c>
      <c r="G103" s="697" t="s">
        <v>7520</v>
      </c>
      <c r="H103" s="698">
        <v>2</v>
      </c>
      <c r="I103" s="699">
        <v>3670</v>
      </c>
      <c r="J103" s="699">
        <f>tbl_해외[[#This Row],[수량]]*tbl_해외[[#This Row],[단가]]</f>
        <v>7340</v>
      </c>
      <c r="K103" s="700">
        <v>1429.76</v>
      </c>
      <c r="L103" s="701">
        <f t="shared" si="3"/>
        <v>10494438.4</v>
      </c>
      <c r="M103" s="695">
        <v>45769</v>
      </c>
      <c r="N103" s="695">
        <v>45769</v>
      </c>
      <c r="O103" s="705">
        <v>45770</v>
      </c>
      <c r="P103" s="695" t="s">
        <v>8883</v>
      </c>
      <c r="Q103" s="699">
        <v>0</v>
      </c>
      <c r="R103" s="695">
        <v>45765</v>
      </c>
      <c r="S103" s="697" t="str">
        <f>IFERROR(VLOOKUP($F103,product[],6,0),"error")</f>
        <v>카메라</v>
      </c>
      <c r="T103" s="699"/>
      <c r="U103" s="695"/>
      <c r="V103" s="697">
        <f>YEAR(tbl_해외[[#This Row],[선적일]])</f>
        <v>2025</v>
      </c>
      <c r="W103" s="696">
        <f>IF(tbl_해외[[#This Row],[선적일]]="",0,MONTH(tbl_해외[[#This Row],[선적일]]))</f>
        <v>4</v>
      </c>
      <c r="X103" s="697" t="str">
        <f>IF($S103="카메라",VLOOKUP($F103,드롭다운!$A:$F,2,0),"")</f>
        <v>VGA</v>
      </c>
      <c r="Y103" s="697" t="str">
        <f>IF($S103="카메라",VLOOKUP($F103,드롭다운!$A:$F,3,0),"")</f>
        <v>Radiometric</v>
      </c>
      <c r="Z103" s="697" t="str">
        <f>IF($S103="카메라",VLOOKUP($F103,드롭다운!$A:$F,4,0),"")</f>
        <v>Analogue</v>
      </c>
      <c r="AA103" s="697">
        <f>IF($S103="카메라",VLOOKUP($F103,드롭다운!$A:$F,5,0),"")</f>
        <v>17</v>
      </c>
      <c r="AB103" s="697">
        <v>81009</v>
      </c>
      <c r="AC103" s="724"/>
    </row>
    <row r="104" spans="1:29">
      <c r="A104" s="695">
        <v>45698</v>
      </c>
      <c r="B104" s="704">
        <v>1</v>
      </c>
      <c r="C104" s="696" t="str">
        <f>"EX"&amp;TEXT(tbl_해외[[#This Row],[발주일]],"yymmdd")&amp;"-"&amp;TEXT(tbl_해외[[#This Row],[일렬번호]],"00")</f>
        <v>EX250210-01</v>
      </c>
      <c r="D104" s="697" t="s">
        <v>110</v>
      </c>
      <c r="E104" s="697" t="s">
        <v>8872</v>
      </c>
      <c r="F104" s="697" t="s">
        <v>179</v>
      </c>
      <c r="G104" s="697" t="s">
        <v>377</v>
      </c>
      <c r="H104" s="698">
        <v>2</v>
      </c>
      <c r="I104" s="699">
        <v>0</v>
      </c>
      <c r="J104" s="699">
        <f>tbl_해외[[#This Row],[수량]]*tbl_해외[[#This Row],[단가]]</f>
        <v>0</v>
      </c>
      <c r="K104" s="700">
        <v>1429.76</v>
      </c>
      <c r="L104" s="701">
        <f t="shared" si="3"/>
        <v>0</v>
      </c>
      <c r="M104" s="695">
        <v>45769</v>
      </c>
      <c r="N104" s="695">
        <v>45769</v>
      </c>
      <c r="O104" s="705">
        <v>45770</v>
      </c>
      <c r="P104" s="695" t="s">
        <v>8883</v>
      </c>
      <c r="Q104" s="699">
        <v>0</v>
      </c>
      <c r="R104" s="695">
        <v>45765</v>
      </c>
      <c r="S104" s="697" t="str">
        <f>IFERROR(VLOOKUP($F104,product[],6,0),"error")</f>
        <v>error</v>
      </c>
      <c r="T104" s="699"/>
      <c r="U104" s="695"/>
      <c r="V104" s="697">
        <f>YEAR(tbl_해외[[#This Row],[선적일]])</f>
        <v>2025</v>
      </c>
      <c r="W104" s="696">
        <f>IF(tbl_해외[[#This Row],[선적일]]="",0,MONTH(tbl_해외[[#This Row],[선적일]]))</f>
        <v>4</v>
      </c>
      <c r="X104" s="697" t="str">
        <f>IF($S104="카메라",VLOOKUP($F104,드롭다운!$A:$F,2,0),"")</f>
        <v/>
      </c>
      <c r="Y104" s="697" t="str">
        <f>IF($S104="카메라",VLOOKUP($F104,드롭다운!$A:$F,3,0),"")</f>
        <v/>
      </c>
      <c r="Z104" s="697" t="str">
        <f>IF($S104="카메라",VLOOKUP($F104,드롭다운!$A:$F,4,0),"")</f>
        <v/>
      </c>
      <c r="AA104" s="697" t="str">
        <f>IF($S104="카메라",VLOOKUP($F104,드롭다운!$A:$F,5,0),"")</f>
        <v/>
      </c>
      <c r="AB104" s="697">
        <v>81009</v>
      </c>
      <c r="AC104" s="724"/>
    </row>
    <row r="105" spans="1:29">
      <c r="A105" s="695">
        <v>45698</v>
      </c>
      <c r="B105" s="704">
        <v>1</v>
      </c>
      <c r="C105" s="696" t="str">
        <f>"EX"&amp;TEXT(tbl_해외[[#This Row],[발주일]],"yymmdd")&amp;"-"&amp;TEXT(tbl_해외[[#This Row],[일렬번호]],"00")</f>
        <v>EX250210-01</v>
      </c>
      <c r="D105" s="697" t="s">
        <v>110</v>
      </c>
      <c r="E105" s="697" t="s">
        <v>8874</v>
      </c>
      <c r="F105" s="697" t="s">
        <v>8895</v>
      </c>
      <c r="G105" s="697" t="s">
        <v>377</v>
      </c>
      <c r="H105" s="698">
        <v>2</v>
      </c>
      <c r="I105" s="699">
        <v>1190</v>
      </c>
      <c r="J105" s="699">
        <f>tbl_해외[[#This Row],[수량]]*tbl_해외[[#This Row],[단가]]</f>
        <v>2380</v>
      </c>
      <c r="K105" s="700">
        <v>1429.76</v>
      </c>
      <c r="L105" s="701">
        <f t="shared" si="3"/>
        <v>3402828.8</v>
      </c>
      <c r="M105" s="695">
        <v>45769</v>
      </c>
      <c r="N105" s="695">
        <v>45769</v>
      </c>
      <c r="O105" s="705">
        <v>45770</v>
      </c>
      <c r="P105" s="695" t="s">
        <v>8883</v>
      </c>
      <c r="Q105" s="699">
        <v>0</v>
      </c>
      <c r="R105" s="695">
        <v>45765</v>
      </c>
      <c r="S105" s="697" t="str">
        <f>IFERROR(VLOOKUP($F105,product[],6,0),"error")</f>
        <v>error</v>
      </c>
      <c r="T105" s="699"/>
      <c r="U105" s="695"/>
      <c r="V105" s="697">
        <f>YEAR(tbl_해외[[#This Row],[선적일]])</f>
        <v>2025</v>
      </c>
      <c r="W105" s="696">
        <f>IF(tbl_해외[[#This Row],[선적일]]="",0,MONTH(tbl_해외[[#This Row],[선적일]]))</f>
        <v>4</v>
      </c>
      <c r="X105" s="697" t="str">
        <f>IF($S105="카메라",VLOOKUP($F105,드롭다운!$A:$F,2,0),"")</f>
        <v/>
      </c>
      <c r="Y105" s="697" t="str">
        <f>IF($S105="카메라",VLOOKUP($F105,드롭다운!$A:$F,3,0),"")</f>
        <v/>
      </c>
      <c r="Z105" s="697" t="str">
        <f>IF($S105="카메라",VLOOKUP($F105,드롭다운!$A:$F,4,0),"")</f>
        <v/>
      </c>
      <c r="AA105" s="697" t="str">
        <f>IF($S105="카메라",VLOOKUP($F105,드롭다운!$A:$F,5,0),"")</f>
        <v/>
      </c>
      <c r="AB105" s="697">
        <v>81009</v>
      </c>
      <c r="AC105" s="724"/>
    </row>
    <row r="106" spans="1:29">
      <c r="A106" s="695">
        <v>45698</v>
      </c>
      <c r="B106" s="704">
        <v>1</v>
      </c>
      <c r="C106" s="696" t="str">
        <f>"EX"&amp;TEXT(tbl_해외[[#This Row],[발주일]],"yymmdd")&amp;"-"&amp;TEXT(tbl_해외[[#This Row],[일렬번호]],"00")</f>
        <v>EX250210-01</v>
      </c>
      <c r="D106" s="697" t="s">
        <v>110</v>
      </c>
      <c r="E106" s="697" t="s">
        <v>8896</v>
      </c>
      <c r="F106" s="697" t="s">
        <v>8897</v>
      </c>
      <c r="G106" s="697" t="s">
        <v>377</v>
      </c>
      <c r="H106" s="698">
        <v>2</v>
      </c>
      <c r="I106" s="699">
        <v>0</v>
      </c>
      <c r="J106" s="699">
        <f>tbl_해외[[#This Row],[수량]]*tbl_해외[[#This Row],[단가]]</f>
        <v>0</v>
      </c>
      <c r="K106" s="700">
        <v>1429.76</v>
      </c>
      <c r="L106" s="701">
        <f t="shared" si="3"/>
        <v>0</v>
      </c>
      <c r="M106" s="695">
        <v>45769</v>
      </c>
      <c r="N106" s="695">
        <v>45769</v>
      </c>
      <c r="O106" s="705">
        <v>45770</v>
      </c>
      <c r="P106" s="695" t="s">
        <v>8883</v>
      </c>
      <c r="Q106" s="699">
        <v>0</v>
      </c>
      <c r="R106" s="695">
        <v>45765</v>
      </c>
      <c r="S106" s="697" t="str">
        <f>IFERROR(VLOOKUP($F106,product[],6,0),"error")</f>
        <v>error</v>
      </c>
      <c r="T106" s="699"/>
      <c r="U106" s="695"/>
      <c r="V106" s="697">
        <f>YEAR(tbl_해외[[#This Row],[선적일]])</f>
        <v>2025</v>
      </c>
      <c r="W106" s="696">
        <f>IF(tbl_해외[[#This Row],[선적일]]="",0,MONTH(tbl_해외[[#This Row],[선적일]]))</f>
        <v>4</v>
      </c>
      <c r="X106" s="697" t="str">
        <f>IF($S106="카메라",VLOOKUP($F106,드롭다운!$A:$F,2,0),"")</f>
        <v/>
      </c>
      <c r="Y106" s="697" t="str">
        <f>IF($S106="카메라",VLOOKUP($F106,드롭다운!$A:$F,3,0),"")</f>
        <v/>
      </c>
      <c r="Z106" s="697" t="str">
        <f>IF($S106="카메라",VLOOKUP($F106,드롭다운!$A:$F,4,0),"")</f>
        <v/>
      </c>
      <c r="AA106" s="697" t="str">
        <f>IF($S106="카메라",VLOOKUP($F106,드롭다운!$A:$F,5,0),"")</f>
        <v/>
      </c>
      <c r="AB106" s="697">
        <v>81009</v>
      </c>
      <c r="AC106" s="724"/>
    </row>
    <row r="107" spans="1:29">
      <c r="A107" s="695">
        <v>45769</v>
      </c>
      <c r="B107" s="704">
        <v>1</v>
      </c>
      <c r="C107" s="696" t="str">
        <f>"EX"&amp;TEXT(tbl_해외[[#This Row],[발주일]],"yymmdd")&amp;"-"&amp;TEXT(tbl_해외[[#This Row],[일렬번호]],"00")</f>
        <v>EX250422-01</v>
      </c>
      <c r="D107" s="697" t="s">
        <v>8658</v>
      </c>
      <c r="E107" s="697" t="s">
        <v>8877</v>
      </c>
      <c r="F107" s="697" t="s">
        <v>8881</v>
      </c>
      <c r="G107" s="697" t="s">
        <v>8906</v>
      </c>
      <c r="H107" s="698">
        <v>6</v>
      </c>
      <c r="I107" s="699">
        <v>250</v>
      </c>
      <c r="J107" s="699">
        <f>tbl_해외[[#This Row],[수량]]*tbl_해외[[#This Row],[단가]]</f>
        <v>1500</v>
      </c>
      <c r="K107" s="700">
        <v>1423.96</v>
      </c>
      <c r="L107" s="701">
        <f t="shared" si="3"/>
        <v>2135940</v>
      </c>
      <c r="M107" s="695">
        <v>45776</v>
      </c>
      <c r="N107" s="695">
        <v>45776</v>
      </c>
      <c r="O107" s="705">
        <v>45777</v>
      </c>
      <c r="P107" s="695" t="s">
        <v>8907</v>
      </c>
      <c r="Q107" s="699">
        <v>1500</v>
      </c>
      <c r="R107" s="695">
        <v>45776</v>
      </c>
      <c r="S107" s="697" t="str">
        <f>IFERROR(VLOOKUP($F107,product[],6,0),"error")</f>
        <v>error</v>
      </c>
      <c r="T107" s="699"/>
      <c r="U107" s="695"/>
      <c r="V107" s="697">
        <f>YEAR(tbl_해외[[#This Row],[선적일]])</f>
        <v>2025</v>
      </c>
      <c r="W107" s="696">
        <f>IF(tbl_해외[[#This Row],[선적일]]="",0,MONTH(tbl_해외[[#This Row],[선적일]]))</f>
        <v>4</v>
      </c>
      <c r="X107" s="697" t="str">
        <f>IF($S107="카메라",VLOOKUP($F107,드롭다운!$A:$F,2,0),"")</f>
        <v/>
      </c>
      <c r="Y107" s="697" t="str">
        <f>IF($S107="카메라",VLOOKUP($F107,드롭다운!$A:$F,3,0),"")</f>
        <v/>
      </c>
      <c r="Z107" s="697" t="str">
        <f>IF($S107="카메라",VLOOKUP($F107,드롭다운!$A:$F,4,0),"")</f>
        <v/>
      </c>
      <c r="AA107" s="697" t="str">
        <f>IF($S107="카메라",VLOOKUP($F107,드롭다운!$A:$F,5,0),"")</f>
        <v/>
      </c>
      <c r="AB107" s="722"/>
      <c r="AC107" s="724"/>
    </row>
    <row r="108" spans="1:29">
      <c r="A108" s="695">
        <v>45721</v>
      </c>
      <c r="B108" s="704">
        <v>1</v>
      </c>
      <c r="C108" s="696" t="str">
        <f>"EX"&amp;TEXT(tbl_해외[[#This Row],[발주일]],"yymmdd")&amp;"-"&amp;TEXT(tbl_해외[[#This Row],[일렬번호]],"00")</f>
        <v>EX250305-01</v>
      </c>
      <c r="D108" s="697" t="s">
        <v>8568</v>
      </c>
      <c r="E108" s="697" t="s">
        <v>7529</v>
      </c>
      <c r="F108" s="697" t="s">
        <v>49</v>
      </c>
      <c r="G108" s="697" t="s">
        <v>8900</v>
      </c>
      <c r="H108" s="698">
        <v>1</v>
      </c>
      <c r="I108" s="723">
        <v>3800</v>
      </c>
      <c r="J108" s="699">
        <f>tbl_해외[[#This Row],[수량]]*tbl_해외[[#This Row],[단가]]</f>
        <v>3800</v>
      </c>
      <c r="K108" s="700">
        <v>1624.19</v>
      </c>
      <c r="L108" s="701">
        <f t="shared" si="3"/>
        <v>6171922</v>
      </c>
      <c r="M108" s="695">
        <v>45777</v>
      </c>
      <c r="N108" s="695">
        <v>45777</v>
      </c>
      <c r="O108" s="705">
        <v>45777</v>
      </c>
      <c r="P108" s="695" t="s">
        <v>8901</v>
      </c>
      <c r="Q108" s="699">
        <v>3785</v>
      </c>
      <c r="R108" s="695">
        <v>45803</v>
      </c>
      <c r="S108" s="697" t="str">
        <f>IFERROR(VLOOKUP($F108,product[],6,0),"error")</f>
        <v>카메라</v>
      </c>
      <c r="T108" s="699"/>
      <c r="U108" s="695"/>
      <c r="V108" s="697">
        <f>YEAR(tbl_해외[[#This Row],[선적일]])</f>
        <v>2025</v>
      </c>
      <c r="W108" s="696">
        <f>IF(tbl_해외[[#This Row],[선적일]]="",0,MONTH(tbl_해외[[#This Row],[선적일]]))</f>
        <v>4</v>
      </c>
      <c r="X108" s="697" t="str">
        <f>IF($S108="카메라",VLOOKUP($F108,드롭다운!$A:$F,2,0),"")</f>
        <v>VGA</v>
      </c>
      <c r="Y108" s="697" t="str">
        <f>IF($S108="카메라",VLOOKUP($F108,드롭다운!$A:$F,3,0),"")</f>
        <v>Radiometric</v>
      </c>
      <c r="Z108" s="697" t="str">
        <f>IF($S108="카메라",VLOOKUP($F108,드롭다운!$A:$F,4,0),"")</f>
        <v>Analogue</v>
      </c>
      <c r="AA108" s="697">
        <f>IF($S108="카메라",VLOOKUP($F108,드롭다운!$A:$F,5,0),"")</f>
        <v>17</v>
      </c>
      <c r="AB108" s="697">
        <v>1619918</v>
      </c>
      <c r="AC108" s="724"/>
    </row>
    <row r="109" spans="1:29">
      <c r="A109" s="695">
        <v>45720</v>
      </c>
      <c r="B109" s="704">
        <v>1</v>
      </c>
      <c r="C109" s="696" t="str">
        <f>"EX"&amp;TEXT(tbl_해외[[#This Row],[발주일]],"yymmdd")&amp;"-"&amp;TEXT(tbl_해외[[#This Row],[일렬번호]],"00")</f>
        <v>EX250304-01</v>
      </c>
      <c r="D109" s="697" t="s">
        <v>110</v>
      </c>
      <c r="E109" s="697" t="s">
        <v>7529</v>
      </c>
      <c r="F109" s="697" t="s">
        <v>49</v>
      </c>
      <c r="G109" s="697" t="s">
        <v>7516</v>
      </c>
      <c r="H109" s="698">
        <v>4</v>
      </c>
      <c r="I109" s="699">
        <v>3920</v>
      </c>
      <c r="J109" s="699">
        <f>tbl_해외[[#This Row],[수량]]*tbl_해외[[#This Row],[단가]]</f>
        <v>15680</v>
      </c>
      <c r="K109" s="700">
        <v>1434.83</v>
      </c>
      <c r="L109" s="701">
        <f t="shared" si="3"/>
        <v>22498134.399999999</v>
      </c>
      <c r="M109" s="695">
        <v>45784</v>
      </c>
      <c r="N109" s="695">
        <v>45784</v>
      </c>
      <c r="O109" s="705">
        <v>45784</v>
      </c>
      <c r="P109" s="695" t="s">
        <v>8883</v>
      </c>
      <c r="Q109" s="699">
        <v>18628</v>
      </c>
      <c r="R109" s="695">
        <v>45784</v>
      </c>
      <c r="S109" s="697" t="str">
        <f>IFERROR(VLOOKUP($F109,product[],6,0),"error")</f>
        <v>카메라</v>
      </c>
      <c r="T109" s="699"/>
      <c r="U109" s="695"/>
      <c r="V109" s="697">
        <f>YEAR(tbl_해외[[#This Row],[선적일]])</f>
        <v>2025</v>
      </c>
      <c r="W109" s="696">
        <f>IF(tbl_해외[[#This Row],[선적일]]="",0,MONTH(tbl_해외[[#This Row],[선적일]]))</f>
        <v>5</v>
      </c>
      <c r="X109" s="697" t="str">
        <f>IF($S109="카메라",VLOOKUP($F109,드롭다운!$A:$F,2,0),"")</f>
        <v>VGA</v>
      </c>
      <c r="Y109" s="697" t="str">
        <f>IF($S109="카메라",VLOOKUP($F109,드롭다운!$A:$F,3,0),"")</f>
        <v>Radiometric</v>
      </c>
      <c r="Z109" s="697" t="str">
        <f>IF($S109="카메라",VLOOKUP($F109,드롭다운!$A:$F,4,0),"")</f>
        <v>Analogue</v>
      </c>
      <c r="AA109" s="697">
        <f>IF($S109="카메라",VLOOKUP($F109,드롭다운!$A:$F,5,0),"")</f>
        <v>17</v>
      </c>
      <c r="AB109" s="697">
        <v>81012</v>
      </c>
      <c r="AC109" s="724"/>
    </row>
    <row r="110" spans="1:29">
      <c r="A110" s="695">
        <v>45720</v>
      </c>
      <c r="B110" s="704">
        <v>1</v>
      </c>
      <c r="C110" s="696" t="str">
        <f>"EX"&amp;TEXT(tbl_해외[[#This Row],[발주일]],"yymmdd")&amp;"-"&amp;TEXT(tbl_해외[[#This Row],[일렬번호]],"00")</f>
        <v>EX250304-01</v>
      </c>
      <c r="D110" s="697" t="s">
        <v>110</v>
      </c>
      <c r="E110" s="697" t="s">
        <v>8874</v>
      </c>
      <c r="F110" s="697" t="s">
        <v>8899</v>
      </c>
      <c r="G110" s="697" t="s">
        <v>377</v>
      </c>
      <c r="H110" s="698">
        <v>4</v>
      </c>
      <c r="I110" s="721">
        <v>590</v>
      </c>
      <c r="J110" s="699">
        <f>tbl_해외[[#This Row],[수량]]*tbl_해외[[#This Row],[단가]]</f>
        <v>2360</v>
      </c>
      <c r="K110" s="700">
        <v>1434.83</v>
      </c>
      <c r="L110" s="701">
        <f t="shared" si="3"/>
        <v>3386198.8</v>
      </c>
      <c r="M110" s="695">
        <v>45784</v>
      </c>
      <c r="N110" s="695">
        <v>45784</v>
      </c>
      <c r="O110" s="705">
        <v>45784</v>
      </c>
      <c r="P110" s="695" t="s">
        <v>8883</v>
      </c>
      <c r="Q110" s="699">
        <v>0</v>
      </c>
      <c r="R110" s="695">
        <v>45784</v>
      </c>
      <c r="S110" s="697" t="str">
        <f>IFERROR(VLOOKUP($F110,product[],6,0),"error")</f>
        <v>error</v>
      </c>
      <c r="T110" s="699"/>
      <c r="U110" s="695"/>
      <c r="V110" s="697">
        <f>YEAR(tbl_해외[[#This Row],[선적일]])</f>
        <v>2025</v>
      </c>
      <c r="W110" s="696">
        <f>IF(tbl_해외[[#This Row],[선적일]]="",0,MONTH(tbl_해외[[#This Row],[선적일]]))</f>
        <v>5</v>
      </c>
      <c r="X110" s="697" t="str">
        <f>IF($S110="카메라",VLOOKUP($F110,드롭다운!$A:$F,2,0),"")</f>
        <v/>
      </c>
      <c r="Y110" s="697" t="str">
        <f>IF($S110="카메라",VLOOKUP($F110,드롭다운!$A:$F,3,0),"")</f>
        <v/>
      </c>
      <c r="Z110" s="697" t="str">
        <f>IF($S110="카메라",VLOOKUP($F110,드롭다운!$A:$F,4,0),"")</f>
        <v/>
      </c>
      <c r="AA110" s="697" t="str">
        <f>IF($S110="카메라",VLOOKUP($F110,드롭다운!$A:$F,5,0),"")</f>
        <v/>
      </c>
      <c r="AB110" s="697">
        <v>81012</v>
      </c>
      <c r="AC110" s="724"/>
    </row>
    <row r="111" spans="1:29">
      <c r="A111" s="695">
        <v>45720</v>
      </c>
      <c r="B111" s="704">
        <v>1</v>
      </c>
      <c r="C111" s="696" t="str">
        <f>"EX"&amp;TEXT(tbl_해외[[#This Row],[발주일]],"yymmdd")&amp;"-"&amp;TEXT(tbl_해외[[#This Row],[일렬번호]],"00")</f>
        <v>EX250304-01</v>
      </c>
      <c r="D111" s="697" t="s">
        <v>110</v>
      </c>
      <c r="E111" s="697" t="s">
        <v>8872</v>
      </c>
      <c r="F111" s="697" t="s">
        <v>179</v>
      </c>
      <c r="G111" s="697" t="s">
        <v>377</v>
      </c>
      <c r="H111" s="698">
        <v>4</v>
      </c>
      <c r="I111" s="699">
        <v>0</v>
      </c>
      <c r="J111" s="699">
        <f>tbl_해외[[#This Row],[수량]]*tbl_해외[[#This Row],[단가]]</f>
        <v>0</v>
      </c>
      <c r="K111" s="700">
        <v>1434.83</v>
      </c>
      <c r="L111" s="701">
        <f t="shared" si="3"/>
        <v>0</v>
      </c>
      <c r="M111" s="695">
        <v>45784</v>
      </c>
      <c r="N111" s="695">
        <v>45784</v>
      </c>
      <c r="O111" s="705">
        <v>45784</v>
      </c>
      <c r="P111" s="695" t="s">
        <v>8883</v>
      </c>
      <c r="Q111" s="699">
        <v>0</v>
      </c>
      <c r="R111" s="695">
        <v>45784</v>
      </c>
      <c r="S111" s="697" t="str">
        <f>IFERROR(VLOOKUP($F111,product[],6,0),"error")</f>
        <v>error</v>
      </c>
      <c r="T111" s="699"/>
      <c r="U111" s="695"/>
      <c r="V111" s="697">
        <f>YEAR(tbl_해외[[#This Row],[선적일]])</f>
        <v>2025</v>
      </c>
      <c r="W111" s="696">
        <f>IF(tbl_해외[[#This Row],[선적일]]="",0,MONTH(tbl_해외[[#This Row],[선적일]]))</f>
        <v>5</v>
      </c>
      <c r="X111" s="697" t="str">
        <f>IF($S111="카메라",VLOOKUP($F111,드롭다운!$A:$F,2,0),"")</f>
        <v/>
      </c>
      <c r="Y111" s="697" t="str">
        <f>IF($S111="카메라",VLOOKUP($F111,드롭다운!$A:$F,3,0),"")</f>
        <v/>
      </c>
      <c r="Z111" s="697" t="str">
        <f>IF($S111="카메라",VLOOKUP($F111,드롭다운!$A:$F,4,0),"")</f>
        <v/>
      </c>
      <c r="AA111" s="697" t="str">
        <f>IF($S111="카메라",VLOOKUP($F111,드롭다운!$A:$F,5,0),"")</f>
        <v/>
      </c>
      <c r="AB111" s="722">
        <v>81012</v>
      </c>
      <c r="AC111" s="724"/>
    </row>
    <row r="112" spans="1:29">
      <c r="A112" s="695">
        <v>45775</v>
      </c>
      <c r="B112" s="704">
        <v>6</v>
      </c>
      <c r="C112" s="696" t="str">
        <f>"EX"&amp;TEXT(tbl_해외[[#This Row],[발주일]],"yymmdd")&amp;"-"&amp;TEXT(tbl_해외[[#This Row],[일렬번호]],"00")</f>
        <v>EX250428-06</v>
      </c>
      <c r="D112" s="697" t="s">
        <v>110</v>
      </c>
      <c r="E112" s="697" t="s">
        <v>8877</v>
      </c>
      <c r="F112" s="697" t="s">
        <v>8881</v>
      </c>
      <c r="G112" s="697" t="s">
        <v>8911</v>
      </c>
      <c r="H112" s="698">
        <v>1</v>
      </c>
      <c r="I112" s="699">
        <v>600</v>
      </c>
      <c r="J112" s="699">
        <f>tbl_해외[[#This Row],[수량]]*tbl_해외[[#This Row],[단가]]</f>
        <v>600</v>
      </c>
      <c r="K112" s="700">
        <v>1434.83</v>
      </c>
      <c r="L112" s="701">
        <f t="shared" si="3"/>
        <v>860898</v>
      </c>
      <c r="M112" s="695">
        <v>45784</v>
      </c>
      <c r="N112" s="702">
        <v>45784</v>
      </c>
      <c r="O112" s="703">
        <v>45784</v>
      </c>
      <c r="P112" s="695" t="s">
        <v>8883</v>
      </c>
      <c r="Q112" s="699">
        <v>0</v>
      </c>
      <c r="R112" s="697">
        <v>45784</v>
      </c>
      <c r="S112" s="697" t="str">
        <f>IFERROR(VLOOKUP($F112,product[],6,0),"error")</f>
        <v>error</v>
      </c>
      <c r="T112" s="695"/>
      <c r="U112" s="695"/>
      <c r="V112" s="697">
        <f>YEAR(tbl_해외[[#This Row],[선적일]])</f>
        <v>2025</v>
      </c>
      <c r="W112" s="696">
        <f>IF(tbl_해외[[#This Row],[선적일]]="",0,MONTH(tbl_해외[[#This Row],[선적일]]))</f>
        <v>5</v>
      </c>
      <c r="X112" s="697" t="str">
        <f>IF($S112="카메라",VLOOKUP($F112,드롭다운!$A:$F,2,0),"")</f>
        <v/>
      </c>
      <c r="Y112" s="697" t="str">
        <f>IF($S112="카메라",VLOOKUP($F112,드롭다운!$A:$F,3,0),"")</f>
        <v/>
      </c>
      <c r="Z112" s="697" t="str">
        <f>IF($S112="카메라",VLOOKUP($F112,드롭다운!$A:$F,4,0),"")</f>
        <v/>
      </c>
      <c r="AA112" s="697" t="str">
        <f>IF($S112="카메라",VLOOKUP($F112,드롭다운!$A:$F,5,0),"")</f>
        <v/>
      </c>
      <c r="AB112" s="697"/>
      <c r="AC112" s="724"/>
    </row>
    <row r="113" spans="1:29">
      <c r="A113" s="695">
        <v>45789</v>
      </c>
      <c r="B113" s="704">
        <v>1</v>
      </c>
      <c r="C113" s="696" t="str">
        <f>"EX"&amp;TEXT(tbl_해외[[#This Row],[발주일]],"yymmdd")&amp;"-"&amp;TEXT(tbl_해외[[#This Row],[일렬번호]],"00")</f>
        <v>EX250512-01</v>
      </c>
      <c r="D113" s="697" t="s">
        <v>8054</v>
      </c>
      <c r="E113" s="697" t="s">
        <v>7529</v>
      </c>
      <c r="F113" s="697" t="s">
        <v>50</v>
      </c>
      <c r="G113" s="697" t="s">
        <v>8676</v>
      </c>
      <c r="H113" s="698">
        <v>1</v>
      </c>
      <c r="I113" s="699">
        <v>1600</v>
      </c>
      <c r="J113" s="699">
        <f>tbl_해외[[#This Row],[수량]]*tbl_해외[[#This Row],[단가]]</f>
        <v>1600</v>
      </c>
      <c r="K113" s="700">
        <v>1390.08</v>
      </c>
      <c r="L113" s="701">
        <f t="shared" si="3"/>
        <v>2224128</v>
      </c>
      <c r="M113" s="695">
        <v>45807</v>
      </c>
      <c r="N113" s="702">
        <v>45807</v>
      </c>
      <c r="O113" s="703">
        <v>45807</v>
      </c>
      <c r="P113" s="695" t="s">
        <v>8876</v>
      </c>
      <c r="Q113" s="699">
        <v>1600</v>
      </c>
      <c r="R113" s="695">
        <v>45807</v>
      </c>
      <c r="S113" s="697" t="str">
        <f>IFERROR(VLOOKUP($F113,product[],6,0),"error")</f>
        <v>카메라</v>
      </c>
      <c r="T113" s="695"/>
      <c r="U113" s="695"/>
      <c r="V113" s="697">
        <f>YEAR(tbl_해외[[#This Row],[선적일]])</f>
        <v>2025</v>
      </c>
      <c r="W113" s="696">
        <f>IF(tbl_해외[[#This Row],[선적일]]="",0,MONTH(tbl_해외[[#This Row],[선적일]]))</f>
        <v>5</v>
      </c>
      <c r="X113" s="697" t="str">
        <f>IF($S113="카메라",VLOOKUP($F113,드롭다운!$A:$F,2,0),"")</f>
        <v>QVGA</v>
      </c>
      <c r="Y113" s="697" t="str">
        <f>IF($S113="카메라",VLOOKUP($F113,드롭다운!$A:$F,3,0),"")</f>
        <v>Radiometric</v>
      </c>
      <c r="Z113" s="697" t="str">
        <f>IF($S113="카메라",VLOOKUP($F113,드롭다운!$A:$F,4,0),"")</f>
        <v>Analogue</v>
      </c>
      <c r="AA113" s="697">
        <f>IF($S113="카메라",VLOOKUP($F113,드롭다운!$A:$F,5,0),"")</f>
        <v>17</v>
      </c>
      <c r="AB113" s="697" t="s">
        <v>8919</v>
      </c>
      <c r="AC113" s="724"/>
    </row>
    <row r="114" spans="1:29">
      <c r="A114" s="695">
        <v>45769</v>
      </c>
      <c r="B114" s="704">
        <v>2</v>
      </c>
      <c r="C114" s="696" t="str">
        <f>"EX"&amp;TEXT(tbl_해외[[#This Row],[발주일]],"yymmdd")&amp;"-"&amp;TEXT(tbl_해외[[#This Row],[일렬번호]],"00")</f>
        <v>EX250422-02</v>
      </c>
      <c r="D114" s="697" t="s">
        <v>8528</v>
      </c>
      <c r="E114" s="697" t="s">
        <v>7529</v>
      </c>
      <c r="F114" s="697" t="s">
        <v>103</v>
      </c>
      <c r="G114" s="697" t="s">
        <v>7522</v>
      </c>
      <c r="H114" s="698">
        <v>1</v>
      </c>
      <c r="I114" s="699">
        <v>3730</v>
      </c>
      <c r="J114" s="699">
        <f>tbl_해외[[#This Row],[수량]]*tbl_해외[[#This Row],[단가]]</f>
        <v>3730</v>
      </c>
      <c r="K114" s="700">
        <v>1375.47</v>
      </c>
      <c r="L114" s="701">
        <f t="shared" si="3"/>
        <v>5130503.1000000006</v>
      </c>
      <c r="M114" s="695">
        <v>45818</v>
      </c>
      <c r="N114" s="695">
        <v>45818</v>
      </c>
      <c r="O114" s="705">
        <v>45819</v>
      </c>
      <c r="P114" s="695" t="s">
        <v>8898</v>
      </c>
      <c r="Q114" s="699">
        <v>0</v>
      </c>
      <c r="R114" s="695">
        <v>45776</v>
      </c>
      <c r="S114" s="697" t="str">
        <f>IFERROR(VLOOKUP($F114,product[],6,0),"error")</f>
        <v>카메라</v>
      </c>
      <c r="T114" s="699"/>
      <c r="U114" s="695"/>
      <c r="V114" s="697">
        <f>YEAR(tbl_해외[[#This Row],[선적일]])</f>
        <v>2025</v>
      </c>
      <c r="W114" s="696">
        <f>IF(tbl_해외[[#This Row],[선적일]]="",0,MONTH(tbl_해외[[#This Row],[선적일]]))</f>
        <v>6</v>
      </c>
      <c r="X114" s="697" t="str">
        <f>IF($S114="카메라",VLOOKUP($F114,드롭다운!$A:$F,2,0),"")</f>
        <v>VGA</v>
      </c>
      <c r="Y114" s="697" t="str">
        <f>IF($S114="카메라",VLOOKUP($F114,드롭다운!$A:$F,3,0),"")</f>
        <v>Radiometric</v>
      </c>
      <c r="Z114" s="697" t="str">
        <f>IF($S114="카메라",VLOOKUP($F114,드롭다운!$A:$F,4,0),"")</f>
        <v>Network</v>
      </c>
      <c r="AA114" s="697">
        <f>IF($S114="카메라",VLOOKUP($F114,드롭다운!$A:$F,5,0),"")</f>
        <v>17</v>
      </c>
      <c r="AB114" s="697" t="s">
        <v>8917</v>
      </c>
      <c r="AC114" s="724"/>
    </row>
    <row r="115" spans="1:29">
      <c r="A115" s="695">
        <v>45769</v>
      </c>
      <c r="B115" s="704">
        <v>2</v>
      </c>
      <c r="C115" s="696" t="str">
        <f>"EX"&amp;TEXT(tbl_해외[[#This Row],[발주일]],"yymmdd")&amp;"-"&amp;TEXT(tbl_해외[[#This Row],[일렬번호]],"00")</f>
        <v>EX250422-02</v>
      </c>
      <c r="D115" s="697" t="s">
        <v>8528</v>
      </c>
      <c r="E115" s="697" t="s">
        <v>7529</v>
      </c>
      <c r="F115" s="697" t="s">
        <v>103</v>
      </c>
      <c r="G115" s="697" t="s">
        <v>8905</v>
      </c>
      <c r="H115" s="698">
        <v>3</v>
      </c>
      <c r="I115" s="723">
        <v>3950</v>
      </c>
      <c r="J115" s="699">
        <f>tbl_해외[[#This Row],[수량]]*tbl_해외[[#This Row],[단가]]</f>
        <v>11850</v>
      </c>
      <c r="K115" s="700">
        <v>1375.47</v>
      </c>
      <c r="L115" s="701">
        <f t="shared" si="3"/>
        <v>16299319.5</v>
      </c>
      <c r="M115" s="695">
        <v>45818</v>
      </c>
      <c r="N115" s="695">
        <v>45818</v>
      </c>
      <c r="O115" s="705">
        <v>45819</v>
      </c>
      <c r="P115" s="695" t="s">
        <v>8898</v>
      </c>
      <c r="Q115" s="699"/>
      <c r="R115" s="695"/>
      <c r="S115" s="697" t="str">
        <f>IFERROR(VLOOKUP($F115,product[],6,0),"error")</f>
        <v>카메라</v>
      </c>
      <c r="T115" s="699"/>
      <c r="U115" s="695"/>
      <c r="V115" s="697">
        <f>YEAR(tbl_해외[[#This Row],[선적일]])</f>
        <v>2025</v>
      </c>
      <c r="W115" s="696">
        <f>IF(tbl_해외[[#This Row],[선적일]]="",0,MONTH(tbl_해외[[#This Row],[선적일]]))</f>
        <v>6</v>
      </c>
      <c r="X115" s="697" t="str">
        <f>IF($S115="카메라",VLOOKUP($F115,드롭다운!$A:$F,2,0),"")</f>
        <v>VGA</v>
      </c>
      <c r="Y115" s="697" t="str">
        <f>IF($S115="카메라",VLOOKUP($F115,드롭다운!$A:$F,3,0),"")</f>
        <v>Radiometric</v>
      </c>
      <c r="Z115" s="697" t="str">
        <f>IF($S115="카메라",VLOOKUP($F115,드롭다운!$A:$F,4,0),"")</f>
        <v>Network</v>
      </c>
      <c r="AA115" s="697">
        <f>IF($S115="카메라",VLOOKUP($F115,드롭다운!$A:$F,5,0),"")</f>
        <v>17</v>
      </c>
      <c r="AB115" s="697" t="s">
        <v>8917</v>
      </c>
      <c r="AC115" s="724"/>
    </row>
    <row r="116" spans="1:29" s="511" customFormat="1">
      <c r="A116" s="695">
        <v>45758</v>
      </c>
      <c r="B116" s="704">
        <v>1</v>
      </c>
      <c r="C116" s="696" t="s">
        <v>8923</v>
      </c>
      <c r="D116" s="697" t="s">
        <v>8528</v>
      </c>
      <c r="E116" s="697" t="s">
        <v>7529</v>
      </c>
      <c r="F116" s="697" t="s">
        <v>103</v>
      </c>
      <c r="G116" s="697" t="s">
        <v>8905</v>
      </c>
      <c r="H116" s="698">
        <v>1</v>
      </c>
      <c r="I116" s="699">
        <v>3950</v>
      </c>
      <c r="J116" s="699">
        <f>tbl_해외[[#This Row],[수량]]*tbl_해외[[#This Row],[단가]]</f>
        <v>3950</v>
      </c>
      <c r="K116" s="700">
        <v>1361.9</v>
      </c>
      <c r="L116" s="701">
        <f t="shared" si="3"/>
        <v>5379505</v>
      </c>
      <c r="M116" s="695">
        <v>45828</v>
      </c>
      <c r="N116" s="695">
        <v>45828</v>
      </c>
      <c r="O116" s="705">
        <v>45828</v>
      </c>
      <c r="P116" s="695" t="s">
        <v>8898</v>
      </c>
      <c r="Q116" s="699">
        <v>7620</v>
      </c>
      <c r="R116" s="695">
        <v>45846</v>
      </c>
      <c r="S116" s="697" t="str">
        <f>IFERROR(VLOOKUP($F116,product[],6,0),"error")</f>
        <v>카메라</v>
      </c>
      <c r="T116" s="699"/>
      <c r="U116" s="695"/>
      <c r="V116" s="697">
        <f>YEAR(tbl_해외[[#This Row],[선적일]])</f>
        <v>2025</v>
      </c>
      <c r="W116" s="696">
        <f>IF(tbl_해외[[#This Row],[선적일]]="",0,MONTH(tbl_해외[[#This Row],[선적일]]))</f>
        <v>6</v>
      </c>
      <c r="X116" s="697" t="str">
        <f>IF($S116="카메라",VLOOKUP($F116,드롭다운!$A:$F,2,0),"")</f>
        <v>VGA</v>
      </c>
      <c r="Y116" s="697" t="str">
        <f>IF($S116="카메라",VLOOKUP($F116,드롭다운!$A:$F,3,0),"")</f>
        <v>Radiometric</v>
      </c>
      <c r="Z116" s="697" t="str">
        <f>IF($S116="카메라",VLOOKUP($F116,드롭다운!$A:$F,4,0),"")</f>
        <v>Network</v>
      </c>
      <c r="AA116" s="697">
        <f>IF($S116="카메라",VLOOKUP($F116,드롭다운!$A:$F,5,0),"")</f>
        <v>17</v>
      </c>
      <c r="AB116" s="697" t="s">
        <v>8916</v>
      </c>
      <c r="AC116" s="724"/>
    </row>
    <row r="117" spans="1:29">
      <c r="A117" s="695">
        <v>45791</v>
      </c>
      <c r="B117" s="704">
        <v>2</v>
      </c>
      <c r="C117" s="696" t="str">
        <f>"EX"&amp;TEXT(tbl_해외[[#This Row],[발주일]],"yymmdd")&amp;"-"&amp;TEXT(tbl_해외[[#This Row],[일렬번호]],"00")</f>
        <v>EX250514-02</v>
      </c>
      <c r="D117" s="697" t="s">
        <v>8528</v>
      </c>
      <c r="E117" s="697" t="s">
        <v>7529</v>
      </c>
      <c r="F117" s="697" t="s">
        <v>49</v>
      </c>
      <c r="G117" s="697" t="s">
        <v>7524</v>
      </c>
      <c r="H117" s="698">
        <v>5</v>
      </c>
      <c r="I117" s="699">
        <v>3396</v>
      </c>
      <c r="J117" s="699">
        <f>tbl_해외[[#This Row],[수량]]*tbl_해외[[#This Row],[단가]]</f>
        <v>16980</v>
      </c>
      <c r="K117" s="700">
        <v>1361.9</v>
      </c>
      <c r="L117" s="701">
        <f t="shared" si="3"/>
        <v>23125062</v>
      </c>
      <c r="M117" s="695">
        <v>45828</v>
      </c>
      <c r="N117" s="702">
        <v>45828</v>
      </c>
      <c r="O117" s="703">
        <v>45828</v>
      </c>
      <c r="P117" s="695" t="s">
        <v>8898</v>
      </c>
      <c r="Q117" s="699">
        <v>0</v>
      </c>
      <c r="R117" s="695">
        <v>45821</v>
      </c>
      <c r="S117" s="697" t="str">
        <f>IFERROR(VLOOKUP($F117,product[],6,0),"error")</f>
        <v>카메라</v>
      </c>
      <c r="T117" s="695"/>
      <c r="U117" s="695"/>
      <c r="V117" s="697">
        <f>YEAR(tbl_해외[[#This Row],[선적일]])</f>
        <v>2025</v>
      </c>
      <c r="W117" s="696">
        <f>IF(tbl_해외[[#This Row],[선적일]]="",0,MONTH(tbl_해외[[#This Row],[선적일]]))</f>
        <v>6</v>
      </c>
      <c r="X117" s="697" t="str">
        <f>IF($S117="카메라",VLOOKUP($F117,드롭다운!$A:$F,2,0),"")</f>
        <v>VGA</v>
      </c>
      <c r="Y117" s="697" t="str">
        <f>IF($S117="카메라",VLOOKUP($F117,드롭다운!$A:$F,3,0),"")</f>
        <v>Radiometric</v>
      </c>
      <c r="Z117" s="697" t="str">
        <f>IF($S117="카메라",VLOOKUP($F117,드롭다운!$A:$F,4,0),"")</f>
        <v>Analogue</v>
      </c>
      <c r="AA117" s="697">
        <f>IF($S117="카메라",VLOOKUP($F117,드롭다운!$A:$F,5,0),"")</f>
        <v>17</v>
      </c>
      <c r="AB117" s="697" t="s">
        <v>8920</v>
      </c>
      <c r="AC117" s="724"/>
    </row>
    <row r="118" spans="1:29">
      <c r="A118" s="695">
        <v>45772</v>
      </c>
      <c r="B118" s="704">
        <v>4</v>
      </c>
      <c r="C118" s="696" t="str">
        <f>"EX"&amp;TEXT(tbl_해외[[#This Row],[발주일]],"yymmdd")&amp;"-"&amp;TEXT(tbl_해외[[#This Row],[일렬번호]],"00")</f>
        <v>EX250425-04</v>
      </c>
      <c r="D118" s="697" t="s">
        <v>7944</v>
      </c>
      <c r="E118" s="697" t="s">
        <v>7529</v>
      </c>
      <c r="F118" s="697" t="s">
        <v>49</v>
      </c>
      <c r="G118" s="697" t="s">
        <v>8909</v>
      </c>
      <c r="H118" s="698">
        <v>10</v>
      </c>
      <c r="I118" s="699">
        <v>3700</v>
      </c>
      <c r="J118" s="699">
        <f>tbl_해외[[#This Row],[수량]]*tbl_해외[[#This Row],[단가]]</f>
        <v>37000</v>
      </c>
      <c r="K118" s="700">
        <v>1368.98</v>
      </c>
      <c r="L118" s="701">
        <f t="shared" si="3"/>
        <v>50652260</v>
      </c>
      <c r="M118" s="695">
        <v>45831</v>
      </c>
      <c r="N118" s="702">
        <v>45831</v>
      </c>
      <c r="O118" s="703">
        <v>45831</v>
      </c>
      <c r="P118" s="695" t="s">
        <v>8910</v>
      </c>
      <c r="Q118" s="699">
        <v>36995</v>
      </c>
      <c r="R118" s="695">
        <v>45777</v>
      </c>
      <c r="S118" s="697" t="str">
        <f>IFERROR(VLOOKUP($F118,product[],6,0),"error")</f>
        <v>카메라</v>
      </c>
      <c r="T118" s="695"/>
      <c r="U118" s="695"/>
      <c r="V118" s="697">
        <f>YEAR(tbl_해외[[#This Row],[선적일]])</f>
        <v>2025</v>
      </c>
      <c r="W118" s="696">
        <f>IF(tbl_해외[[#This Row],[선적일]]="",0,MONTH(tbl_해외[[#This Row],[선적일]]))</f>
        <v>6</v>
      </c>
      <c r="X118" s="697" t="str">
        <f>IF($S118="카메라",VLOOKUP($F118,드롭다운!$A:$F,2,0),"")</f>
        <v>VGA</v>
      </c>
      <c r="Y118" s="697" t="str">
        <f>IF($S118="카메라",VLOOKUP($F118,드롭다운!$A:$F,3,0),"")</f>
        <v>Radiometric</v>
      </c>
      <c r="Z118" s="697" t="str">
        <f>IF($S118="카메라",VLOOKUP($F118,드롭다운!$A:$F,4,0),"")</f>
        <v>Analogue</v>
      </c>
      <c r="AA118" s="697">
        <f>IF($S118="카메라",VLOOKUP($F118,드롭다운!$A:$F,5,0),"")</f>
        <v>17</v>
      </c>
      <c r="AB118" s="697"/>
      <c r="AC118" s="724"/>
    </row>
    <row r="119" spans="1:29">
      <c r="A119" s="695">
        <v>45758</v>
      </c>
      <c r="B119" s="704">
        <v>1</v>
      </c>
      <c r="C119" s="696" t="s">
        <v>8923</v>
      </c>
      <c r="D119" s="697" t="s">
        <v>9051</v>
      </c>
      <c r="E119" s="697" t="s">
        <v>7529</v>
      </c>
      <c r="F119" s="697" t="s">
        <v>103</v>
      </c>
      <c r="G119" s="697" t="s">
        <v>7524</v>
      </c>
      <c r="H119" s="698">
        <v>1</v>
      </c>
      <c r="I119" s="699">
        <v>3700</v>
      </c>
      <c r="J119" s="699">
        <f>tbl_해외[[#This Row],[수량]]*tbl_해외[[#This Row],[단가]]</f>
        <v>3700</v>
      </c>
      <c r="K119" s="700">
        <v>1383.42</v>
      </c>
      <c r="L119" s="701">
        <f t="shared" si="3"/>
        <v>5118654</v>
      </c>
      <c r="M119" s="695">
        <v>45842</v>
      </c>
      <c r="N119" s="695">
        <v>45842</v>
      </c>
      <c r="O119" s="705">
        <v>45842</v>
      </c>
      <c r="P119" s="695" t="s">
        <v>8898</v>
      </c>
      <c r="Q119" s="699">
        <v>32530</v>
      </c>
      <c r="R119" s="695">
        <v>45821</v>
      </c>
      <c r="S119" s="697" t="str">
        <f>IFERROR(VLOOKUP($F119,product[],6,0),"error")</f>
        <v>카메라</v>
      </c>
      <c r="T119" s="699"/>
      <c r="U119" s="695"/>
      <c r="V119" s="697">
        <f>YEAR(tbl_해외[[#This Row],[선적일]])</f>
        <v>2025</v>
      </c>
      <c r="W119" s="696">
        <f>IF(tbl_해외[[#This Row],[선적일]]="",0,MONTH(tbl_해외[[#This Row],[선적일]]))</f>
        <v>7</v>
      </c>
      <c r="X119" s="697" t="str">
        <f>IF($S119="카메라",VLOOKUP($F119,드롭다운!$A:$F,2,0),"")</f>
        <v>VGA</v>
      </c>
      <c r="Y119" s="697" t="str">
        <f>IF($S119="카메라",VLOOKUP($F119,드롭다운!$A:$F,3,0),"")</f>
        <v>Radiometric</v>
      </c>
      <c r="Z119" s="697" t="str">
        <f>IF($S119="카메라",VLOOKUP($F119,드롭다운!$A:$F,4,0),"")</f>
        <v>Network</v>
      </c>
      <c r="AA119" s="697">
        <f>IF($S119="카메라",VLOOKUP($F119,드롭다운!$A:$F,5,0),"")</f>
        <v>17</v>
      </c>
      <c r="AB119" s="697" t="s">
        <v>8916</v>
      </c>
      <c r="AC119" s="724"/>
    </row>
    <row r="120" spans="1:29">
      <c r="A120" s="695">
        <v>45750</v>
      </c>
      <c r="B120" s="704">
        <v>1</v>
      </c>
      <c r="C120" s="696" t="str">
        <f>"EX"&amp;TEXT(tbl_해외[[#This Row],[발주일]],"yymmdd")&amp;"-"&amp;TEXT(tbl_해외[[#This Row],[일렬번호]],"00")</f>
        <v>EX250403-01</v>
      </c>
      <c r="D120" s="697" t="s">
        <v>8626</v>
      </c>
      <c r="E120" s="697" t="s">
        <v>7529</v>
      </c>
      <c r="F120" s="697" t="s">
        <v>8904</v>
      </c>
      <c r="G120" s="697" t="s">
        <v>131</v>
      </c>
      <c r="H120" s="698">
        <v>8</v>
      </c>
      <c r="I120" s="699">
        <v>2150</v>
      </c>
      <c r="J120" s="699">
        <f>tbl_해외[[#This Row],[수량]]*tbl_해외[[#This Row],[단가]]</f>
        <v>17200</v>
      </c>
      <c r="K120" s="700">
        <v>1356.02</v>
      </c>
      <c r="L120" s="701">
        <f t="shared" si="3"/>
        <v>23323544</v>
      </c>
      <c r="M120" s="695">
        <v>45846</v>
      </c>
      <c r="N120" s="695">
        <v>45846</v>
      </c>
      <c r="O120" s="705">
        <v>45848</v>
      </c>
      <c r="P120" s="695" t="s">
        <v>9006</v>
      </c>
      <c r="Q120" s="699">
        <v>17180</v>
      </c>
      <c r="R120" s="695">
        <v>45974</v>
      </c>
      <c r="S120" s="697" t="str">
        <f>IFERROR(VLOOKUP($F120,product[],6,0),"error")</f>
        <v>카메라</v>
      </c>
      <c r="T120" s="699"/>
      <c r="U120" s="695"/>
      <c r="V120" s="697">
        <f>YEAR(tbl_해외[[#This Row],[선적일]])</f>
        <v>2025</v>
      </c>
      <c r="W120" s="696">
        <f>IF(tbl_해외[[#This Row],[선적일]]="",0,MONTH(tbl_해외[[#This Row],[선적일]]))</f>
        <v>7</v>
      </c>
      <c r="X120" s="697" t="str">
        <f>IF($S120="카메라",VLOOKUP($F120,드롭다운!$A:$F,2,0),"")</f>
        <v>QVGA</v>
      </c>
      <c r="Y120" s="697" t="str">
        <f>IF($S120="카메라",VLOOKUP($F120,드롭다운!$A:$F,3,0),"")</f>
        <v>Security</v>
      </c>
      <c r="Z120" s="697" t="str">
        <f>IF($S120="카메라",VLOOKUP($F120,드롭다운!$A:$F,4,0),"")</f>
        <v>Network</v>
      </c>
      <c r="AA120" s="697">
        <f>IF($S120="카메라",VLOOKUP($F120,드롭다운!$A:$F,5,0),"")</f>
        <v>17</v>
      </c>
      <c r="AB120" s="697">
        <v>2644939</v>
      </c>
      <c r="AC120" s="724"/>
    </row>
    <row r="121" spans="1:29">
      <c r="A121" s="695">
        <v>45856</v>
      </c>
      <c r="B121" s="704">
        <v>2</v>
      </c>
      <c r="C121" s="696" t="str">
        <f>"EX"&amp;TEXT(tbl_해외[[#This Row],[발주일]],"yymmdd")&amp;"-"&amp;TEXT(tbl_해외[[#This Row],[일렬번호]],"00")</f>
        <v>EX250718-02</v>
      </c>
      <c r="D121" s="697" t="s">
        <v>9072</v>
      </c>
      <c r="E121" s="697" t="s">
        <v>7531</v>
      </c>
      <c r="F121" s="697" t="s">
        <v>7534</v>
      </c>
      <c r="G121" s="697" t="s">
        <v>9073</v>
      </c>
      <c r="H121" s="698">
        <v>1</v>
      </c>
      <c r="I121" s="699">
        <v>150</v>
      </c>
      <c r="J121" s="699">
        <f>tbl_해외[[#This Row],[수량]]*tbl_해외[[#This Row],[단가]]</f>
        <v>150</v>
      </c>
      <c r="K121" s="700">
        <v>1369.12</v>
      </c>
      <c r="L121" s="701">
        <f t="shared" si="3"/>
        <v>205367.99999999997</v>
      </c>
      <c r="M121" s="695">
        <v>45856</v>
      </c>
      <c r="N121" s="702">
        <v>45856</v>
      </c>
      <c r="O121" s="703">
        <v>45856</v>
      </c>
      <c r="P121" s="695" t="s">
        <v>9193</v>
      </c>
      <c r="Q121" s="699">
        <v>120</v>
      </c>
      <c r="R121" s="695">
        <v>45856</v>
      </c>
      <c r="S121" s="697" t="str">
        <f>IFERROR(VLOOKUP($F121,product[],6,0),"error")</f>
        <v>error</v>
      </c>
      <c r="T121" s="695"/>
      <c r="U121" s="695"/>
      <c r="V121" s="697">
        <f>YEAR(tbl_해외[[#This Row],[선적일]])</f>
        <v>2025</v>
      </c>
      <c r="W121" s="696">
        <f>IF(tbl_해외[[#This Row],[선적일]]="",0,MONTH(tbl_해외[[#This Row],[선적일]]))</f>
        <v>7</v>
      </c>
      <c r="X121" s="697" t="str">
        <f>IF($S121="카메라",VLOOKUP($F121,드롭다운!$A:$F,2,0),"")</f>
        <v/>
      </c>
      <c r="Y121" s="697" t="str">
        <f>IF($S121="카메라",VLOOKUP($F121,드롭다운!$A:$F,3,0),"")</f>
        <v/>
      </c>
      <c r="Z121" s="697" t="str">
        <f>IF($S121="카메라",VLOOKUP($F121,드롭다운!$A:$F,4,0),"")</f>
        <v/>
      </c>
      <c r="AA121" s="697" t="str">
        <f>IF($S121="카메라",VLOOKUP($F121,드롭다운!$A:$F,5,0),"")</f>
        <v/>
      </c>
      <c r="AB121" s="697"/>
      <c r="AC121" s="724"/>
    </row>
    <row r="122" spans="1:29">
      <c r="A122" s="695">
        <v>45758</v>
      </c>
      <c r="B122" s="704">
        <v>1</v>
      </c>
      <c r="C122" s="696" t="s">
        <v>8922</v>
      </c>
      <c r="D122" s="697" t="s">
        <v>8528</v>
      </c>
      <c r="E122" s="697" t="s">
        <v>7529</v>
      </c>
      <c r="F122" s="697" t="s">
        <v>103</v>
      </c>
      <c r="G122" s="697" t="s">
        <v>7526</v>
      </c>
      <c r="H122" s="698">
        <v>12</v>
      </c>
      <c r="I122" s="699">
        <v>3136</v>
      </c>
      <c r="J122" s="699">
        <f>tbl_해외[[#This Row],[수량]]*tbl_해외[[#This Row],[단가]]</f>
        <v>37632</v>
      </c>
      <c r="K122" s="700">
        <v>1369.12</v>
      </c>
      <c r="L122" s="701">
        <f t="shared" si="3"/>
        <v>51522723.839999996</v>
      </c>
      <c r="M122" s="695">
        <v>45855</v>
      </c>
      <c r="N122" s="695">
        <v>45856</v>
      </c>
      <c r="O122" s="705">
        <v>45856</v>
      </c>
      <c r="P122" s="695" t="s">
        <v>8898</v>
      </c>
      <c r="Q122" s="699">
        <v>37592</v>
      </c>
      <c r="R122" s="695">
        <v>45854</v>
      </c>
      <c r="S122" s="697" t="str">
        <f>IFERROR(VLOOKUP($F122,product[],6,0),"error")</f>
        <v>카메라</v>
      </c>
      <c r="T122" s="699"/>
      <c r="U122" s="695"/>
      <c r="V122" s="697">
        <f>YEAR(tbl_해외[[#This Row],[선적일]])</f>
        <v>2025</v>
      </c>
      <c r="W122" s="696">
        <f>IF(tbl_해외[[#This Row],[선적일]]="",0,MONTH(tbl_해외[[#This Row],[선적일]]))</f>
        <v>7</v>
      </c>
      <c r="X122" s="697" t="str">
        <f>IF($S122="카메라",VLOOKUP($F122,드롭다운!$A:$F,2,0),"")</f>
        <v>VGA</v>
      </c>
      <c r="Y122" s="697" t="str">
        <f>IF($S122="카메라",VLOOKUP($F122,드롭다운!$A:$F,3,0),"")</f>
        <v>Radiometric</v>
      </c>
      <c r="Z122" s="697" t="str">
        <f>IF($S122="카메라",VLOOKUP($F122,드롭다운!$A:$F,4,0),"")</f>
        <v>Network</v>
      </c>
      <c r="AA122" s="697">
        <f>IF($S122="카메라",VLOOKUP($F122,드롭다운!$A:$F,5,0),"")</f>
        <v>17</v>
      </c>
      <c r="AB122" s="697" t="s">
        <v>8916</v>
      </c>
      <c r="AC122" s="724"/>
    </row>
    <row r="123" spans="1:29">
      <c r="A123" s="695">
        <v>45846</v>
      </c>
      <c r="B123" s="704">
        <v>2</v>
      </c>
      <c r="C123" s="696" t="str">
        <f>"EX"&amp;TEXT(tbl_해외[[#This Row],[발주일]],"yymmdd")&amp;"-"&amp;TEXT(tbl_해외[[#This Row],[일렬번호]],"00")</f>
        <v>EX250708-02</v>
      </c>
      <c r="D123" s="697" t="s">
        <v>232</v>
      </c>
      <c r="E123" s="697" t="s">
        <v>7533</v>
      </c>
      <c r="F123" s="697" t="s">
        <v>8931</v>
      </c>
      <c r="G123" s="697" t="s">
        <v>8932</v>
      </c>
      <c r="H123" s="698">
        <v>8</v>
      </c>
      <c r="I123" s="699">
        <v>170</v>
      </c>
      <c r="J123" s="699">
        <f>tbl_해외[[#This Row],[수량]]*tbl_해외[[#This Row],[단가]]</f>
        <v>1360</v>
      </c>
      <c r="K123" s="700">
        <v>1382.76</v>
      </c>
      <c r="L123" s="701">
        <f t="shared" si="3"/>
        <v>1880553.6</v>
      </c>
      <c r="M123" s="695">
        <v>45859</v>
      </c>
      <c r="N123" s="702">
        <v>45860</v>
      </c>
      <c r="O123" s="703">
        <v>45860</v>
      </c>
      <c r="P123" s="695" t="s">
        <v>162</v>
      </c>
      <c r="Q123" s="699">
        <v>1348</v>
      </c>
      <c r="R123" s="695">
        <v>45856</v>
      </c>
      <c r="S123" s="697" t="str">
        <f>IFERROR(VLOOKUP($F123,product[],6,0),"error")</f>
        <v>error</v>
      </c>
      <c r="T123" s="695"/>
      <c r="U123" s="695"/>
      <c r="V123" s="697">
        <f>YEAR(tbl_해외[[#This Row],[선적일]])</f>
        <v>2025</v>
      </c>
      <c r="W123" s="696">
        <f>IF(tbl_해외[[#This Row],[선적일]]="",0,MONTH(tbl_해외[[#This Row],[선적일]]))</f>
        <v>7</v>
      </c>
      <c r="X123" s="697" t="str">
        <f>IF($S123="카메라",VLOOKUP($F123,드롭다운!$A:$F,2,0),"")</f>
        <v/>
      </c>
      <c r="Y123" s="697" t="str">
        <f>IF($S123="카메라",VLOOKUP($F123,드롭다운!$A:$F,3,0),"")</f>
        <v/>
      </c>
      <c r="Z123" s="697" t="str">
        <f>IF($S123="카메라",VLOOKUP($F123,드롭다운!$A:$F,4,0),"")</f>
        <v/>
      </c>
      <c r="AA123" s="697" t="str">
        <f>IF($S123="카메라",VLOOKUP($F123,드롭다운!$A:$F,5,0),"")</f>
        <v/>
      </c>
      <c r="AB123" s="697" t="s">
        <v>8933</v>
      </c>
      <c r="AC123" s="724"/>
    </row>
    <row r="124" spans="1:29">
      <c r="A124" s="695">
        <v>45806</v>
      </c>
      <c r="B124" s="704">
        <v>1</v>
      </c>
      <c r="C124" s="696" t="str">
        <f>"EX"&amp;TEXT(tbl_해외[[#This Row],[발주일]],"yymmdd")&amp;"-"&amp;TEXT(tbl_해외[[#This Row],[일렬번호]],"00")</f>
        <v>EX250529-01</v>
      </c>
      <c r="D124" s="697" t="s">
        <v>110</v>
      </c>
      <c r="E124" s="697" t="s">
        <v>7529</v>
      </c>
      <c r="F124" s="697" t="s">
        <v>49</v>
      </c>
      <c r="G124" s="697" t="s">
        <v>8913</v>
      </c>
      <c r="H124" s="698">
        <v>3</v>
      </c>
      <c r="I124" s="699">
        <v>3670</v>
      </c>
      <c r="J124" s="699">
        <f>tbl_해외[[#This Row],[수량]]*tbl_해외[[#This Row],[단가]]</f>
        <v>11010</v>
      </c>
      <c r="K124" s="700">
        <v>1383.42</v>
      </c>
      <c r="L124" s="701">
        <f t="shared" si="3"/>
        <v>15231454.200000001</v>
      </c>
      <c r="M124" s="695">
        <v>45868</v>
      </c>
      <c r="N124" s="702">
        <v>45868</v>
      </c>
      <c r="O124" s="703">
        <v>45869</v>
      </c>
      <c r="P124" s="695" t="s">
        <v>162</v>
      </c>
      <c r="Q124" s="699">
        <v>10998</v>
      </c>
      <c r="R124" s="695">
        <v>45868</v>
      </c>
      <c r="S124" s="697" t="str">
        <f>IFERROR(VLOOKUP($F124,product[],6,0),"error")</f>
        <v>카메라</v>
      </c>
      <c r="T124" s="695"/>
      <c r="U124" s="695"/>
      <c r="V124" s="697">
        <f>YEAR(tbl_해외[[#This Row],[선적일]])</f>
        <v>2025</v>
      </c>
      <c r="W124" s="696">
        <f>IF(tbl_해외[[#This Row],[선적일]]="",0,MONTH(tbl_해외[[#This Row],[선적일]]))</f>
        <v>7</v>
      </c>
      <c r="X124" s="697" t="str">
        <f>IF($S124="카메라",VLOOKUP($F124,드롭다운!$A:$F,2,0),"")</f>
        <v>VGA</v>
      </c>
      <c r="Y124" s="697" t="str">
        <f>IF($S124="카메라",VLOOKUP($F124,드롭다운!$A:$F,3,0),"")</f>
        <v>Radiometric</v>
      </c>
      <c r="Z124" s="697" t="str">
        <f>IF($S124="카메라",VLOOKUP($F124,드롭다운!$A:$F,4,0),"")</f>
        <v>Analogue</v>
      </c>
      <c r="AA124" s="697">
        <f>IF($S124="카메라",VLOOKUP($F124,드롭다운!$A:$F,5,0),"")</f>
        <v>17</v>
      </c>
      <c r="AB124" s="697" t="s">
        <v>8927</v>
      </c>
      <c r="AC124" s="724"/>
    </row>
    <row r="125" spans="1:29">
      <c r="A125" s="695">
        <v>45869</v>
      </c>
      <c r="B125" s="704">
        <v>1</v>
      </c>
      <c r="C125" s="696" t="str">
        <f>"EX"&amp;TEXT(tbl_해외[[#This Row],[발주일]],"yymmdd")&amp;"-"&amp;TEXT(tbl_해외[[#This Row],[일렬번호]],"00")</f>
        <v>EX250731-01</v>
      </c>
      <c r="D125" s="697" t="s">
        <v>9023</v>
      </c>
      <c r="E125" s="697" t="s">
        <v>7531</v>
      </c>
      <c r="F125" s="697" t="s">
        <v>7534</v>
      </c>
      <c r="G125" s="697" t="s">
        <v>9024</v>
      </c>
      <c r="H125" s="698">
        <v>1</v>
      </c>
      <c r="I125" s="699">
        <v>1200</v>
      </c>
      <c r="J125" s="699">
        <f>tbl_해외[[#This Row],[수량]]*tbl_해외[[#This Row],[단가]]</f>
        <v>1200</v>
      </c>
      <c r="K125" s="700">
        <v>1383.42</v>
      </c>
      <c r="L125" s="701">
        <f t="shared" si="3"/>
        <v>1660104</v>
      </c>
      <c r="M125" s="695">
        <v>45868</v>
      </c>
      <c r="N125" s="702">
        <v>45868</v>
      </c>
      <c r="O125" s="703">
        <v>45869</v>
      </c>
      <c r="P125" s="695" t="s">
        <v>162</v>
      </c>
      <c r="Q125" s="699">
        <v>1188</v>
      </c>
      <c r="R125" s="695">
        <v>45870</v>
      </c>
      <c r="S125" s="697" t="str">
        <f>IFERROR(VLOOKUP($F125,product[],6,0),"error")</f>
        <v>error</v>
      </c>
      <c r="T125" s="695"/>
      <c r="U125" s="695"/>
      <c r="V125" s="697">
        <f>YEAR(tbl_해외[[#This Row],[선적일]])</f>
        <v>2025</v>
      </c>
      <c r="W125" s="696">
        <f>IF(tbl_해외[[#This Row],[선적일]]="",0,MONTH(tbl_해외[[#This Row],[선적일]]))</f>
        <v>7</v>
      </c>
      <c r="X125" s="697" t="str">
        <f>IF($S125="카메라",VLOOKUP($F125,드롭다운!$A:$F,2,0),"")</f>
        <v/>
      </c>
      <c r="Y125" s="697" t="str">
        <f>IF($S125="카메라",VLOOKUP($F125,드롭다운!$A:$F,3,0),"")</f>
        <v/>
      </c>
      <c r="Z125" s="697" t="str">
        <f>IF($S125="카메라",VLOOKUP($F125,드롭다운!$A:$F,4,0),"")</f>
        <v/>
      </c>
      <c r="AA125" s="697" t="str">
        <f>IF($S125="카메라",VLOOKUP($F125,드롭다운!$A:$F,5,0),"")</f>
        <v/>
      </c>
      <c r="AB125" s="697" t="s">
        <v>9025</v>
      </c>
      <c r="AC125" s="724"/>
    </row>
    <row r="126" spans="1:29">
      <c r="A126" s="695">
        <v>45769</v>
      </c>
      <c r="B126" s="704">
        <v>3</v>
      </c>
      <c r="C126" s="696" t="s">
        <v>9093</v>
      </c>
      <c r="D126" s="697" t="s">
        <v>117</v>
      </c>
      <c r="E126" s="697" t="s">
        <v>7529</v>
      </c>
      <c r="F126" s="697" t="s">
        <v>103</v>
      </c>
      <c r="G126" s="697" t="s">
        <v>8908</v>
      </c>
      <c r="H126" s="698">
        <v>1</v>
      </c>
      <c r="I126" s="699">
        <v>4078</v>
      </c>
      <c r="J126" s="699">
        <f>tbl_해외[[#This Row],[수량]]*tbl_해외[[#This Row],[단가]]</f>
        <v>4078</v>
      </c>
      <c r="K126" s="700">
        <v>1384.06</v>
      </c>
      <c r="L126" s="701">
        <f t="shared" ref="L126:L142" si="4">K126*J126</f>
        <v>5644196.6799999997</v>
      </c>
      <c r="M126" s="695">
        <v>45873</v>
      </c>
      <c r="N126" s="695">
        <v>45874</v>
      </c>
      <c r="O126" s="705">
        <v>45874</v>
      </c>
      <c r="P126" s="695" t="s">
        <v>163</v>
      </c>
      <c r="Q126" s="699">
        <v>0</v>
      </c>
      <c r="R126" s="695">
        <v>45777</v>
      </c>
      <c r="S126" s="697"/>
      <c r="T126" s="699"/>
      <c r="U126" s="695"/>
      <c r="V126" s="697">
        <f>YEAR(tbl_해외[[#This Row],[선적일]])</f>
        <v>2025</v>
      </c>
      <c r="W126" s="696">
        <f>IF(tbl_해외[[#This Row],[선적일]]="",0,MONTH(tbl_해외[[#This Row],[선적일]]))</f>
        <v>8</v>
      </c>
      <c r="X126" s="697" t="str">
        <f>IF($S126="카메라",VLOOKUP($F126,드롭다운!$A:$F,2,0),"")</f>
        <v/>
      </c>
      <c r="Y126" s="697" t="str">
        <f>IF($S126="카메라",VLOOKUP($F126,드롭다운!$A:$F,3,0),"")</f>
        <v/>
      </c>
      <c r="Z126" s="697" t="str">
        <f>IF($S126="카메라",VLOOKUP($F126,드롭다운!$A:$F,4,0),"")</f>
        <v/>
      </c>
      <c r="AA126" s="697" t="str">
        <f>IF($S126="카메라",VLOOKUP($F126,드롭다운!$A:$F,5,0),"")</f>
        <v/>
      </c>
      <c r="AB126" s="697" t="s">
        <v>8918</v>
      </c>
      <c r="AC126" s="724"/>
    </row>
    <row r="127" spans="1:29">
      <c r="A127" s="695">
        <v>45803</v>
      </c>
      <c r="B127" s="704">
        <v>1</v>
      </c>
      <c r="C127" s="696" t="s">
        <v>9042</v>
      </c>
      <c r="D127" s="697" t="s">
        <v>8528</v>
      </c>
      <c r="E127" s="697" t="s">
        <v>7529</v>
      </c>
      <c r="F127" s="697" t="s">
        <v>103</v>
      </c>
      <c r="G127" s="697" t="s">
        <v>8912</v>
      </c>
      <c r="H127" s="698">
        <v>4</v>
      </c>
      <c r="I127" s="699">
        <v>3647.2</v>
      </c>
      <c r="J127" s="699">
        <f>tbl_해외[[#This Row],[수량]]*tbl_해외[[#This Row],[단가]]</f>
        <v>14588.8</v>
      </c>
      <c r="K127" s="700">
        <v>1384.06</v>
      </c>
      <c r="L127" s="701">
        <f t="shared" si="4"/>
        <v>20191774.527999997</v>
      </c>
      <c r="M127" s="695">
        <v>45875</v>
      </c>
      <c r="N127" s="702">
        <v>45876</v>
      </c>
      <c r="O127" s="703">
        <v>45877</v>
      </c>
      <c r="P127" s="695" t="s">
        <v>8898</v>
      </c>
      <c r="Q127" s="699">
        <v>29137.599999999999</v>
      </c>
      <c r="R127" s="695">
        <v>45875</v>
      </c>
      <c r="S127" s="697" t="str">
        <f>IFERROR(VLOOKUP($F127,product[],6,0),"error")</f>
        <v>카메라</v>
      </c>
      <c r="T127" s="695"/>
      <c r="U127" s="695"/>
      <c r="V127" s="697">
        <f>YEAR(tbl_해외[[#This Row],[선적일]])</f>
        <v>2025</v>
      </c>
      <c r="W127" s="696">
        <f>IF(tbl_해외[[#This Row],[선적일]]="",0,MONTH(tbl_해외[[#This Row],[선적일]]))</f>
        <v>8</v>
      </c>
      <c r="X127" s="697" t="str">
        <f>IF($S127="카메라",VLOOKUP($F127,드롭다운!$A:$F,2,0),"")</f>
        <v>VGA</v>
      </c>
      <c r="Y127" s="697" t="str">
        <f>IF($S127="카메라",VLOOKUP($F127,드롭다운!$A:$F,3,0),"")</f>
        <v>Radiometric</v>
      </c>
      <c r="Z127" s="697" t="str">
        <f>IF($S127="카메라",VLOOKUP($F127,드롭다운!$A:$F,4,0),"")</f>
        <v>Network</v>
      </c>
      <c r="AA127" s="697">
        <f>IF($S127="카메라",VLOOKUP($F127,드롭다운!$A:$F,5,0),"")</f>
        <v>17</v>
      </c>
      <c r="AB127" s="697" t="s">
        <v>8921</v>
      </c>
      <c r="AC127" s="724"/>
    </row>
    <row r="128" spans="1:29">
      <c r="A128" s="695">
        <v>45803</v>
      </c>
      <c r="B128" s="704">
        <v>1</v>
      </c>
      <c r="C128" s="696" t="s">
        <v>9042</v>
      </c>
      <c r="D128" s="697" t="s">
        <v>8528</v>
      </c>
      <c r="E128" s="697" t="s">
        <v>7529</v>
      </c>
      <c r="F128" s="697" t="s">
        <v>103</v>
      </c>
      <c r="G128" s="697" t="s">
        <v>8912</v>
      </c>
      <c r="H128" s="698">
        <v>4</v>
      </c>
      <c r="I128" s="699">
        <v>3647.2</v>
      </c>
      <c r="J128" s="699">
        <f>tbl_해외[[#This Row],[수량]]*tbl_해외[[#This Row],[단가]]</f>
        <v>14588.8</v>
      </c>
      <c r="K128" s="700">
        <v>1384.06</v>
      </c>
      <c r="L128" s="701">
        <f t="shared" si="4"/>
        <v>20191774.527999997</v>
      </c>
      <c r="M128" s="695">
        <v>45875</v>
      </c>
      <c r="N128" s="702">
        <v>45876</v>
      </c>
      <c r="O128" s="703">
        <v>45877</v>
      </c>
      <c r="P128" s="695" t="s">
        <v>8898</v>
      </c>
      <c r="Q128" s="699">
        <v>0</v>
      </c>
      <c r="R128" s="695">
        <v>45875</v>
      </c>
      <c r="S128" s="697" t="str">
        <f>IFERROR(VLOOKUP($F128,product[],6,0),"error")</f>
        <v>카메라</v>
      </c>
      <c r="T128" s="695"/>
      <c r="U128" s="695"/>
      <c r="V128" s="697">
        <f>YEAR(tbl_해외[[#This Row],[선적일]])</f>
        <v>2025</v>
      </c>
      <c r="W128" s="696">
        <f>IF(tbl_해외[[#This Row],[선적일]]="",0,MONTH(tbl_해외[[#This Row],[선적일]]))</f>
        <v>8</v>
      </c>
      <c r="X128" s="697" t="str">
        <f>IF($S128="카메라",VLOOKUP($F128,드롭다운!$A:$F,2,0),"")</f>
        <v>VGA</v>
      </c>
      <c r="Y128" s="697" t="str">
        <f>IF($S128="카메라",VLOOKUP($F128,드롭다운!$A:$F,3,0),"")</f>
        <v>Radiometric</v>
      </c>
      <c r="Z128" s="697" t="str">
        <f>IF($S128="카메라",VLOOKUP($F128,드롭다운!$A:$F,4,0),"")</f>
        <v>Network</v>
      </c>
      <c r="AA128" s="697">
        <f>IF($S128="카메라",VLOOKUP($F128,드롭다운!$A:$F,5,0),"")</f>
        <v>17</v>
      </c>
      <c r="AB128" s="697" t="s">
        <v>8921</v>
      </c>
      <c r="AC128" s="724"/>
    </row>
    <row r="129" spans="1:29">
      <c r="A129" s="695">
        <v>45842</v>
      </c>
      <c r="B129" s="704">
        <v>1</v>
      </c>
      <c r="C129" s="696" t="str">
        <f>"EX"&amp;TEXT(tbl_해외[[#This Row],[발주일]],"yymmdd")&amp;"-"&amp;TEXT(tbl_해외[[#This Row],[일렬번호]],"00")</f>
        <v>EX250704-01</v>
      </c>
      <c r="D129" s="697" t="s">
        <v>232</v>
      </c>
      <c r="E129" s="697" t="s">
        <v>7529</v>
      </c>
      <c r="F129" s="697" t="s">
        <v>8924</v>
      </c>
      <c r="G129" s="697" t="s">
        <v>8925</v>
      </c>
      <c r="H129" s="698">
        <v>1</v>
      </c>
      <c r="I129" s="699">
        <v>2740</v>
      </c>
      <c r="J129" s="699">
        <f>tbl_해외[[#This Row],[수량]]*tbl_해외[[#This Row],[단가]]</f>
        <v>2740</v>
      </c>
      <c r="K129" s="700">
        <v>1387.08</v>
      </c>
      <c r="L129" s="701">
        <f t="shared" si="4"/>
        <v>3800599.1999999997</v>
      </c>
      <c r="M129" s="695">
        <v>45890</v>
      </c>
      <c r="N129" s="702">
        <v>45891</v>
      </c>
      <c r="O129" s="703">
        <v>45893</v>
      </c>
      <c r="P129" s="695" t="s">
        <v>162</v>
      </c>
      <c r="Q129" s="699">
        <v>2728</v>
      </c>
      <c r="R129" s="695">
        <v>45867</v>
      </c>
      <c r="S129" s="697" t="str">
        <f>IFERROR(VLOOKUP($F129,product[],6,0),"error")</f>
        <v>카메라</v>
      </c>
      <c r="T129" s="695"/>
      <c r="U129" s="695"/>
      <c r="V129" s="697">
        <f>YEAR(tbl_해외[[#This Row],[선적일]])</f>
        <v>2025</v>
      </c>
      <c r="W129" s="696">
        <f>IF(tbl_해외[[#This Row],[선적일]]="",0,MONTH(tbl_해외[[#This Row],[선적일]]))</f>
        <v>8</v>
      </c>
      <c r="X129" s="697" t="str">
        <f>IF($S129="카메라",VLOOKUP($F129,드롭다운!$A:$F,2,0),"")</f>
        <v>VGA</v>
      </c>
      <c r="Y129" s="697" t="str">
        <f>IF($S129="카메라",VLOOKUP($F129,드롭다운!$A:$F,3,0),"")</f>
        <v>Security</v>
      </c>
      <c r="Z129" s="697" t="str">
        <f>IF($S129="카메라",VLOOKUP($F129,드롭다운!$A:$F,4,0),"")</f>
        <v>Analogue</v>
      </c>
      <c r="AA129" s="697">
        <f>IF($S129="카메라",VLOOKUP($F129,드롭다운!$A:$F,5,0),"")</f>
        <v>12</v>
      </c>
      <c r="AB129" s="697" t="s">
        <v>8926</v>
      </c>
      <c r="AC129" s="724"/>
    </row>
    <row r="130" spans="1:29">
      <c r="A130" s="695">
        <v>45880</v>
      </c>
      <c r="B130" s="704">
        <v>1</v>
      </c>
      <c r="C130" s="696" t="str">
        <f>"EX"&amp;TEXT(tbl_해외[[#This Row],[발주일]],"yymmdd")&amp;"-"&amp;TEXT(tbl_해외[[#This Row],[일렬번호]],"00")</f>
        <v>EX250811-01</v>
      </c>
      <c r="D130" s="697" t="s">
        <v>232</v>
      </c>
      <c r="E130" s="697" t="s">
        <v>9047</v>
      </c>
      <c r="F130" s="697" t="s">
        <v>9048</v>
      </c>
      <c r="G130" s="697" t="s">
        <v>9049</v>
      </c>
      <c r="H130" s="698">
        <v>1</v>
      </c>
      <c r="I130" s="699">
        <v>3920</v>
      </c>
      <c r="J130" s="699">
        <f>tbl_해외[[#This Row],[수량]]*tbl_해외[[#This Row],[단가]]</f>
        <v>3920</v>
      </c>
      <c r="K130" s="700">
        <v>1387.08</v>
      </c>
      <c r="L130" s="701">
        <f t="shared" si="4"/>
        <v>5437353.5999999996</v>
      </c>
      <c r="M130" s="695">
        <v>45890</v>
      </c>
      <c r="N130" s="702">
        <v>45891</v>
      </c>
      <c r="O130" s="703">
        <v>45893</v>
      </c>
      <c r="P130" s="695" t="s">
        <v>162</v>
      </c>
      <c r="Q130" s="699">
        <v>3908</v>
      </c>
      <c r="R130" s="695">
        <v>45890</v>
      </c>
      <c r="S130" s="697" t="str">
        <f>IFERROR(VLOOKUP($F130,product[],6,0),"error")</f>
        <v>카메라</v>
      </c>
      <c r="T130" s="695"/>
      <c r="U130" s="695"/>
      <c r="V130" s="697">
        <f>YEAR(tbl_해외[[#This Row],[선적일]])</f>
        <v>2025</v>
      </c>
      <c r="W130" s="696">
        <f>IF(tbl_해외[[#This Row],[선적일]]="",0,MONTH(tbl_해외[[#This Row],[선적일]]))</f>
        <v>8</v>
      </c>
      <c r="X130" s="697" t="str">
        <f>IF($S130="카메라",VLOOKUP($F130,드롭다운!$A:$F,2,0),"")</f>
        <v>VGA</v>
      </c>
      <c r="Y130" s="697" t="str">
        <f>IF($S130="카메라",VLOOKUP($F130,드롭다운!$A:$F,3,0),"")</f>
        <v>Radiometric</v>
      </c>
      <c r="Z130" s="697" t="str">
        <f>IF($S130="카메라",VLOOKUP($F130,드롭다운!$A:$F,4,0),"")</f>
        <v>Analogue</v>
      </c>
      <c r="AA130" s="697">
        <f>IF($S130="카메라",VLOOKUP($F130,드롭다운!$A:$F,5,0),"")</f>
        <v>17</v>
      </c>
      <c r="AB130" s="697" t="s">
        <v>9050</v>
      </c>
      <c r="AC130" s="724"/>
    </row>
    <row r="131" spans="1:29" s="513" customFormat="1" ht="17.25" customHeight="1">
      <c r="A131" s="695">
        <v>45891</v>
      </c>
      <c r="B131" s="704">
        <v>1</v>
      </c>
      <c r="C131" s="696" t="str">
        <f>"EX"&amp;TEXT(tbl_해외[[#This Row],[발주일]],"yymmdd")&amp;"-"&amp;TEXT(tbl_해외[[#This Row],[일렬번호]],"00")</f>
        <v>EX250822-01</v>
      </c>
      <c r="D131" s="697" t="s">
        <v>232</v>
      </c>
      <c r="E131" s="697" t="s">
        <v>7531</v>
      </c>
      <c r="F131" s="697" t="s">
        <v>7534</v>
      </c>
      <c r="G131" s="697" t="s">
        <v>9024</v>
      </c>
      <c r="H131" s="698">
        <v>1</v>
      </c>
      <c r="I131" s="699">
        <v>1200</v>
      </c>
      <c r="J131" s="699">
        <f>tbl_해외[[#This Row],[수량]]*tbl_해외[[#This Row],[단가]]</f>
        <v>1200</v>
      </c>
      <c r="K131" s="700">
        <v>1387.08</v>
      </c>
      <c r="L131" s="701">
        <f t="shared" si="4"/>
        <v>1664496</v>
      </c>
      <c r="M131" s="695">
        <v>45890</v>
      </c>
      <c r="N131" s="702">
        <v>45891</v>
      </c>
      <c r="O131" s="703">
        <v>45893</v>
      </c>
      <c r="P131" s="695" t="s">
        <v>162</v>
      </c>
      <c r="Q131" s="699"/>
      <c r="R131" s="695"/>
      <c r="S131" s="697" t="str">
        <f>IFERROR(VLOOKUP($F131,product[],6,0),"error")</f>
        <v>error</v>
      </c>
      <c r="T131" s="695"/>
      <c r="U131" s="695"/>
      <c r="V131" s="697">
        <f>YEAR(tbl_해외[[#This Row],[선적일]])</f>
        <v>2025</v>
      </c>
      <c r="W131" s="696">
        <f>IF(tbl_해외[[#This Row],[선적일]]="",0,MONTH(tbl_해외[[#This Row],[선적일]]))</f>
        <v>8</v>
      </c>
      <c r="X131" s="697" t="str">
        <f>IF($S131="카메라",VLOOKUP($F131,드롭다운!$A:$F,2,0),"")</f>
        <v/>
      </c>
      <c r="Y131" s="697" t="str">
        <f>IF($S131="카메라",VLOOKUP($F131,드롭다운!$A:$F,3,0),"")</f>
        <v/>
      </c>
      <c r="Z131" s="697" t="str">
        <f>IF($S131="카메라",VLOOKUP($F131,드롭다운!$A:$F,4,0),"")</f>
        <v/>
      </c>
      <c r="AA131" s="697" t="str">
        <f>IF($S131="카메라",VLOOKUP($F131,드롭다운!$A:$F,5,0),"")</f>
        <v/>
      </c>
      <c r="AB131" s="697"/>
      <c r="AC131" s="724"/>
    </row>
    <row r="132" spans="1:29">
      <c r="A132" s="695">
        <v>45769</v>
      </c>
      <c r="B132" s="704">
        <v>3</v>
      </c>
      <c r="C132" s="696" t="s">
        <v>9094</v>
      </c>
      <c r="D132" s="697" t="s">
        <v>117</v>
      </c>
      <c r="E132" s="697" t="s">
        <v>7529</v>
      </c>
      <c r="F132" s="697" t="s">
        <v>103</v>
      </c>
      <c r="G132" s="697" t="s">
        <v>8908</v>
      </c>
      <c r="H132" s="698">
        <v>1</v>
      </c>
      <c r="I132" s="699">
        <v>4078</v>
      </c>
      <c r="J132" s="699">
        <f>tbl_해외[[#This Row],[수량]]*tbl_해외[[#This Row],[단가]]</f>
        <v>4078</v>
      </c>
      <c r="K132" s="700">
        <v>1390.5</v>
      </c>
      <c r="L132" s="701">
        <f t="shared" si="4"/>
        <v>5670459</v>
      </c>
      <c r="M132" s="695">
        <v>45897</v>
      </c>
      <c r="N132" s="695">
        <v>45898</v>
      </c>
      <c r="O132" s="705">
        <v>45899</v>
      </c>
      <c r="P132" s="695" t="s">
        <v>163</v>
      </c>
      <c r="Q132" s="699">
        <v>0</v>
      </c>
      <c r="R132" s="695">
        <v>45777</v>
      </c>
      <c r="S132" s="697"/>
      <c r="T132" s="699"/>
      <c r="U132" s="695"/>
      <c r="V132" s="697">
        <f>YEAR(tbl_해외[[#This Row],[선적일]])</f>
        <v>2025</v>
      </c>
      <c r="W132" s="696">
        <f>IF(tbl_해외[[#This Row],[선적일]]="",0,MONTH(tbl_해외[[#This Row],[선적일]]))</f>
        <v>8</v>
      </c>
      <c r="X132" s="697" t="str">
        <f>IF($S132="카메라",VLOOKUP($F132,드롭다운!$A:$F,2,0),"")</f>
        <v/>
      </c>
      <c r="Y132" s="697" t="str">
        <f>IF($S132="카메라",VLOOKUP($F132,드롭다운!$A:$F,3,0),"")</f>
        <v/>
      </c>
      <c r="Z132" s="697" t="str">
        <f>IF($S132="카메라",VLOOKUP($F132,드롭다운!$A:$F,4,0),"")</f>
        <v/>
      </c>
      <c r="AA132" s="697" t="str">
        <f>IF($S132="카메라",VLOOKUP($F132,드롭다운!$A:$F,5,0),"")</f>
        <v/>
      </c>
      <c r="AB132" s="697" t="s">
        <v>8918</v>
      </c>
      <c r="AC132" s="724"/>
    </row>
    <row r="133" spans="1:29">
      <c r="A133" s="695">
        <v>45881</v>
      </c>
      <c r="B133" s="704">
        <v>1</v>
      </c>
      <c r="C133" s="696" t="str">
        <f>"EX"&amp;TEXT(tbl_해외[[#This Row],[발주일]],"yymmdd")&amp;"-"&amp;TEXT(tbl_해외[[#This Row],[일렬번호]],"00")</f>
        <v>EX250812-01</v>
      </c>
      <c r="D133" s="697" t="s">
        <v>254</v>
      </c>
      <c r="E133" s="697" t="s">
        <v>9054</v>
      </c>
      <c r="F133" s="697" t="s">
        <v>9055</v>
      </c>
      <c r="G133" s="697" t="s">
        <v>9056</v>
      </c>
      <c r="H133" s="698">
        <v>2</v>
      </c>
      <c r="I133" s="699">
        <v>2374</v>
      </c>
      <c r="J133" s="699">
        <f>tbl_해외[[#This Row],[수량]]*tbl_해외[[#This Row],[단가]]</f>
        <v>4748</v>
      </c>
      <c r="K133" s="700">
        <v>1391.76</v>
      </c>
      <c r="L133" s="701">
        <f t="shared" si="4"/>
        <v>6608076.4799999995</v>
      </c>
      <c r="M133" s="695">
        <v>45912</v>
      </c>
      <c r="N133" s="702">
        <v>45912</v>
      </c>
      <c r="O133" s="703">
        <v>45913</v>
      </c>
      <c r="P133" s="695" t="s">
        <v>163</v>
      </c>
      <c r="Q133" s="699">
        <v>7105.5</v>
      </c>
      <c r="R133" s="695">
        <v>45883</v>
      </c>
      <c r="S133" s="697" t="str">
        <f>IFERROR(VLOOKUP($F133,product[],6,0),"error")</f>
        <v>카메라</v>
      </c>
      <c r="T133" s="695"/>
      <c r="U133" s="695"/>
      <c r="V133" s="697">
        <f>YEAR(tbl_해외[[#This Row],[선적일]])</f>
        <v>2025</v>
      </c>
      <c r="W133" s="696">
        <f>IF(tbl_해외[[#This Row],[선적일]]="",0,MONTH(tbl_해외[[#This Row],[선적일]]))</f>
        <v>9</v>
      </c>
      <c r="X133" s="697" t="str">
        <f>IF($S133="카메라",VLOOKUP($F133,드롭다운!$A:$F,2,0),"")</f>
        <v>QVGA</v>
      </c>
      <c r="Y133" s="697" t="str">
        <f>IF($S133="카메라",VLOOKUP($F133,드롭다운!$A:$F,3,0),"")</f>
        <v>Radiometric</v>
      </c>
      <c r="Z133" s="697" t="str">
        <f>IF($S133="카메라",VLOOKUP($F133,드롭다운!$A:$F,4,0),"")</f>
        <v>Network</v>
      </c>
      <c r="AA133" s="697">
        <f>IF($S133="카메라",VLOOKUP($F133,드롭다운!$A:$F,5,0),"")</f>
        <v>17</v>
      </c>
      <c r="AB133" s="697" t="s">
        <v>9058</v>
      </c>
      <c r="AC133" s="724"/>
    </row>
    <row r="134" spans="1:29">
      <c r="A134" s="695">
        <v>45881</v>
      </c>
      <c r="B134" s="704">
        <v>1</v>
      </c>
      <c r="C134" s="696" t="str">
        <f>"EX"&amp;TEXT(tbl_해외[[#This Row],[발주일]],"yymmdd")&amp;"-"&amp;TEXT(tbl_해외[[#This Row],[일렬번호]],"00")</f>
        <v>EX250812-01</v>
      </c>
      <c r="D134" s="697" t="s">
        <v>254</v>
      </c>
      <c r="E134" s="697" t="s">
        <v>9054</v>
      </c>
      <c r="F134" s="697" t="s">
        <v>9055</v>
      </c>
      <c r="G134" s="697" t="s">
        <v>9057</v>
      </c>
      <c r="H134" s="698">
        <v>1</v>
      </c>
      <c r="I134" s="699">
        <v>2374</v>
      </c>
      <c r="J134" s="699">
        <f>tbl_해외[[#This Row],[수량]]*tbl_해외[[#This Row],[단가]]</f>
        <v>2374</v>
      </c>
      <c r="K134" s="700">
        <v>1391.76</v>
      </c>
      <c r="L134" s="701">
        <f t="shared" si="4"/>
        <v>3304038.2399999998</v>
      </c>
      <c r="M134" s="695">
        <v>45912</v>
      </c>
      <c r="N134" s="702">
        <v>45912</v>
      </c>
      <c r="O134" s="703">
        <v>45913</v>
      </c>
      <c r="P134" s="695" t="s">
        <v>163</v>
      </c>
      <c r="Q134" s="699">
        <v>0</v>
      </c>
      <c r="R134" s="695">
        <v>45883</v>
      </c>
      <c r="S134" s="697" t="str">
        <f>IFERROR(VLOOKUP($F134,product[],6,0),"error")</f>
        <v>카메라</v>
      </c>
      <c r="T134" s="695"/>
      <c r="U134" s="695"/>
      <c r="V134" s="697">
        <f>YEAR(tbl_해외[[#This Row],[선적일]])</f>
        <v>2025</v>
      </c>
      <c r="W134" s="696">
        <f>IF(tbl_해외[[#This Row],[선적일]]="",0,MONTH(tbl_해외[[#This Row],[선적일]]))</f>
        <v>9</v>
      </c>
      <c r="X134" s="697" t="str">
        <f>IF($S134="카메라",VLOOKUP($F134,드롭다운!$A:$F,2,0),"")</f>
        <v>QVGA</v>
      </c>
      <c r="Y134" s="697" t="str">
        <f>IF($S134="카메라",VLOOKUP($F134,드롭다운!$A:$F,3,0),"")</f>
        <v>Radiometric</v>
      </c>
      <c r="Z134" s="697" t="str">
        <f>IF($S134="카메라",VLOOKUP($F134,드롭다운!$A:$F,4,0),"")</f>
        <v>Network</v>
      </c>
      <c r="AA134" s="697">
        <f>IF($S134="카메라",VLOOKUP($F134,드롭다운!$A:$F,5,0),"")</f>
        <v>17</v>
      </c>
      <c r="AB134" s="697" t="s">
        <v>9058</v>
      </c>
      <c r="AC134" s="724"/>
    </row>
    <row r="135" spans="1:29">
      <c r="A135" s="695">
        <v>45803</v>
      </c>
      <c r="B135" s="704">
        <v>1</v>
      </c>
      <c r="C135" s="696" t="str">
        <f>"EX"&amp;TEXT(tbl_해외[[#This Row],[발주일]],"yymmdd")&amp;"-"&amp;TEXT(tbl_해외[[#This Row],[일렬번호]],"00")</f>
        <v>EX250526-01</v>
      </c>
      <c r="D135" s="697" t="s">
        <v>8528</v>
      </c>
      <c r="E135" s="697" t="s">
        <v>7529</v>
      </c>
      <c r="F135" s="697" t="s">
        <v>103</v>
      </c>
      <c r="G135" s="697" t="s">
        <v>7526</v>
      </c>
      <c r="H135" s="698">
        <v>4</v>
      </c>
      <c r="I135" s="699">
        <v>3705.4</v>
      </c>
      <c r="J135" s="699">
        <f>tbl_해외[[#This Row],[수량]]*tbl_해외[[#This Row],[단가]]</f>
        <v>14821.6</v>
      </c>
      <c r="K135" s="700">
        <v>1391.76</v>
      </c>
      <c r="L135" s="701">
        <f t="shared" si="4"/>
        <v>20628110.015999999</v>
      </c>
      <c r="M135" s="695">
        <v>45912</v>
      </c>
      <c r="N135" s="702">
        <v>45912</v>
      </c>
      <c r="O135" s="703">
        <v>45913</v>
      </c>
      <c r="P135" s="695" t="s">
        <v>8898</v>
      </c>
      <c r="Q135" s="699">
        <v>29613</v>
      </c>
      <c r="R135" s="695">
        <v>45911</v>
      </c>
      <c r="S135" s="697" t="str">
        <f>IFERROR(VLOOKUP($F135,product[],6,0),"error")</f>
        <v>카메라</v>
      </c>
      <c r="T135" s="695"/>
      <c r="U135" s="695"/>
      <c r="V135" s="697">
        <f>YEAR(tbl_해외[[#This Row],[선적일]])</f>
        <v>2025</v>
      </c>
      <c r="W135" s="696">
        <f>IF(tbl_해외[[#This Row],[선적일]]="",0,MONTH(tbl_해외[[#This Row],[선적일]]))</f>
        <v>9</v>
      </c>
      <c r="X135" s="697" t="str">
        <f>IF($S135="카메라",VLOOKUP($F135,드롭다운!$A:$F,2,0),"")</f>
        <v>VGA</v>
      </c>
      <c r="Y135" s="697" t="str">
        <f>IF($S135="카메라",VLOOKUP($F135,드롭다운!$A:$F,3,0),"")</f>
        <v>Radiometric</v>
      </c>
      <c r="Z135" s="697" t="str">
        <f>IF($S135="카메라",VLOOKUP($F135,드롭다운!$A:$F,4,0),"")</f>
        <v>Network</v>
      </c>
      <c r="AA135" s="697">
        <f>IF($S135="카메라",VLOOKUP($F135,드롭다운!$A:$F,5,0),"")</f>
        <v>17</v>
      </c>
      <c r="AB135" s="697" t="s">
        <v>8921</v>
      </c>
      <c r="AC135" s="724"/>
    </row>
    <row r="136" spans="1:29">
      <c r="A136" s="695">
        <v>45803</v>
      </c>
      <c r="B136" s="704">
        <v>1</v>
      </c>
      <c r="C136" s="696" t="str">
        <f>"EX"&amp;TEXT(tbl_해외[[#This Row],[발주일]],"yymmdd")&amp;"-"&amp;TEXT(tbl_해외[[#This Row],[일렬번호]],"00")</f>
        <v>EX250526-01</v>
      </c>
      <c r="D136" s="697" t="s">
        <v>8528</v>
      </c>
      <c r="E136" s="697" t="s">
        <v>7529</v>
      </c>
      <c r="F136" s="697" t="s">
        <v>103</v>
      </c>
      <c r="G136" s="697" t="s">
        <v>7526</v>
      </c>
      <c r="H136" s="698">
        <v>4</v>
      </c>
      <c r="I136" s="699">
        <v>3705.4</v>
      </c>
      <c r="J136" s="699">
        <f>tbl_해외[[#This Row],[수량]]*tbl_해외[[#This Row],[단가]]</f>
        <v>14821.6</v>
      </c>
      <c r="K136" s="700">
        <v>1391.76</v>
      </c>
      <c r="L136" s="701">
        <f t="shared" si="4"/>
        <v>20628110.015999999</v>
      </c>
      <c r="M136" s="695">
        <v>45912</v>
      </c>
      <c r="N136" s="702">
        <v>45912</v>
      </c>
      <c r="O136" s="703">
        <v>45913</v>
      </c>
      <c r="P136" s="695" t="s">
        <v>8898</v>
      </c>
      <c r="Q136" s="699">
        <v>0</v>
      </c>
      <c r="R136" s="695">
        <v>45911</v>
      </c>
      <c r="S136" s="697" t="str">
        <f>IFERROR(VLOOKUP($F136,product[],6,0),"error")</f>
        <v>카메라</v>
      </c>
      <c r="T136" s="695"/>
      <c r="U136" s="695"/>
      <c r="V136" s="697">
        <f>YEAR(tbl_해외[[#This Row],[선적일]])</f>
        <v>2025</v>
      </c>
      <c r="W136" s="696">
        <f>IF(tbl_해외[[#This Row],[선적일]]="",0,MONTH(tbl_해외[[#This Row],[선적일]]))</f>
        <v>9</v>
      </c>
      <c r="X136" s="697" t="str">
        <f>IF($S136="카메라",VLOOKUP($F136,드롭다운!$A:$F,2,0),"")</f>
        <v>VGA</v>
      </c>
      <c r="Y136" s="697" t="str">
        <f>IF($S136="카메라",VLOOKUP($F136,드롭다운!$A:$F,3,0),"")</f>
        <v>Radiometric</v>
      </c>
      <c r="Z136" s="697" t="str">
        <f>IF($S136="카메라",VLOOKUP($F136,드롭다운!$A:$F,4,0),"")</f>
        <v>Network</v>
      </c>
      <c r="AA136" s="697">
        <f>IF($S136="카메라",VLOOKUP($F136,드롭다운!$A:$F,5,0),"")</f>
        <v>17</v>
      </c>
      <c r="AB136" s="697" t="s">
        <v>8921</v>
      </c>
      <c r="AC136" s="724"/>
    </row>
    <row r="137" spans="1:29">
      <c r="A137" s="695">
        <v>45869</v>
      </c>
      <c r="B137" s="704">
        <v>2</v>
      </c>
      <c r="C137" s="696" t="str">
        <f>"EX"&amp;TEXT(tbl_해외[[#This Row],[발주일]],"yymmdd")&amp;"-"&amp;TEXT(tbl_해외[[#This Row],[일렬번호]],"00")</f>
        <v>EX250731-02</v>
      </c>
      <c r="D137" s="697" t="s">
        <v>785</v>
      </c>
      <c r="E137" s="697" t="s">
        <v>7942</v>
      </c>
      <c r="F137" s="697" t="s">
        <v>9026</v>
      </c>
      <c r="G137" s="697" t="s">
        <v>9027</v>
      </c>
      <c r="H137" s="698">
        <v>4</v>
      </c>
      <c r="I137" s="699">
        <v>4480</v>
      </c>
      <c r="J137" s="699">
        <f>tbl_해외[[#This Row],[수량]]*tbl_해외[[#This Row],[단가]]</f>
        <v>17920</v>
      </c>
      <c r="K137" s="700">
        <v>1389.16</v>
      </c>
      <c r="L137" s="701">
        <f t="shared" si="4"/>
        <v>24893747.200000003</v>
      </c>
      <c r="M137" s="695">
        <v>45915</v>
      </c>
      <c r="N137" s="702">
        <v>45915</v>
      </c>
      <c r="O137" s="703">
        <v>45915</v>
      </c>
      <c r="P137" s="695" t="s">
        <v>9194</v>
      </c>
      <c r="Q137" s="699"/>
      <c r="R137" s="697"/>
      <c r="S137" s="697" t="str">
        <f>IFERROR(VLOOKUP($F137,product[],6,0),"error")</f>
        <v>카메라</v>
      </c>
      <c r="T137" s="695"/>
      <c r="U137" s="695"/>
      <c r="V137" s="697">
        <f>YEAR(tbl_해외[[#This Row],[선적일]])</f>
        <v>2025</v>
      </c>
      <c r="W137" s="696">
        <f>IF(tbl_해외[[#This Row],[선적일]]="",0,MONTH(tbl_해외[[#This Row],[선적일]]))</f>
        <v>9</v>
      </c>
      <c r="X137" s="697" t="str">
        <f>IF($S137="카메라",VLOOKUP($F137,드롭다운!$A:$F,2,0),"")</f>
        <v>VGA</v>
      </c>
      <c r="Y137" s="697" t="str">
        <f>IF($S137="카메라",VLOOKUP($F137,드롭다운!$A:$F,3,0),"")</f>
        <v>Radiometric</v>
      </c>
      <c r="Z137" s="697" t="str">
        <f>IF($S137="카메라",VLOOKUP($F137,드롭다운!$A:$F,4,0),"")</f>
        <v>Analogue</v>
      </c>
      <c r="AA137" s="697">
        <f>IF($S137="카메라",VLOOKUP($F137,드롭다운!$A:$F,5,0),"")</f>
        <v>17</v>
      </c>
      <c r="AB137" s="697" t="s">
        <v>9028</v>
      </c>
      <c r="AC137" s="724"/>
    </row>
    <row r="138" spans="1:29">
      <c r="A138" s="695">
        <v>45827</v>
      </c>
      <c r="B138" s="704">
        <v>1</v>
      </c>
      <c r="C138" s="696" t="str">
        <f>"EX"&amp;TEXT(tbl_해외[[#This Row],[발주일]],"yymmdd")&amp;"-"&amp;TEXT(tbl_해외[[#This Row],[일렬번호]],"00")</f>
        <v>EX250619-01</v>
      </c>
      <c r="D138" s="697" t="s">
        <v>8528</v>
      </c>
      <c r="E138" s="697" t="s">
        <v>7529</v>
      </c>
      <c r="F138" s="697" t="s">
        <v>103</v>
      </c>
      <c r="G138" s="697" t="s">
        <v>7524</v>
      </c>
      <c r="H138" s="698">
        <v>3</v>
      </c>
      <c r="I138" s="699">
        <v>3396</v>
      </c>
      <c r="J138" s="699">
        <f>tbl_해외[[#This Row],[수량]]*tbl_해외[[#This Row],[단가]]</f>
        <v>10188</v>
      </c>
      <c r="K138" s="700">
        <v>1389.16</v>
      </c>
      <c r="L138" s="701">
        <f t="shared" si="4"/>
        <v>14152762.08</v>
      </c>
      <c r="M138" s="695">
        <v>45917</v>
      </c>
      <c r="N138" s="702">
        <v>45919</v>
      </c>
      <c r="O138" s="703">
        <v>45919</v>
      </c>
      <c r="P138" s="695" t="s">
        <v>8898</v>
      </c>
      <c r="Q138" s="699">
        <v>10158</v>
      </c>
      <c r="R138" s="695">
        <v>45917</v>
      </c>
      <c r="S138" s="697" t="str">
        <f>IFERROR(VLOOKUP($F138,product[],6,0),"error")</f>
        <v>카메라</v>
      </c>
      <c r="T138" s="695"/>
      <c r="U138" s="695"/>
      <c r="V138" s="697">
        <f>YEAR(tbl_해외[[#This Row],[선적일]])</f>
        <v>2025</v>
      </c>
      <c r="W138" s="696">
        <f>IF(tbl_해외[[#This Row],[선적일]]="",0,MONTH(tbl_해외[[#This Row],[선적일]]))</f>
        <v>9</v>
      </c>
      <c r="X138" s="697" t="str">
        <f>IF($S138="카메라",VLOOKUP($F138,드롭다운!$A:$F,2,0),"")</f>
        <v>VGA</v>
      </c>
      <c r="Y138" s="697" t="str">
        <f>IF($S138="카메라",VLOOKUP($F138,드롭다운!$A:$F,3,0),"")</f>
        <v>Radiometric</v>
      </c>
      <c r="Z138" s="697" t="str">
        <f>IF($S138="카메라",VLOOKUP($F138,드롭다운!$A:$F,4,0),"")</f>
        <v>Network</v>
      </c>
      <c r="AA138" s="697">
        <f>IF($S138="카메라",VLOOKUP($F138,드롭다운!$A:$F,5,0),"")</f>
        <v>17</v>
      </c>
      <c r="AB138" s="697" t="s">
        <v>9112</v>
      </c>
      <c r="AC138" s="724"/>
    </row>
    <row r="139" spans="1:29">
      <c r="A139" s="695">
        <v>45908</v>
      </c>
      <c r="B139" s="704">
        <v>2</v>
      </c>
      <c r="C139" s="696" t="str">
        <f>"EX"&amp;TEXT(tbl_해외[[#This Row],[발주일]],"yymmdd")&amp;"-"&amp;TEXT(tbl_해외[[#This Row],[일렬번호]],"00")</f>
        <v>EX250908-02</v>
      </c>
      <c r="D139" s="697" t="s">
        <v>254</v>
      </c>
      <c r="E139" s="697" t="s">
        <v>7942</v>
      </c>
      <c r="F139" s="697" t="s">
        <v>241</v>
      </c>
      <c r="G139" s="697" t="s">
        <v>8982</v>
      </c>
      <c r="H139" s="698">
        <v>1</v>
      </c>
      <c r="I139" s="699">
        <v>2635</v>
      </c>
      <c r="J139" s="699">
        <v>2635</v>
      </c>
      <c r="K139" s="700">
        <v>1389.16</v>
      </c>
      <c r="L139" s="701">
        <f t="shared" si="4"/>
        <v>3660436.6</v>
      </c>
      <c r="M139" s="695">
        <v>45919</v>
      </c>
      <c r="N139" s="702">
        <v>45919</v>
      </c>
      <c r="O139" s="703">
        <v>45920</v>
      </c>
      <c r="P139" s="695" t="s">
        <v>163</v>
      </c>
      <c r="Q139" s="699">
        <v>2624</v>
      </c>
      <c r="R139" s="695">
        <v>45868</v>
      </c>
      <c r="S139" s="722" t="s">
        <v>8983</v>
      </c>
      <c r="T139" s="695"/>
      <c r="U139" s="695"/>
      <c r="V139" s="695">
        <f>YEAR(tbl_해외[[#This Row],[선적일]])</f>
        <v>2025</v>
      </c>
      <c r="W139" s="696">
        <f>IF(tbl_해외[[#This Row],[선적일]]="",0,MONTH(tbl_해외[[#This Row],[선적일]]))</f>
        <v>9</v>
      </c>
      <c r="X139" s="697" t="str">
        <f>IF($S139="카메라",VLOOKUP($F139,드롭다운!$A:$F,2,0),"")</f>
        <v/>
      </c>
      <c r="Y139" s="697" t="str">
        <f>IF($S139="카메라",VLOOKUP($F139,드롭다운!$A:$F,3,0),"")</f>
        <v/>
      </c>
      <c r="Z139" s="697" t="str">
        <f>IF($S139="카메라",VLOOKUP($F139,드롭다운!$A:$F,4,0),"")</f>
        <v/>
      </c>
      <c r="AA139" s="697" t="str">
        <f>IF($S139="카메라",VLOOKUP($F139,드롭다운!$A:$F,5,0),"")</f>
        <v/>
      </c>
      <c r="AB139" s="722" t="s">
        <v>8983</v>
      </c>
      <c r="AC139" s="724"/>
    </row>
    <row r="140" spans="1:29">
      <c r="A140" s="695">
        <v>45923</v>
      </c>
      <c r="B140" s="704">
        <v>1</v>
      </c>
      <c r="C140" s="696" t="str">
        <f>"EX"&amp;TEXT(tbl_해외[[#This Row],[발주일]],"yymmdd")&amp;"-"&amp;TEXT(tbl_해외[[#This Row],[일렬번호]],"00")</f>
        <v>EX250923-01</v>
      </c>
      <c r="D140" s="697" t="s">
        <v>9072</v>
      </c>
      <c r="E140" s="697" t="s">
        <v>7942</v>
      </c>
      <c r="F140" s="697" t="s">
        <v>9138</v>
      </c>
      <c r="G140" s="697" t="s">
        <v>9156</v>
      </c>
      <c r="H140" s="698">
        <v>4</v>
      </c>
      <c r="I140" s="699">
        <v>2360</v>
      </c>
      <c r="J140" s="699">
        <f>tbl_해외[[#This Row],[수량]]*tbl_해외[[#This Row],[단가]]</f>
        <v>9440</v>
      </c>
      <c r="K140" s="700">
        <v>1426.02</v>
      </c>
      <c r="L140" s="701">
        <f t="shared" si="4"/>
        <v>13461628.800000001</v>
      </c>
      <c r="M140" s="695">
        <v>45959</v>
      </c>
      <c r="N140" s="702">
        <v>45959</v>
      </c>
      <c r="O140" s="703">
        <v>45959</v>
      </c>
      <c r="P140" s="695" t="s">
        <v>9195</v>
      </c>
      <c r="Q140" s="699">
        <v>10125</v>
      </c>
      <c r="R140" s="695">
        <v>45917</v>
      </c>
      <c r="S140" s="697" t="str">
        <f>IFERROR(VLOOKUP($F140,product[],6,0),"error")</f>
        <v>카메라</v>
      </c>
      <c r="T140" s="695"/>
      <c r="U140" s="695"/>
      <c r="V140" s="695">
        <f>YEAR(tbl_해외[[#This Row],[선적일]])</f>
        <v>2025</v>
      </c>
      <c r="W140" s="696">
        <f>IF(tbl_해외[[#This Row],[선적일]]="",0,MONTH(tbl_해외[[#This Row],[선적일]]))</f>
        <v>10</v>
      </c>
      <c r="X140" s="697" t="str">
        <f>IF($S140="카메라",VLOOKUP($F140,드롭다운!$A:$F,2,0),"")</f>
        <v>VGA</v>
      </c>
      <c r="Y140" s="697" t="str">
        <f>IF($S140="카메라",VLOOKUP($F140,드롭다운!$A:$F,3,0),"")</f>
        <v>Security</v>
      </c>
      <c r="Z140" s="697" t="str">
        <f>IF($S140="카메라",VLOOKUP($F140,드롭다운!$A:$F,4,0),"")</f>
        <v>Network</v>
      </c>
      <c r="AA140" s="697">
        <f>IF($S140="카메라",VLOOKUP($F140,드롭다운!$A:$F,5,0),"")</f>
        <v>17</v>
      </c>
      <c r="AB140" s="697">
        <v>238</v>
      </c>
      <c r="AC140" s="724"/>
    </row>
    <row r="141" spans="1:29">
      <c r="A141" s="695">
        <v>45923</v>
      </c>
      <c r="B141" s="704">
        <v>1</v>
      </c>
      <c r="C141" s="696" t="str">
        <f>"EX"&amp;TEXT(tbl_해외[[#This Row],[발주일]],"yymmdd")&amp;"-"&amp;TEXT(tbl_해외[[#This Row],[일렬번호]],"00")</f>
        <v>EX250923-01</v>
      </c>
      <c r="D141" s="697" t="s">
        <v>9072</v>
      </c>
      <c r="E141" s="697" t="s">
        <v>9157</v>
      </c>
      <c r="F141" s="697" t="s">
        <v>286</v>
      </c>
      <c r="G141" s="697" t="s">
        <v>7941</v>
      </c>
      <c r="H141" s="698">
        <v>4</v>
      </c>
      <c r="I141" s="699">
        <v>189</v>
      </c>
      <c r="J141" s="699">
        <f>tbl_해외[[#This Row],[수량]]*tbl_해외[[#This Row],[단가]]</f>
        <v>756</v>
      </c>
      <c r="K141" s="700">
        <v>1426.02</v>
      </c>
      <c r="L141" s="701">
        <f t="shared" si="4"/>
        <v>1078071.1199999999</v>
      </c>
      <c r="M141" s="695">
        <v>45959</v>
      </c>
      <c r="N141" s="702">
        <v>45959</v>
      </c>
      <c r="O141" s="703">
        <v>45959</v>
      </c>
      <c r="P141" s="695" t="s">
        <v>9195</v>
      </c>
      <c r="Q141" s="699">
        <v>0</v>
      </c>
      <c r="R141" s="695">
        <v>45917</v>
      </c>
      <c r="S141" s="697" t="str">
        <f>IFERROR(VLOOKUP($F141,product[],6,0),"error")</f>
        <v>error</v>
      </c>
      <c r="T141" s="695"/>
      <c r="U141" s="695"/>
      <c r="V141" s="695">
        <f>YEAR(tbl_해외[[#This Row],[선적일]])</f>
        <v>2025</v>
      </c>
      <c r="W141" s="696">
        <f>IF(tbl_해외[[#This Row],[선적일]]="",0,MONTH(tbl_해외[[#This Row],[선적일]]))</f>
        <v>10</v>
      </c>
      <c r="X141" s="697" t="str">
        <f>IF($S141="카메라",VLOOKUP($F141,드롭다운!$A:$F,2,0),"")</f>
        <v/>
      </c>
      <c r="Y141" s="697" t="str">
        <f>IF($S141="카메라",VLOOKUP($F141,드롭다운!$A:$F,3,0),"")</f>
        <v/>
      </c>
      <c r="Z141" s="697" t="str">
        <f>IF($S141="카메라",VLOOKUP($F141,드롭다운!$A:$F,4,0),"")</f>
        <v/>
      </c>
      <c r="AA141" s="697" t="str">
        <f>IF($S141="카메라",VLOOKUP($F141,드롭다운!$A:$F,5,0),"")</f>
        <v/>
      </c>
      <c r="AB141" s="697">
        <v>238</v>
      </c>
      <c r="AC141" s="724"/>
    </row>
    <row r="142" spans="1:29">
      <c r="A142" s="695">
        <v>45929</v>
      </c>
      <c r="B142" s="704">
        <v>1</v>
      </c>
      <c r="C142" s="696" t="str">
        <f>"EX"&amp;TEXT(tbl_해외[[#This Row],[발주일]],"yymmdd")&amp;"-"&amp;TEXT(tbl_해외[[#This Row],[일렬번호]],"00")</f>
        <v>EX250929-01</v>
      </c>
      <c r="D142" s="697" t="s">
        <v>785</v>
      </c>
      <c r="E142" s="697" t="s">
        <v>7531</v>
      </c>
      <c r="F142" s="697" t="s">
        <v>7534</v>
      </c>
      <c r="G142" s="697" t="s">
        <v>9144</v>
      </c>
      <c r="H142" s="698">
        <v>2</v>
      </c>
      <c r="I142" s="699">
        <v>500</v>
      </c>
      <c r="J142" s="699">
        <f>tbl_해외[[#This Row],[수량]]*tbl_해외[[#This Row],[단가]]</f>
        <v>1000</v>
      </c>
      <c r="K142" s="700">
        <v>1426.02</v>
      </c>
      <c r="L142" s="701">
        <f t="shared" si="4"/>
        <v>1426020</v>
      </c>
      <c r="M142" s="695">
        <v>45959</v>
      </c>
      <c r="N142" s="702">
        <v>45959</v>
      </c>
      <c r="O142" s="703">
        <v>45959</v>
      </c>
      <c r="P142" s="695" t="s">
        <v>8876</v>
      </c>
      <c r="Q142" s="699">
        <v>995</v>
      </c>
      <c r="R142" s="695">
        <v>45930</v>
      </c>
      <c r="S142" s="697" t="str">
        <f>IFERROR(VLOOKUP($F142,product[],6,0),"error")</f>
        <v>error</v>
      </c>
      <c r="T142" s="695"/>
      <c r="U142" s="695"/>
      <c r="V142" s="695">
        <f>YEAR(tbl_해외[[#This Row],[선적일]])</f>
        <v>2025</v>
      </c>
      <c r="W142" s="696">
        <f>IF(tbl_해외[[#This Row],[선적일]]="",0,MONTH(tbl_해외[[#This Row],[선적일]]))</f>
        <v>10</v>
      </c>
      <c r="X142" s="697" t="str">
        <f>IF($S142="카메라",VLOOKUP($F142,드롭다운!$A:$F,2,0),"")</f>
        <v/>
      </c>
      <c r="Y142" s="697" t="str">
        <f>IF($S142="카메라",VLOOKUP($F142,드롭다운!$A:$F,3,0),"")</f>
        <v/>
      </c>
      <c r="Z142" s="697" t="str">
        <f>IF($S142="카메라",VLOOKUP($F142,드롭다운!$A:$F,4,0),"")</f>
        <v/>
      </c>
      <c r="AA142" s="697" t="str">
        <f>IF($S142="카메라",VLOOKUP($F142,드롭다운!$A:$F,5,0),"")</f>
        <v/>
      </c>
      <c r="AB142" s="697" t="s">
        <v>9145</v>
      </c>
      <c r="AC142" s="724"/>
    </row>
    <row r="143" spans="1:29">
      <c r="A143" s="695">
        <v>45908</v>
      </c>
      <c r="B143" s="704">
        <v>1</v>
      </c>
      <c r="C143" s="696" t="str">
        <f>"EX"&amp;TEXT(tbl_해외[[#This Row],[발주일]],"yymmdd")&amp;"-"&amp;TEXT(tbl_해외[[#This Row],[일렬번호]],"00")</f>
        <v>EX250908-01</v>
      </c>
      <c r="D143" s="697" t="s">
        <v>232</v>
      </c>
      <c r="E143" s="697" t="s">
        <v>9107</v>
      </c>
      <c r="F143" s="697" t="s">
        <v>9108</v>
      </c>
      <c r="G143" s="697" t="s">
        <v>9109</v>
      </c>
      <c r="H143" s="698">
        <v>2</v>
      </c>
      <c r="I143" s="699">
        <v>3920</v>
      </c>
      <c r="J143" s="699">
        <f t="shared" ref="J143:J152" si="5">I143*H143</f>
        <v>7840</v>
      </c>
      <c r="K143" s="700">
        <v>1431.82</v>
      </c>
      <c r="L143" s="701">
        <f>K143*J143</f>
        <v>11225468.799999999</v>
      </c>
      <c r="M143" s="702">
        <v>45968</v>
      </c>
      <c r="N143" s="702">
        <v>45971</v>
      </c>
      <c r="O143" s="703">
        <v>45972</v>
      </c>
      <c r="P143" s="695" t="s">
        <v>162</v>
      </c>
      <c r="Q143" s="699" t="s">
        <v>9274</v>
      </c>
      <c r="R143" s="695">
        <v>45969</v>
      </c>
      <c r="S143" s="697" t="str">
        <f>IFERROR(VLOOKUP($F143,product[],6,0),"error")</f>
        <v>카메라</v>
      </c>
      <c r="T143" s="695"/>
      <c r="U143" s="695"/>
      <c r="V143" s="695">
        <f>YEAR(tbl_해외[[#This Row],[선적일]])</f>
        <v>2025</v>
      </c>
      <c r="W143" s="696">
        <f>IF(tbl_해외[[#This Row],[선적일]]="",0,MONTH(tbl_해외[[#This Row],[선적일]]))</f>
        <v>11</v>
      </c>
      <c r="X143" s="697" t="str">
        <f>IF($S143="카메라",VLOOKUP($F143,드롭다운!$A:$F,2,0),"")</f>
        <v>VGA</v>
      </c>
      <c r="Y143" s="697" t="str">
        <f>IF($S143="카메라",VLOOKUP($F143,드롭다운!$A:$F,3,0),"")</f>
        <v>Radiometric</v>
      </c>
      <c r="Z143" s="697" t="str">
        <f>IF($S143="카메라",VLOOKUP($F143,드롭다운!$A:$F,4,0),"")</f>
        <v>Analogue</v>
      </c>
      <c r="AA143" s="697">
        <f>IF($S143="카메라",VLOOKUP($F143,드롭다운!$A:$F,5,0),"")</f>
        <v>17</v>
      </c>
      <c r="AB143" s="697" t="s">
        <v>9111</v>
      </c>
      <c r="AC143" s="724"/>
    </row>
    <row r="144" spans="1:29">
      <c r="A144" s="695">
        <v>45908</v>
      </c>
      <c r="B144" s="704">
        <v>1</v>
      </c>
      <c r="C144" s="696" t="str">
        <f>"EX"&amp;TEXT(tbl_해외[[#This Row],[발주일]],"yymmdd")&amp;"-"&amp;TEXT(tbl_해외[[#This Row],[일렬번호]],"00")</f>
        <v>EX250908-01</v>
      </c>
      <c r="D144" s="697" t="s">
        <v>232</v>
      </c>
      <c r="E144" s="697" t="s">
        <v>9107</v>
      </c>
      <c r="F144" s="697" t="s">
        <v>9108</v>
      </c>
      <c r="G144" s="697" t="s">
        <v>9110</v>
      </c>
      <c r="H144" s="698">
        <v>2</v>
      </c>
      <c r="I144" s="699">
        <v>3580</v>
      </c>
      <c r="J144" s="699">
        <f t="shared" si="5"/>
        <v>7160</v>
      </c>
      <c r="K144" s="700">
        <v>1431.82</v>
      </c>
      <c r="L144" s="701">
        <f>K144*J144</f>
        <v>10251831.199999999</v>
      </c>
      <c r="M144" s="702">
        <v>45968</v>
      </c>
      <c r="N144" s="702">
        <v>45968</v>
      </c>
      <c r="O144" s="703">
        <v>45972</v>
      </c>
      <c r="P144" s="695" t="s">
        <v>162</v>
      </c>
      <c r="Q144" s="699">
        <v>0</v>
      </c>
      <c r="R144" s="695">
        <v>45969</v>
      </c>
      <c r="S144" s="697" t="str">
        <f>IFERROR(VLOOKUP($F144,product[],6,0),"error")</f>
        <v>카메라</v>
      </c>
      <c r="T144" s="695"/>
      <c r="U144" s="695"/>
      <c r="V144" s="695">
        <f>YEAR(tbl_해외[[#This Row],[선적일]])</f>
        <v>2025</v>
      </c>
      <c r="W144" s="696">
        <f>IF(tbl_해외[[#This Row],[선적일]]="",0,MONTH(tbl_해외[[#This Row],[선적일]]))</f>
        <v>11</v>
      </c>
      <c r="X144" s="697" t="str">
        <f>IF($S144="카메라",VLOOKUP($F144,드롭다운!$A:$F,2,0),"")</f>
        <v>VGA</v>
      </c>
      <c r="Y144" s="697" t="str">
        <f>IF($S144="카메라",VLOOKUP($F144,드롭다운!$A:$F,3,0),"")</f>
        <v>Radiometric</v>
      </c>
      <c r="Z144" s="697" t="str">
        <f>IF($S144="카메라",VLOOKUP($F144,드롭다운!$A:$F,4,0),"")</f>
        <v>Analogue</v>
      </c>
      <c r="AA144" s="697">
        <f>IF($S144="카메라",VLOOKUP($F144,드롭다운!$A:$F,5,0),"")</f>
        <v>17</v>
      </c>
      <c r="AB144" s="697" t="s">
        <v>9111</v>
      </c>
      <c r="AC144" s="724"/>
    </row>
    <row r="145" spans="1:29">
      <c r="A145" s="695">
        <v>45919</v>
      </c>
      <c r="B145" s="704">
        <v>1</v>
      </c>
      <c r="C145" s="696" t="str">
        <f>"EX"&amp;TEXT(tbl_해외[[#This Row],[발주일]],"yymmdd")&amp;"-"&amp;TEXT(tbl_해외[[#This Row],[일렬번호]],"00")</f>
        <v>EX250919-01</v>
      </c>
      <c r="D145" s="697" t="s">
        <v>232</v>
      </c>
      <c r="E145" s="697" t="s">
        <v>9135</v>
      </c>
      <c r="F145" s="697" t="s">
        <v>241</v>
      </c>
      <c r="G145" s="697" t="s">
        <v>9136</v>
      </c>
      <c r="H145" s="698">
        <v>1</v>
      </c>
      <c r="I145" s="699">
        <v>3920</v>
      </c>
      <c r="J145" s="699">
        <f t="shared" si="5"/>
        <v>3920</v>
      </c>
      <c r="K145" s="700">
        <v>1431.82</v>
      </c>
      <c r="L145" s="701">
        <f>K145*J145</f>
        <v>5612734.3999999994</v>
      </c>
      <c r="M145" s="702">
        <v>45968</v>
      </c>
      <c r="N145" s="702">
        <v>45968</v>
      </c>
      <c r="O145" s="703">
        <v>45972</v>
      </c>
      <c r="P145" s="695" t="s">
        <v>162</v>
      </c>
      <c r="Q145" s="699">
        <v>0</v>
      </c>
      <c r="R145" s="695">
        <v>45969</v>
      </c>
      <c r="S145" s="697" t="str">
        <f>IFERROR(VLOOKUP($F145,product[],6,0),"error")</f>
        <v>카메라</v>
      </c>
      <c r="T145" s="695"/>
      <c r="U145" s="695"/>
      <c r="V145" s="695">
        <f>YEAR(tbl_해외[[#This Row],[선적일]])</f>
        <v>2025</v>
      </c>
      <c r="W145" s="696">
        <f>IF(tbl_해외[[#This Row],[선적일]]="",0,MONTH(tbl_해외[[#This Row],[선적일]]))</f>
        <v>11</v>
      </c>
      <c r="X145" s="697" t="str">
        <f>IF($S145="카메라",VLOOKUP($F145,드롭다운!$A:$F,2,0),"")</f>
        <v>VGA</v>
      </c>
      <c r="Y145" s="697" t="str">
        <f>IF($S145="카메라",VLOOKUP($F145,드롭다운!$A:$F,3,0),"")</f>
        <v>Radiometric</v>
      </c>
      <c r="Z145" s="697" t="str">
        <f>IF($S145="카메라",VLOOKUP($F145,드롭다운!$A:$F,4,0),"")</f>
        <v>Analogue</v>
      </c>
      <c r="AA145" s="697">
        <f>IF($S145="카메라",VLOOKUP($F145,드롭다운!$A:$F,5,0),"")</f>
        <v>17</v>
      </c>
      <c r="AB145" s="697" t="s">
        <v>9137</v>
      </c>
      <c r="AC145" s="724"/>
    </row>
    <row r="146" spans="1:29">
      <c r="A146" s="695">
        <v>45929</v>
      </c>
      <c r="B146" s="704">
        <v>2</v>
      </c>
      <c r="C146" s="696" t="str">
        <f>"EX"&amp;TEXT(tbl_해외[[#This Row],[발주일]],"yymmdd")&amp;"-"&amp;TEXT(tbl_해외[[#This Row],[일렬번호]],"00")</f>
        <v>EX250929-02</v>
      </c>
      <c r="D146" s="697" t="s">
        <v>232</v>
      </c>
      <c r="E146" s="697" t="s">
        <v>9146</v>
      </c>
      <c r="F146" s="697" t="s">
        <v>9147</v>
      </c>
      <c r="G146" s="697" t="s">
        <v>9005</v>
      </c>
      <c r="H146" s="698">
        <v>2</v>
      </c>
      <c r="I146" s="699">
        <v>3580</v>
      </c>
      <c r="J146" s="699">
        <f t="shared" si="5"/>
        <v>7160</v>
      </c>
      <c r="K146" s="700">
        <v>1431.82</v>
      </c>
      <c r="L146" s="701">
        <f>K146*J146</f>
        <v>10251831.199999999</v>
      </c>
      <c r="M146" s="702">
        <v>45968</v>
      </c>
      <c r="N146" s="702">
        <v>45968</v>
      </c>
      <c r="O146" s="703">
        <v>45972</v>
      </c>
      <c r="P146" s="695" t="s">
        <v>162</v>
      </c>
      <c r="Q146" s="699">
        <v>0</v>
      </c>
      <c r="R146" s="695">
        <v>45969</v>
      </c>
      <c r="S146" s="697" t="str">
        <f>IFERROR(VLOOKUP($F146,product[],6,0),"error")</f>
        <v>카메라</v>
      </c>
      <c r="T146" s="695"/>
      <c r="U146" s="695"/>
      <c r="V146" s="695">
        <f>YEAR(tbl_해외[[#This Row],[선적일]])</f>
        <v>2025</v>
      </c>
      <c r="W146" s="696">
        <f>IF(tbl_해외[[#This Row],[선적일]]="",0,MONTH(tbl_해외[[#This Row],[선적일]]))</f>
        <v>11</v>
      </c>
      <c r="X146" s="697" t="str">
        <f>IF($S146="카메라",VLOOKUP($F146,드롭다운!$A:$F,2,0),"")</f>
        <v>VGA</v>
      </c>
      <c r="Y146" s="697" t="str">
        <f>IF($S146="카메라",VLOOKUP($F146,드롭다운!$A:$F,3,0),"")</f>
        <v>Radiometric</v>
      </c>
      <c r="Z146" s="697" t="str">
        <f>IF($S146="카메라",VLOOKUP($F146,드롭다운!$A:$F,4,0),"")</f>
        <v>Analogue</v>
      </c>
      <c r="AA146" s="697">
        <f>IF($S146="카메라",VLOOKUP($F146,드롭다운!$A:$F,5,0),"")</f>
        <v>17</v>
      </c>
      <c r="AB146" s="697" t="s">
        <v>9148</v>
      </c>
      <c r="AC146" s="724"/>
    </row>
    <row r="147" spans="1:29">
      <c r="A147" s="695">
        <v>45943</v>
      </c>
      <c r="B147" s="704">
        <v>1</v>
      </c>
      <c r="C147" s="696" t="str">
        <f>"EX"&amp;TEXT(tbl_해외[[#This Row],[발주일]],"yymmdd")&amp;"-"&amp;TEXT(tbl_해외[[#This Row],[일렬번호]],"00")</f>
        <v>EX251013-01</v>
      </c>
      <c r="D147" s="697" t="s">
        <v>232</v>
      </c>
      <c r="E147" s="697" t="s">
        <v>9150</v>
      </c>
      <c r="F147" s="697" t="s">
        <v>9151</v>
      </c>
      <c r="G147" s="697" t="s">
        <v>9005</v>
      </c>
      <c r="H147" s="698">
        <v>1</v>
      </c>
      <c r="I147" s="699">
        <v>3580</v>
      </c>
      <c r="J147" s="699">
        <f t="shared" si="5"/>
        <v>3580</v>
      </c>
      <c r="K147" s="700">
        <v>1431.82</v>
      </c>
      <c r="L147" s="701">
        <f>K147*J147</f>
        <v>5125915.5999999996</v>
      </c>
      <c r="M147" s="702">
        <v>45968</v>
      </c>
      <c r="N147" s="702">
        <v>45968</v>
      </c>
      <c r="O147" s="703">
        <v>45972</v>
      </c>
      <c r="P147" s="695" t="s">
        <v>162</v>
      </c>
      <c r="Q147" s="699">
        <v>0</v>
      </c>
      <c r="R147" s="695">
        <v>45969</v>
      </c>
      <c r="S147" s="697" t="str">
        <f>IFERROR(VLOOKUP($F147,product[],6,0),"error")</f>
        <v>카메라</v>
      </c>
      <c r="T147" s="695"/>
      <c r="U147" s="695"/>
      <c r="V147" s="695">
        <f>YEAR(tbl_해외[[#This Row],[선적일]])</f>
        <v>2025</v>
      </c>
      <c r="W147" s="696">
        <f>IF(tbl_해외[[#This Row],[선적일]]="",0,MONTH(tbl_해외[[#This Row],[선적일]]))</f>
        <v>11</v>
      </c>
      <c r="X147" s="697" t="str">
        <f>IF($S147="카메라",VLOOKUP($F147,드롭다운!$A:$F,2,0),"")</f>
        <v>VGA</v>
      </c>
      <c r="Y147" s="697" t="str">
        <f>IF($S147="카메라",VLOOKUP($F147,드롭다운!$A:$F,3,0),"")</f>
        <v>Radiometric</v>
      </c>
      <c r="Z147" s="697" t="str">
        <f>IF($S147="카메라",VLOOKUP($F147,드롭다운!$A:$F,4,0),"")</f>
        <v>Analogue</v>
      </c>
      <c r="AA147" s="697">
        <f>IF($S147="카메라",VLOOKUP($F147,드롭다운!$A:$F,5,0),"")</f>
        <v>17</v>
      </c>
      <c r="AB147" s="697" t="s">
        <v>9152</v>
      </c>
      <c r="AC147" s="724"/>
    </row>
    <row r="148" spans="1:29">
      <c r="A148" s="695">
        <v>45961</v>
      </c>
      <c r="B148" s="704">
        <v>1</v>
      </c>
      <c r="C148" s="696" t="str">
        <f>"EX"&amp;TEXT(tbl_해외[[#This Row],[발주일]],"yymmdd")&amp;"-"&amp;TEXT(tbl_해외[[#This Row],[일렬번호]],"00")</f>
        <v>EX251031-01</v>
      </c>
      <c r="D148" s="697" t="s">
        <v>232</v>
      </c>
      <c r="E148" s="697" t="s">
        <v>7531</v>
      </c>
      <c r="F148" s="697" t="s">
        <v>7534</v>
      </c>
      <c r="G148" s="697" t="s">
        <v>9213</v>
      </c>
      <c r="H148" s="698">
        <v>1</v>
      </c>
      <c r="I148" s="699">
        <v>250</v>
      </c>
      <c r="J148" s="699">
        <f t="shared" si="5"/>
        <v>250</v>
      </c>
      <c r="K148" s="700">
        <v>1431.82</v>
      </c>
      <c r="L148" s="701">
        <f t="shared" ref="L148:L149" si="6">K148*J148</f>
        <v>357955</v>
      </c>
      <c r="M148" s="702">
        <v>45968</v>
      </c>
      <c r="N148" s="702">
        <v>45968</v>
      </c>
      <c r="O148" s="703">
        <v>45972</v>
      </c>
      <c r="P148" s="695" t="s">
        <v>162</v>
      </c>
      <c r="Q148" s="699">
        <v>0</v>
      </c>
      <c r="R148" s="695">
        <v>45969</v>
      </c>
      <c r="S148" s="697" t="str">
        <f>IFERROR(VLOOKUP($F148,product[],6,0),"error")</f>
        <v>error</v>
      </c>
      <c r="T148" s="695"/>
      <c r="U148" s="695"/>
      <c r="V148" s="695">
        <f>YEAR(tbl_해외[[#This Row],[선적일]])</f>
        <v>2025</v>
      </c>
      <c r="W148" s="696">
        <f>IF(tbl_해외[[#This Row],[선적일]]="",0,MONTH(tbl_해외[[#This Row],[선적일]]))</f>
        <v>11</v>
      </c>
      <c r="X148" s="697" t="str">
        <f>IF($S148="카메라",VLOOKUP($F148,드롭다운!$A:$F,2,0),"")</f>
        <v/>
      </c>
      <c r="Y148" s="697" t="str">
        <f>IF($S148="카메라",VLOOKUP($F148,드롭다운!$A:$F,3,0),"")</f>
        <v/>
      </c>
      <c r="Z148" s="697" t="str">
        <f>IF($S148="카메라",VLOOKUP($F148,드롭다운!$A:$F,4,0),"")</f>
        <v/>
      </c>
      <c r="AA148" s="697" t="str">
        <f>IF($S148="카메라",VLOOKUP($F148,드롭다운!$A:$F,5,0),"")</f>
        <v/>
      </c>
      <c r="AB148" s="697" t="s">
        <v>9248</v>
      </c>
      <c r="AC148" s="724"/>
    </row>
    <row r="149" spans="1:29">
      <c r="A149" s="695">
        <v>45961</v>
      </c>
      <c r="B149" s="704">
        <v>1</v>
      </c>
      <c r="C149" s="696" t="str">
        <f>"EX"&amp;TEXT(tbl_해외[[#This Row],[발주일]],"yymmdd")&amp;"-"&amp;TEXT(tbl_해외[[#This Row],[일렬번호]],"00")</f>
        <v>EX251031-01</v>
      </c>
      <c r="D149" s="697" t="s">
        <v>232</v>
      </c>
      <c r="E149" s="697" t="s">
        <v>7531</v>
      </c>
      <c r="F149" s="697" t="s">
        <v>7534</v>
      </c>
      <c r="G149" s="697" t="s">
        <v>9214</v>
      </c>
      <c r="H149" s="698">
        <v>1</v>
      </c>
      <c r="I149" s="699">
        <v>1000</v>
      </c>
      <c r="J149" s="699">
        <f t="shared" si="5"/>
        <v>1000</v>
      </c>
      <c r="K149" s="700">
        <v>1431.82</v>
      </c>
      <c r="L149" s="701">
        <f t="shared" si="6"/>
        <v>1431820</v>
      </c>
      <c r="M149" s="702">
        <v>45968</v>
      </c>
      <c r="N149" s="702">
        <v>45968</v>
      </c>
      <c r="O149" s="703">
        <v>45972</v>
      </c>
      <c r="P149" s="695" t="s">
        <v>162</v>
      </c>
      <c r="Q149" s="699">
        <v>0</v>
      </c>
      <c r="R149" s="695">
        <v>45969</v>
      </c>
      <c r="S149" s="697" t="str">
        <f>IFERROR(VLOOKUP($F149,product[],6,0),"error")</f>
        <v>error</v>
      </c>
      <c r="T149" s="695"/>
      <c r="U149" s="695"/>
      <c r="V149" s="695">
        <f>YEAR(tbl_해외[[#This Row],[선적일]])</f>
        <v>2025</v>
      </c>
      <c r="W149" s="696">
        <f>IF(tbl_해외[[#This Row],[선적일]]="",0,MONTH(tbl_해외[[#This Row],[선적일]]))</f>
        <v>11</v>
      </c>
      <c r="X149" s="697" t="str">
        <f>IF($S149="카메라",VLOOKUP($F149,드롭다운!$A:$F,2,0),"")</f>
        <v/>
      </c>
      <c r="Y149" s="697" t="str">
        <f>IF($S149="카메라",VLOOKUP($F149,드롭다운!$A:$F,3,0),"")</f>
        <v/>
      </c>
      <c r="Z149" s="697" t="str">
        <f>IF($S149="카메라",VLOOKUP($F149,드롭다운!$A:$F,4,0),"")</f>
        <v/>
      </c>
      <c r="AA149" s="697" t="str">
        <f>IF($S149="카메라",VLOOKUP($F149,드롭다운!$A:$F,5,0),"")</f>
        <v/>
      </c>
      <c r="AB149" s="697" t="s">
        <v>9248</v>
      </c>
      <c r="AC149" s="724"/>
    </row>
    <row r="150" spans="1:29">
      <c r="A150" s="695">
        <v>45979</v>
      </c>
      <c r="B150" s="704">
        <v>1</v>
      </c>
      <c r="C150" s="696" t="str">
        <f>"EX"&amp;TEXT(tbl_해외[[#This Row],[발주일]],"yymmdd")&amp;"-"&amp;TEXT(tbl_해외[[#This Row],[일렬번호]],"00")</f>
        <v>EX251118-01</v>
      </c>
      <c r="D150" s="697" t="s">
        <v>232</v>
      </c>
      <c r="E150" s="697" t="s">
        <v>7533</v>
      </c>
      <c r="F150" s="697" t="s">
        <v>8931</v>
      </c>
      <c r="G150" s="697" t="s">
        <v>9286</v>
      </c>
      <c r="H150" s="698">
        <v>4</v>
      </c>
      <c r="I150" s="699">
        <v>590</v>
      </c>
      <c r="J150" s="699">
        <f t="shared" si="5"/>
        <v>2360</v>
      </c>
      <c r="K150" s="700"/>
      <c r="L150" s="701"/>
      <c r="M150" s="695"/>
      <c r="N150" s="702"/>
      <c r="O150" s="703"/>
      <c r="P150" s="695"/>
      <c r="Q150" s="699"/>
      <c r="R150" s="695"/>
      <c r="S150" s="697" t="str">
        <f>IFERROR(VLOOKUP($F150,product[],6,0),"error")</f>
        <v>error</v>
      </c>
      <c r="T150" s="695"/>
      <c r="U150" s="695"/>
      <c r="V150" s="695">
        <f>YEAR(tbl_해외[[#This Row],[선적일]])</f>
        <v>1900</v>
      </c>
      <c r="W150" s="696">
        <f>IF(tbl_해외[[#This Row],[선적일]]="",0,MONTH(tbl_해외[[#This Row],[선적일]]))</f>
        <v>0</v>
      </c>
      <c r="X150" s="697" t="str">
        <f>IF($S150="카메라",VLOOKUP($F150,드롭다운!$A:$F,2,0),"")</f>
        <v/>
      </c>
      <c r="Y150" s="697" t="str">
        <f>IF($S150="카메라",VLOOKUP($F150,드롭다운!$A:$F,3,0),"")</f>
        <v/>
      </c>
      <c r="Z150" s="697" t="str">
        <f>IF($S150="카메라",VLOOKUP($F150,드롭다운!$A:$F,4,0),"")</f>
        <v/>
      </c>
      <c r="AA150" s="697" t="str">
        <f>IF($S150="카메라",VLOOKUP($F150,드롭다운!$A:$F,5,0),"")</f>
        <v/>
      </c>
      <c r="AB150" s="697" t="s">
        <v>9287</v>
      </c>
      <c r="AC150" s="724" t="s">
        <v>9307</v>
      </c>
    </row>
    <row r="151" spans="1:29">
      <c r="A151" s="695">
        <v>45979</v>
      </c>
      <c r="B151" s="704">
        <v>2</v>
      </c>
      <c r="C151" s="696" t="str">
        <f>"EX"&amp;TEXT(tbl_해외[[#This Row],[발주일]],"yymmdd")&amp;"-"&amp;TEXT(tbl_해외[[#This Row],[일렬번호]],"00")</f>
        <v>EX251118-02</v>
      </c>
      <c r="D151" s="697" t="s">
        <v>232</v>
      </c>
      <c r="E151" s="697" t="s">
        <v>9288</v>
      </c>
      <c r="F151" s="697" t="s">
        <v>9289</v>
      </c>
      <c r="G151" s="697" t="s">
        <v>9005</v>
      </c>
      <c r="H151" s="698">
        <v>2</v>
      </c>
      <c r="I151" s="699">
        <v>3580</v>
      </c>
      <c r="J151" s="699">
        <f t="shared" si="5"/>
        <v>7160</v>
      </c>
      <c r="K151" s="700"/>
      <c r="L151" s="701"/>
      <c r="M151" s="695"/>
      <c r="N151" s="702"/>
      <c r="O151" s="703"/>
      <c r="P151" s="695"/>
      <c r="Q151" s="699"/>
      <c r="R151" s="695"/>
      <c r="S151" s="697" t="str">
        <f>IFERROR(VLOOKUP($F151,product[],6,0),"error")</f>
        <v>카메라</v>
      </c>
      <c r="T151" s="695"/>
      <c r="U151" s="695"/>
      <c r="V151" s="695">
        <f>YEAR(tbl_해외[[#This Row],[선적일]])</f>
        <v>1900</v>
      </c>
      <c r="W151" s="696">
        <f>IF(tbl_해외[[#This Row],[선적일]]="",0,MONTH(tbl_해외[[#This Row],[선적일]]))</f>
        <v>0</v>
      </c>
      <c r="X151" s="697" t="str">
        <f>IF($S151="카메라",VLOOKUP($F151,드롭다운!$A:$F,2,0),"")</f>
        <v>VGA</v>
      </c>
      <c r="Y151" s="697" t="str">
        <f>IF($S151="카메라",VLOOKUP($F151,드롭다운!$A:$F,3,0),"")</f>
        <v>Radiometric</v>
      </c>
      <c r="Z151" s="697" t="str">
        <f>IF($S151="카메라",VLOOKUP($F151,드롭다운!$A:$F,4,0),"")</f>
        <v>Analogue</v>
      </c>
      <c r="AA151" s="697">
        <f>IF($S151="카메라",VLOOKUP($F151,드롭다운!$A:$F,5,0),"")</f>
        <v>17</v>
      </c>
      <c r="AB151" s="697" t="s">
        <v>9290</v>
      </c>
      <c r="AC151" s="724" t="s">
        <v>9307</v>
      </c>
    </row>
    <row r="152" spans="1:29">
      <c r="A152" s="695">
        <v>45979</v>
      </c>
      <c r="B152" s="704">
        <v>2</v>
      </c>
      <c r="C152" s="696" t="str">
        <f>"EX"&amp;TEXT(tbl_해외[[#This Row],[발주일]],"yymmdd")&amp;"-"&amp;TEXT(tbl_해외[[#This Row],[일렬번호]],"00")</f>
        <v>EX251118-02</v>
      </c>
      <c r="D152" s="697" t="s">
        <v>232</v>
      </c>
      <c r="E152" s="697" t="s">
        <v>7533</v>
      </c>
      <c r="F152" s="697" t="s">
        <v>8931</v>
      </c>
      <c r="G152" s="697" t="s">
        <v>9286</v>
      </c>
      <c r="H152" s="698">
        <v>2</v>
      </c>
      <c r="I152" s="699">
        <v>590</v>
      </c>
      <c r="J152" s="699">
        <f t="shared" si="5"/>
        <v>1180</v>
      </c>
      <c r="K152" s="700"/>
      <c r="L152" s="701"/>
      <c r="M152" s="695"/>
      <c r="N152" s="702"/>
      <c r="O152" s="703"/>
      <c r="P152" s="695"/>
      <c r="Q152" s="699"/>
      <c r="R152" s="695"/>
      <c r="S152" s="697" t="str">
        <f>IFERROR(VLOOKUP($F152,product[],6,0),"error")</f>
        <v>error</v>
      </c>
      <c r="T152" s="695"/>
      <c r="U152" s="695"/>
      <c r="V152" s="695">
        <f>YEAR(tbl_해외[[#This Row],[선적일]])</f>
        <v>1900</v>
      </c>
      <c r="W152" s="696">
        <f>IF(tbl_해외[[#This Row],[선적일]]="",0,MONTH(tbl_해외[[#This Row],[선적일]]))</f>
        <v>0</v>
      </c>
      <c r="X152" s="697" t="str">
        <f>IF($S152="카메라",VLOOKUP($F152,드롭다운!$A:$F,2,0),"")</f>
        <v/>
      </c>
      <c r="Y152" s="697" t="str">
        <f>IF($S152="카메라",VLOOKUP($F152,드롭다운!$A:$F,3,0),"")</f>
        <v/>
      </c>
      <c r="Z152" s="697" t="str">
        <f>IF($S152="카메라",VLOOKUP($F152,드롭다운!$A:$F,4,0),"")</f>
        <v/>
      </c>
      <c r="AA152" s="697" t="str">
        <f>IF($S152="카메라",VLOOKUP($F152,드롭다운!$A:$F,5,0),"")</f>
        <v/>
      </c>
      <c r="AB152" s="697" t="s">
        <v>9290</v>
      </c>
      <c r="AC152" s="724" t="s">
        <v>9307</v>
      </c>
    </row>
    <row r="153" spans="1:29">
      <c r="A153" s="695">
        <v>45769</v>
      </c>
      <c r="B153" s="704">
        <v>3</v>
      </c>
      <c r="C153" s="696" t="str">
        <f>"EX"&amp;TEXT(tbl_해외[[#This Row],[발주일]],"yymmdd")&amp;"-"&amp;TEXT(tbl_해외[[#This Row],[일렬번호]],"00")</f>
        <v>EX250422-03</v>
      </c>
      <c r="D153" s="697" t="s">
        <v>117</v>
      </c>
      <c r="E153" s="697" t="s">
        <v>7529</v>
      </c>
      <c r="F153" s="697" t="s">
        <v>103</v>
      </c>
      <c r="G153" s="697" t="s">
        <v>8908</v>
      </c>
      <c r="H153" s="698">
        <v>3</v>
      </c>
      <c r="I153" s="699">
        <v>4078</v>
      </c>
      <c r="J153" s="699">
        <f>H153*I153</f>
        <v>12234</v>
      </c>
      <c r="K153" s="700"/>
      <c r="L153" s="701">
        <f>K153*J153</f>
        <v>0</v>
      </c>
      <c r="M153" s="695"/>
      <c r="N153" s="695"/>
      <c r="O153" s="705"/>
      <c r="P153" s="695"/>
      <c r="Q153" s="699">
        <v>20386</v>
      </c>
      <c r="R153" s="695">
        <v>45777</v>
      </c>
      <c r="S153" s="697" t="str">
        <f>IFERROR(VLOOKUP($F153,product[],6,0),"error")</f>
        <v>카메라</v>
      </c>
      <c r="T153" s="699"/>
      <c r="U153" s="695"/>
      <c r="V153" s="695">
        <f>YEAR(tbl_해외[[#This Row],[선적일]])</f>
        <v>1900</v>
      </c>
      <c r="W153" s="696">
        <f>IF(tbl_해외[[#This Row],[선적일]]="",0,MONTH(tbl_해외[[#This Row],[선적일]]))</f>
        <v>0</v>
      </c>
      <c r="X153" s="697" t="str">
        <f>IF($S153="카메라",VLOOKUP($F153,드롭다운!$A:$F,2,0),"")</f>
        <v>VGA</v>
      </c>
      <c r="Y153" s="697" t="str">
        <f>IF($S153="카메라",VLOOKUP($F153,드롭다운!$A:$F,3,0),"")</f>
        <v>Radiometric</v>
      </c>
      <c r="Z153" s="697" t="str">
        <f>IF($S153="카메라",VLOOKUP($F153,드롭다운!$A:$F,4,0),"")</f>
        <v>Network</v>
      </c>
      <c r="AA153" s="697">
        <f>IF($S153="카메라",VLOOKUP($F153,드롭다운!$A:$F,5,0),"")</f>
        <v>17</v>
      </c>
      <c r="AB153" s="697" t="s">
        <v>8918</v>
      </c>
      <c r="AC153" s="724" t="s">
        <v>9302</v>
      </c>
    </row>
    <row r="154" spans="1:29">
      <c r="A154" s="695">
        <v>45856</v>
      </c>
      <c r="B154" s="704">
        <v>1</v>
      </c>
      <c r="C154" s="696" t="str">
        <f>"EX"&amp;TEXT(tbl_해외[[#This Row],[발주일]],"yymmdd")&amp;"-"&amp;TEXT(tbl_해외[[#This Row],[일렬번호]],"00")</f>
        <v>EX250718-01</v>
      </c>
      <c r="D154" s="697" t="s">
        <v>284</v>
      </c>
      <c r="E154" s="697" t="s">
        <v>7942</v>
      </c>
      <c r="F154" s="697" t="s">
        <v>8938</v>
      </c>
      <c r="G154" s="697" t="s">
        <v>8940</v>
      </c>
      <c r="H154" s="698">
        <v>3</v>
      </c>
      <c r="I154" s="699">
        <v>4160</v>
      </c>
      <c r="J154" s="699">
        <f>I154*H154</f>
        <v>12480</v>
      </c>
      <c r="K154" s="700"/>
      <c r="L154" s="701">
        <f t="shared" ref="L154:L164" si="7">K154*J154</f>
        <v>0</v>
      </c>
      <c r="M154" s="695"/>
      <c r="N154" s="702"/>
      <c r="O154" s="703"/>
      <c r="P154" s="695"/>
      <c r="Q154" s="699"/>
      <c r="R154" s="695"/>
      <c r="S154" s="697" t="str">
        <f>IFERROR(VLOOKUP($F154,product[],6,0),"error")</f>
        <v>카메라</v>
      </c>
      <c r="T154" s="695"/>
      <c r="U154" s="695"/>
      <c r="V154" s="695">
        <f>YEAR(tbl_해외[[#This Row],[선적일]])</f>
        <v>1900</v>
      </c>
      <c r="W154" s="696">
        <f>IF(tbl_해외[[#This Row],[선적일]]="",0,MONTH(tbl_해외[[#This Row],[선적일]]))</f>
        <v>0</v>
      </c>
      <c r="X154" s="697" t="str">
        <f>IF($S154="카메라",VLOOKUP($F154,드롭다운!$A:$F,2,0),"")</f>
        <v>VGA</v>
      </c>
      <c r="Y154" s="697" t="str">
        <f>IF($S154="카메라",VLOOKUP($F154,드롭다운!$A:$F,3,0),"")</f>
        <v>Radiometric</v>
      </c>
      <c r="Z154" s="697" t="str">
        <f>IF($S154="카메라",VLOOKUP($F154,드롭다운!$A:$F,4,0),"")</f>
        <v>Analogue</v>
      </c>
      <c r="AA154" s="697">
        <f>IF($S154="카메라",VLOOKUP($F154,드롭다운!$A:$F,5,0),"")</f>
        <v>12</v>
      </c>
      <c r="AB154" s="697" t="s">
        <v>8939</v>
      </c>
      <c r="AC154" s="724" t="s">
        <v>9303</v>
      </c>
    </row>
    <row r="155" spans="1:29">
      <c r="A155" s="712">
        <v>45678</v>
      </c>
      <c r="B155" s="713">
        <v>2</v>
      </c>
      <c r="C155" s="714" t="str">
        <f>"EX"&amp;TEXT(tbl_해외[[#This Row],[발주일]],"yymmdd")&amp;"-"&amp;TEXT(tbl_해외[[#This Row],[일렬번호]],"00")</f>
        <v>EX250121-02</v>
      </c>
      <c r="D155" s="715" t="s">
        <v>110</v>
      </c>
      <c r="E155" s="715" t="s">
        <v>7269</v>
      </c>
      <c r="F155" s="715" t="s">
        <v>8884</v>
      </c>
      <c r="G155" s="715" t="s">
        <v>377</v>
      </c>
      <c r="H155" s="716">
        <v>1</v>
      </c>
      <c r="I155" s="717">
        <v>470</v>
      </c>
      <c r="J155" s="717">
        <f t="shared" ref="J155:J159" si="8">I155*H155</f>
        <v>470</v>
      </c>
      <c r="K155" s="718"/>
      <c r="L155" s="719">
        <f t="shared" si="7"/>
        <v>0</v>
      </c>
      <c r="M155" s="712"/>
      <c r="N155" s="712"/>
      <c r="O155" s="720"/>
      <c r="P155" s="712"/>
      <c r="Q155" s="717">
        <v>8118</v>
      </c>
      <c r="R155" s="712" t="s">
        <v>8885</v>
      </c>
      <c r="S155" s="715" t="str">
        <f>IFERROR(VLOOKUP($F155,product[],6,0),"error")</f>
        <v>error</v>
      </c>
      <c r="T155" s="717"/>
      <c r="U155" s="712"/>
      <c r="V155" s="712">
        <f>YEAR(tbl_해외[[#This Row],[선적일]])</f>
        <v>1900</v>
      </c>
      <c r="W155" s="714">
        <f>IF(tbl_해외[[#This Row],[선적일]]="",0,MONTH(tbl_해외[[#This Row],[선적일]]))</f>
        <v>0</v>
      </c>
      <c r="X155" s="715" t="str">
        <f>IF($S155="카메라",VLOOKUP($F155,드롭다운!$A:$F,2,0),"")</f>
        <v/>
      </c>
      <c r="Y155" s="715" t="str">
        <f>IF($S155="카메라",VLOOKUP($F155,드롭다운!$A:$F,3,0),"")</f>
        <v/>
      </c>
      <c r="Z155" s="715" t="str">
        <f>IF($S155="카메라",VLOOKUP($F155,드롭다운!$A:$F,4,0),"")</f>
        <v/>
      </c>
      <c r="AA155" s="715" t="str">
        <f>IF($S155="카메라",VLOOKUP($F155,드롭다운!$A:$F,5,0),"")</f>
        <v/>
      </c>
      <c r="AB155" s="715" t="s">
        <v>9301</v>
      </c>
      <c r="AC155" s="725" t="s">
        <v>9299</v>
      </c>
    </row>
    <row r="156" spans="1:29">
      <c r="A156" s="712">
        <v>45678</v>
      </c>
      <c r="B156" s="713">
        <v>2</v>
      </c>
      <c r="C156" s="714" t="str">
        <f>"EX"&amp;TEXT(tbl_해외[[#This Row],[발주일]],"yymmdd")&amp;"-"&amp;TEXT(tbl_해외[[#This Row],[일렬번호]],"00")</f>
        <v>EX250121-02</v>
      </c>
      <c r="D156" s="715" t="s">
        <v>110</v>
      </c>
      <c r="E156" s="715" t="s">
        <v>7269</v>
      </c>
      <c r="F156" s="715" t="s">
        <v>8886</v>
      </c>
      <c r="G156" s="715" t="s">
        <v>377</v>
      </c>
      <c r="H156" s="716">
        <v>1</v>
      </c>
      <c r="I156" s="717">
        <v>790</v>
      </c>
      <c r="J156" s="717">
        <f t="shared" si="8"/>
        <v>790</v>
      </c>
      <c r="K156" s="718"/>
      <c r="L156" s="719">
        <f t="shared" si="7"/>
        <v>0</v>
      </c>
      <c r="M156" s="712"/>
      <c r="N156" s="712"/>
      <c r="O156" s="720"/>
      <c r="P156" s="712"/>
      <c r="Q156" s="717">
        <v>0</v>
      </c>
      <c r="R156" s="712">
        <v>45765</v>
      </c>
      <c r="S156" s="715" t="str">
        <f>IFERROR(VLOOKUP($F156,product[],6,0),"error")</f>
        <v>error</v>
      </c>
      <c r="T156" s="717"/>
      <c r="U156" s="712"/>
      <c r="V156" s="712">
        <f>YEAR(tbl_해외[[#This Row],[선적일]])</f>
        <v>1900</v>
      </c>
      <c r="W156" s="714">
        <f>IF(tbl_해외[[#This Row],[선적일]]="",0,MONTH(tbl_해외[[#This Row],[선적일]]))</f>
        <v>0</v>
      </c>
      <c r="X156" s="715" t="str">
        <f>IF($S156="카메라",VLOOKUP($F156,드롭다운!$A:$F,2,0),"")</f>
        <v/>
      </c>
      <c r="Y156" s="715" t="str">
        <f>IF($S156="카메라",VLOOKUP($F156,드롭다운!$A:$F,3,0),"")</f>
        <v/>
      </c>
      <c r="Z156" s="715" t="str">
        <f>IF($S156="카메라",VLOOKUP($F156,드롭다운!$A:$F,4,0),"")</f>
        <v/>
      </c>
      <c r="AA156" s="715" t="str">
        <f>IF($S156="카메라",VLOOKUP($F156,드롭다운!$A:$F,5,0),"")</f>
        <v/>
      </c>
      <c r="AB156" s="715" t="s">
        <v>9301</v>
      </c>
      <c r="AC156" s="725" t="s">
        <v>9299</v>
      </c>
    </row>
    <row r="157" spans="1:29">
      <c r="A157" s="712">
        <v>45678</v>
      </c>
      <c r="B157" s="713">
        <v>2</v>
      </c>
      <c r="C157" s="714" t="str">
        <f>"EX"&amp;TEXT(tbl_해외[[#This Row],[발주일]],"yymmdd")&amp;"-"&amp;TEXT(tbl_해외[[#This Row],[일렬번호]],"00")</f>
        <v>EX250121-02</v>
      </c>
      <c r="D157" s="715" t="s">
        <v>110</v>
      </c>
      <c r="E157" s="715" t="s">
        <v>7269</v>
      </c>
      <c r="F157" s="715" t="s">
        <v>8887</v>
      </c>
      <c r="G157" s="715" t="s">
        <v>377</v>
      </c>
      <c r="H157" s="716">
        <v>1</v>
      </c>
      <c r="I157" s="717">
        <v>1490</v>
      </c>
      <c r="J157" s="717">
        <f t="shared" si="8"/>
        <v>1490</v>
      </c>
      <c r="K157" s="718"/>
      <c r="L157" s="719">
        <f t="shared" si="7"/>
        <v>0</v>
      </c>
      <c r="M157" s="712"/>
      <c r="N157" s="712"/>
      <c r="O157" s="720"/>
      <c r="P157" s="712"/>
      <c r="Q157" s="717">
        <v>0</v>
      </c>
      <c r="R157" s="712">
        <v>45765</v>
      </c>
      <c r="S157" s="715" t="str">
        <f>IFERROR(VLOOKUP($F157,product[],6,0),"error")</f>
        <v>error</v>
      </c>
      <c r="T157" s="717"/>
      <c r="U157" s="712"/>
      <c r="V157" s="712">
        <f>YEAR(tbl_해외[[#This Row],[선적일]])</f>
        <v>1900</v>
      </c>
      <c r="W157" s="714">
        <f>IF(tbl_해외[[#This Row],[선적일]]="",0,MONTH(tbl_해외[[#This Row],[선적일]]))</f>
        <v>0</v>
      </c>
      <c r="X157" s="715" t="str">
        <f>IF($S157="카메라",VLOOKUP($F157,드롭다운!$A:$F,2,0),"")</f>
        <v/>
      </c>
      <c r="Y157" s="715" t="str">
        <f>IF($S157="카메라",VLOOKUP($F157,드롭다운!$A:$F,3,0),"")</f>
        <v/>
      </c>
      <c r="Z157" s="715" t="str">
        <f>IF($S157="카메라",VLOOKUP($F157,드롭다운!$A:$F,4,0),"")</f>
        <v/>
      </c>
      <c r="AA157" s="715" t="str">
        <f>IF($S157="카메라",VLOOKUP($F157,드롭다운!$A:$F,5,0),"")</f>
        <v/>
      </c>
      <c r="AB157" s="715" t="s">
        <v>9301</v>
      </c>
      <c r="AC157" s="725" t="s">
        <v>9299</v>
      </c>
    </row>
    <row r="158" spans="1:29">
      <c r="A158" s="695">
        <v>45965</v>
      </c>
      <c r="B158" s="704">
        <v>1</v>
      </c>
      <c r="C158" s="696" t="str">
        <f>"EX"&amp;TEXT(tbl_해외[[#This Row],[발주일]],"yymmdd")&amp;"-"&amp;TEXT(tbl_해외[[#This Row],[일렬번호]],"00")</f>
        <v>EX251104-01</v>
      </c>
      <c r="D158" s="697" t="s">
        <v>9231</v>
      </c>
      <c r="E158" s="697" t="s">
        <v>9232</v>
      </c>
      <c r="F158" s="697" t="s">
        <v>9233</v>
      </c>
      <c r="G158" s="697" t="s">
        <v>9234</v>
      </c>
      <c r="H158" s="698">
        <v>1</v>
      </c>
      <c r="I158" s="699">
        <v>4927</v>
      </c>
      <c r="J158" s="699">
        <f t="shared" si="8"/>
        <v>4927</v>
      </c>
      <c r="K158" s="700"/>
      <c r="L158" s="701">
        <f t="shared" si="7"/>
        <v>0</v>
      </c>
      <c r="M158" s="695"/>
      <c r="N158" s="702"/>
      <c r="O158" s="703"/>
      <c r="P158" s="695"/>
      <c r="Q158" s="699"/>
      <c r="R158" s="695"/>
      <c r="S158" s="697" t="str">
        <f>IFERROR(VLOOKUP($F158,product[],6,0),"error")</f>
        <v>카메라</v>
      </c>
      <c r="T158" s="695"/>
      <c r="U158" s="695"/>
      <c r="V158" s="695">
        <f>YEAR(tbl_해외[[#This Row],[선적일]])</f>
        <v>1900</v>
      </c>
      <c r="W158" s="696">
        <f>IF(tbl_해외[[#This Row],[선적일]]="",0,MONTH(tbl_해외[[#This Row],[선적일]]))</f>
        <v>0</v>
      </c>
      <c r="X158" s="697" t="str">
        <f>IF($S158="카메라",VLOOKUP($F158,드롭다운!$A:$F,2,0),"")</f>
        <v>VGA</v>
      </c>
      <c r="Y158" s="697" t="str">
        <f>IF($S158="카메라",VLOOKUP($F158,드롭다운!$A:$F,3,0),"")</f>
        <v>Radiometric</v>
      </c>
      <c r="Z158" s="697" t="str">
        <f>IF($S158="카메라",VLOOKUP($F158,드롭다운!$A:$F,4,0),"")</f>
        <v>Network</v>
      </c>
      <c r="AA158" s="697">
        <f>IF($S158="카메라",VLOOKUP($F158,드롭다운!$A:$F,5,0),"")</f>
        <v>17</v>
      </c>
      <c r="AB158" s="697" t="s">
        <v>9235</v>
      </c>
      <c r="AC158" s="724" t="s">
        <v>9304</v>
      </c>
    </row>
    <row r="159" spans="1:29">
      <c r="A159" s="695">
        <v>45967</v>
      </c>
      <c r="B159" s="704">
        <v>1</v>
      </c>
      <c r="C159" s="696" t="str">
        <f>"EX"&amp;TEXT(tbl_해외[[#This Row],[발주일]],"yymmdd")&amp;"-"&amp;TEXT(tbl_해외[[#This Row],[일렬번호]],"00")</f>
        <v>EX251106-01</v>
      </c>
      <c r="D159" s="697" t="s">
        <v>9072</v>
      </c>
      <c r="E159" s="697" t="s">
        <v>9236</v>
      </c>
      <c r="F159" s="697" t="s">
        <v>9237</v>
      </c>
      <c r="G159" s="697" t="s">
        <v>9238</v>
      </c>
      <c r="H159" s="698">
        <v>1</v>
      </c>
      <c r="I159" s="699">
        <v>3697</v>
      </c>
      <c r="J159" s="699">
        <f t="shared" si="8"/>
        <v>3697</v>
      </c>
      <c r="K159" s="700"/>
      <c r="L159" s="701">
        <f t="shared" si="7"/>
        <v>0</v>
      </c>
      <c r="M159" s="695"/>
      <c r="N159" s="702"/>
      <c r="O159" s="703"/>
      <c r="P159" s="695"/>
      <c r="Q159" s="699">
        <v>3641</v>
      </c>
      <c r="R159" s="708">
        <v>45974</v>
      </c>
      <c r="S159" s="697" t="str">
        <f>IFERROR(VLOOKUP($F159,product[],6,0),"error")</f>
        <v>카메라</v>
      </c>
      <c r="T159" s="695"/>
      <c r="U159" s="695"/>
      <c r="V159" s="695">
        <f>YEAR(tbl_해외[[#This Row],[선적일]])</f>
        <v>1900</v>
      </c>
      <c r="W159" s="696">
        <f>IF(tbl_해외[[#This Row],[선적일]]="",0,MONTH(tbl_해외[[#This Row],[선적일]]))</f>
        <v>0</v>
      </c>
      <c r="X159" s="697" t="str">
        <f>IF($S159="카메라",VLOOKUP($F159,드롭다운!$A:$F,2,0),"")</f>
        <v>VGA</v>
      </c>
      <c r="Y159" s="697" t="str">
        <f>IF($S159="카메라",VLOOKUP($F159,드롭다운!$A:$F,3,0),"")</f>
        <v>Radiometric</v>
      </c>
      <c r="Z159" s="697" t="str">
        <f>IF($S159="카메라",VLOOKUP($F159,드롭다운!$A:$F,4,0),"")</f>
        <v>Network</v>
      </c>
      <c r="AA159" s="697">
        <f>IF($S159="카메라",VLOOKUP($F159,드롭다운!$A:$F,5,0),"")</f>
        <v>17</v>
      </c>
      <c r="AB159" s="697">
        <v>279</v>
      </c>
      <c r="AC159" s="724" t="s">
        <v>9306</v>
      </c>
    </row>
    <row r="160" spans="1:29">
      <c r="A160" s="695">
        <v>45965</v>
      </c>
      <c r="B160" s="704">
        <v>1</v>
      </c>
      <c r="C160" s="696" t="str">
        <f>"EX"&amp;TEXT(tbl_해외[[#This Row],[발주일]],"yymmdd")&amp;"-"&amp;TEXT(tbl_해외[[#This Row],[일렬번호]],"00")</f>
        <v>EX251104-01</v>
      </c>
      <c r="D160" s="697" t="s">
        <v>9051</v>
      </c>
      <c r="E160" s="697" t="s">
        <v>7942</v>
      </c>
      <c r="F160" s="697" t="s">
        <v>255</v>
      </c>
      <c r="G160" s="697" t="s">
        <v>9234</v>
      </c>
      <c r="H160" s="698">
        <v>1</v>
      </c>
      <c r="I160" s="699">
        <v>4927</v>
      </c>
      <c r="J160" s="699">
        <f>I160*H160</f>
        <v>4927</v>
      </c>
      <c r="K160" s="700"/>
      <c r="L160" s="701">
        <f t="shared" si="7"/>
        <v>0</v>
      </c>
      <c r="M160" s="695"/>
      <c r="N160" s="702"/>
      <c r="O160" s="703"/>
      <c r="P160" s="695"/>
      <c r="Q160" s="699"/>
      <c r="R160" s="695"/>
      <c r="S160" s="697" t="str">
        <f>IFERROR(VLOOKUP($F160,product[],6,0),"error")</f>
        <v>카메라</v>
      </c>
      <c r="T160" s="695"/>
      <c r="U160" s="695"/>
      <c r="V160" s="695">
        <f>YEAR(tbl_해외[[#This Row],[선적일]])</f>
        <v>1900</v>
      </c>
      <c r="W160" s="696">
        <f>IF(tbl_해외[[#This Row],[선적일]]="",0,MONTH(tbl_해외[[#This Row],[선적일]]))</f>
        <v>0</v>
      </c>
      <c r="X160" s="697" t="str">
        <f>IF($S160="카메라",VLOOKUP($F160,드롭다운!$A:$F,2,0),"")</f>
        <v>VGA</v>
      </c>
      <c r="Y160" s="697" t="str">
        <f>IF($S160="카메라",VLOOKUP($F160,드롭다운!$A:$F,3,0),"")</f>
        <v>Radiometric</v>
      </c>
      <c r="Z160" s="697" t="str">
        <f>IF($S160="카메라",VLOOKUP($F160,드롭다운!$A:$F,4,0),"")</f>
        <v>Network</v>
      </c>
      <c r="AA160" s="697">
        <f>IF($S160="카메라",VLOOKUP($F160,드롭다운!$A:$F,5,0),"")</f>
        <v>17</v>
      </c>
      <c r="AB160" s="697" t="s">
        <v>9235</v>
      </c>
      <c r="AC160" s="724" t="s">
        <v>9304</v>
      </c>
    </row>
    <row r="161" spans="1:29">
      <c r="A161" s="695">
        <v>45971</v>
      </c>
      <c r="B161" s="704">
        <v>1</v>
      </c>
      <c r="C161" s="696" t="str">
        <f>"EX"&amp;TEXT(tbl_해외[[#This Row],[발주일]],"yymmdd")&amp;"-"&amp;TEXT(tbl_해외[[#This Row],[일렬번호]],"00")</f>
        <v>EX251110-01</v>
      </c>
      <c r="D161" s="697" t="s">
        <v>9051</v>
      </c>
      <c r="E161" s="697" t="s">
        <v>7942</v>
      </c>
      <c r="F161" s="697" t="s">
        <v>9264</v>
      </c>
      <c r="G161" s="697" t="s">
        <v>9265</v>
      </c>
      <c r="H161" s="698">
        <v>2</v>
      </c>
      <c r="I161" s="699">
        <v>3705.4</v>
      </c>
      <c r="J161" s="699">
        <f>I161*H161</f>
        <v>7410.8</v>
      </c>
      <c r="K161" s="700"/>
      <c r="L161" s="701">
        <f t="shared" si="7"/>
        <v>0</v>
      </c>
      <c r="M161" s="695"/>
      <c r="N161" s="702"/>
      <c r="O161" s="703"/>
      <c r="P161" s="695"/>
      <c r="Q161" s="699"/>
      <c r="R161" s="695"/>
      <c r="S161" s="697" t="str">
        <f>IFERROR(VLOOKUP($F161,product[],6,0),"error")</f>
        <v>카메라</v>
      </c>
      <c r="T161" s="695"/>
      <c r="U161" s="695"/>
      <c r="V161" s="695">
        <f>YEAR(tbl_해외[[#This Row],[선적일]])</f>
        <v>1900</v>
      </c>
      <c r="W161" s="696">
        <f>IF(tbl_해외[[#This Row],[선적일]]="",0,MONTH(tbl_해외[[#This Row],[선적일]]))</f>
        <v>0</v>
      </c>
      <c r="X161" s="697" t="str">
        <f>IF($S161="카메라",VLOOKUP($F161,드롭다운!$A:$F,2,0),"")</f>
        <v>VGA</v>
      </c>
      <c r="Y161" s="697" t="str">
        <f>IF($S161="카메라",VLOOKUP($F161,드롭다운!$A:$F,3,0),"")</f>
        <v>Radiometric</v>
      </c>
      <c r="Z161" s="697" t="str">
        <f>IF($S161="카메라",VLOOKUP($F161,드롭다운!$A:$F,4,0),"")</f>
        <v>Network</v>
      </c>
      <c r="AA161" s="697">
        <f>IF($S161="카메라",VLOOKUP($F161,드롭다운!$A:$F,5,0),"")</f>
        <v>17</v>
      </c>
      <c r="AB161" s="697" t="s">
        <v>9266</v>
      </c>
      <c r="AC161" s="724" t="s">
        <v>9304</v>
      </c>
    </row>
    <row r="162" spans="1:29">
      <c r="A162" s="695">
        <v>45974</v>
      </c>
      <c r="B162" s="704">
        <v>1</v>
      </c>
      <c r="C162" s="696" t="str">
        <f>"EX"&amp;TEXT(tbl_해외[[#This Row],[발주일]],"yymmdd")&amp;"-"&amp;TEXT(tbl_해외[[#This Row],[일렬번호]],"00")</f>
        <v>EX251113-01</v>
      </c>
      <c r="D162" s="697" t="s">
        <v>232</v>
      </c>
      <c r="E162" s="697" t="s">
        <v>9267</v>
      </c>
      <c r="F162" s="697" t="s">
        <v>9268</v>
      </c>
      <c r="G162" s="697" t="s">
        <v>9269</v>
      </c>
      <c r="H162" s="698">
        <v>2</v>
      </c>
      <c r="I162" s="699">
        <v>3920</v>
      </c>
      <c r="J162" s="699">
        <f>I162*H162</f>
        <v>7840</v>
      </c>
      <c r="K162" s="700"/>
      <c r="L162" s="701">
        <f t="shared" si="7"/>
        <v>0</v>
      </c>
      <c r="M162" s="695"/>
      <c r="N162" s="702"/>
      <c r="O162" s="703"/>
      <c r="P162" s="695"/>
      <c r="Q162" s="699"/>
      <c r="R162" s="695"/>
      <c r="S162" s="697" t="str">
        <f>IFERROR(VLOOKUP($F162,product[],6,0),"error")</f>
        <v>카메라</v>
      </c>
      <c r="T162" s="695"/>
      <c r="U162" s="695"/>
      <c r="V162" s="695">
        <f>YEAR(tbl_해외[[#This Row],[선적일]])</f>
        <v>1900</v>
      </c>
      <c r="W162" s="696">
        <f>IF(tbl_해외[[#This Row],[선적일]]="",0,MONTH(tbl_해외[[#This Row],[선적일]]))</f>
        <v>0</v>
      </c>
      <c r="X162" s="697" t="str">
        <f>IF($S162="카메라",VLOOKUP($F162,드롭다운!$A:$F,2,0),"")</f>
        <v>VGA</v>
      </c>
      <c r="Y162" s="697" t="str">
        <f>IF($S162="카메라",VLOOKUP($F162,드롭다운!$A:$F,3,0),"")</f>
        <v>Radiometric</v>
      </c>
      <c r="Z162" s="697" t="str">
        <f>IF($S162="카메라",VLOOKUP($F162,드롭다운!$A:$F,4,0),"")</f>
        <v>Analogue</v>
      </c>
      <c r="AA162" s="697">
        <f>IF($S162="카메라",VLOOKUP($F162,드롭다운!$A:$F,5,0),"")</f>
        <v>17</v>
      </c>
      <c r="AB162" s="697" t="s">
        <v>9270</v>
      </c>
      <c r="AC162" s="724" t="s">
        <v>9305</v>
      </c>
    </row>
    <row r="163" spans="1:29">
      <c r="A163" s="695">
        <v>45974</v>
      </c>
      <c r="B163" s="704">
        <v>2</v>
      </c>
      <c r="C163" s="696" t="str">
        <f>"EX"&amp;TEXT(tbl_해외[[#This Row],[발주일]],"yymmdd")&amp;"-"&amp;TEXT(tbl_해외[[#This Row],[일렬번호]],"00")</f>
        <v>EX251113-02</v>
      </c>
      <c r="D163" s="697" t="s">
        <v>232</v>
      </c>
      <c r="E163" s="697" t="s">
        <v>7942</v>
      </c>
      <c r="F163" s="697" t="s">
        <v>9268</v>
      </c>
      <c r="G163" s="697" t="s">
        <v>9269</v>
      </c>
      <c r="H163" s="698">
        <v>2</v>
      </c>
      <c r="I163" s="699">
        <v>3920</v>
      </c>
      <c r="J163" s="699">
        <f>I163*H163</f>
        <v>7840</v>
      </c>
      <c r="K163" s="700"/>
      <c r="L163" s="701">
        <f t="shared" si="7"/>
        <v>0</v>
      </c>
      <c r="M163" s="695"/>
      <c r="N163" s="702"/>
      <c r="O163" s="703"/>
      <c r="P163" s="695"/>
      <c r="Q163" s="699"/>
      <c r="R163" s="695"/>
      <c r="S163" s="697" t="str">
        <f>IFERROR(VLOOKUP($F163,product[],6,0),"error")</f>
        <v>카메라</v>
      </c>
      <c r="T163" s="695"/>
      <c r="U163" s="695"/>
      <c r="V163" s="695">
        <f>YEAR(tbl_해외[[#This Row],[선적일]])</f>
        <v>1900</v>
      </c>
      <c r="W163" s="696">
        <f>IF(tbl_해외[[#This Row],[선적일]]="",0,MONTH(tbl_해외[[#This Row],[선적일]]))</f>
        <v>0</v>
      </c>
      <c r="X163" s="697" t="str">
        <f>IF($S163="카메라",VLOOKUP($F163,드롭다운!$A:$F,2,0),"")</f>
        <v>VGA</v>
      </c>
      <c r="Y163" s="697" t="str">
        <f>IF($S163="카메라",VLOOKUP($F163,드롭다운!$A:$F,3,0),"")</f>
        <v>Radiometric</v>
      </c>
      <c r="Z163" s="697" t="str">
        <f>IF($S163="카메라",VLOOKUP($F163,드롭다운!$A:$F,4,0),"")</f>
        <v>Analogue</v>
      </c>
      <c r="AA163" s="697">
        <f>IF($S163="카메라",VLOOKUP($F163,드롭다운!$A:$F,5,0),"")</f>
        <v>17</v>
      </c>
      <c r="AB163" s="697" t="s">
        <v>9273</v>
      </c>
      <c r="AC163" s="724" t="s">
        <v>9305</v>
      </c>
    </row>
    <row r="164" spans="1:29">
      <c r="A164" s="695">
        <v>45974</v>
      </c>
      <c r="B164" s="704">
        <v>2</v>
      </c>
      <c r="C164" s="696" t="str">
        <f>"EX"&amp;TEXT(tbl_해외[[#This Row],[발주일]],"yymmdd")&amp;"-"&amp;TEXT(tbl_해외[[#This Row],[일렬번호]],"00")</f>
        <v>EX251113-02</v>
      </c>
      <c r="D164" s="697" t="s">
        <v>232</v>
      </c>
      <c r="E164" s="697" t="s">
        <v>7533</v>
      </c>
      <c r="F164" s="697" t="s">
        <v>9271</v>
      </c>
      <c r="G164" s="697" t="s">
        <v>9272</v>
      </c>
      <c r="H164" s="698">
        <v>2</v>
      </c>
      <c r="I164" s="699">
        <v>590</v>
      </c>
      <c r="J164" s="699">
        <f t="shared" ref="J164:J166" si="9">I164*H164</f>
        <v>1180</v>
      </c>
      <c r="K164" s="700"/>
      <c r="L164" s="701">
        <f t="shared" si="7"/>
        <v>0</v>
      </c>
      <c r="M164" s="695"/>
      <c r="N164" s="702"/>
      <c r="O164" s="703"/>
      <c r="P164" s="695"/>
      <c r="Q164" s="699"/>
      <c r="R164" s="695"/>
      <c r="S164" s="697" t="str">
        <f>IFERROR(VLOOKUP($F164,product[],6,0),"error")</f>
        <v>error</v>
      </c>
      <c r="T164" s="695"/>
      <c r="U164" s="695"/>
      <c r="V164" s="695">
        <f>YEAR(tbl_해외[[#This Row],[선적일]])</f>
        <v>1900</v>
      </c>
      <c r="W164" s="696">
        <f>IF(tbl_해외[[#This Row],[선적일]]="",0,MONTH(tbl_해외[[#This Row],[선적일]]))</f>
        <v>0</v>
      </c>
      <c r="X164" s="697" t="str">
        <f>IF($S164="카메라",VLOOKUP($F164,드롭다운!$A:$F,2,0),"")</f>
        <v/>
      </c>
      <c r="Y164" s="697" t="str">
        <f>IF($S164="카메라",VLOOKUP($F164,드롭다운!$A:$F,3,0),"")</f>
        <v/>
      </c>
      <c r="Z164" s="697" t="str">
        <f>IF($S164="카메라",VLOOKUP($F164,드롭다운!$A:$F,4,0),"")</f>
        <v/>
      </c>
      <c r="AA164" s="697" t="str">
        <f>IF($S164="카메라",VLOOKUP($F164,드롭다운!$A:$F,5,0),"")</f>
        <v/>
      </c>
      <c r="AB164" s="697" t="s">
        <v>9273</v>
      </c>
      <c r="AC164" s="724" t="s">
        <v>9305</v>
      </c>
    </row>
    <row r="165" spans="1:29">
      <c r="A165" s="572">
        <v>45982</v>
      </c>
      <c r="B165" s="573" t="s">
        <v>359</v>
      </c>
      <c r="C165" s="608" t="s">
        <v>9312</v>
      </c>
      <c r="D165" s="677" t="s">
        <v>110</v>
      </c>
      <c r="E165" s="677" t="s">
        <v>8877</v>
      </c>
      <c r="F165" s="677" t="s">
        <v>8881</v>
      </c>
      <c r="G165" s="677" t="s">
        <v>9313</v>
      </c>
      <c r="H165" s="759">
        <v>1</v>
      </c>
      <c r="I165" s="760">
        <v>1200</v>
      </c>
      <c r="J165" s="760">
        <v>1200</v>
      </c>
      <c r="K165" s="761"/>
      <c r="L165" s="653"/>
      <c r="M165" s="572"/>
      <c r="N165" s="609"/>
      <c r="O165" s="762"/>
      <c r="P165" s="572"/>
      <c r="Q165" s="760"/>
      <c r="R165" s="677"/>
      <c r="S165" s="677" t="str">
        <f>IFERROR(VLOOKUP($F165,product[],6,0),"error")</f>
        <v>error</v>
      </c>
      <c r="T165" s="572"/>
      <c r="U165" s="572"/>
      <c r="V165" s="572">
        <f>YEAR(tbl_해외[[#This Row],[선적일]])</f>
        <v>1900</v>
      </c>
      <c r="W165" s="608">
        <f>IF(tbl_해외[[#This Row],[선적일]]="",0,MONTH(tbl_해외[[#This Row],[선적일]]))</f>
        <v>0</v>
      </c>
      <c r="X165" s="677" t="str">
        <f>IF($S165="카메라",VLOOKUP($F165,드롭다운!$A:$F,2,0),"")</f>
        <v/>
      </c>
      <c r="Y165" s="677" t="str">
        <f>IF($S165="카메라",VLOOKUP($F165,드롭다운!$A:$F,3,0),"")</f>
        <v/>
      </c>
      <c r="Z165" s="677" t="str">
        <f>IF($S165="카메라",VLOOKUP($F165,드롭다운!$A:$F,4,0),"")</f>
        <v/>
      </c>
      <c r="AA165" s="677" t="str">
        <f>IF($S165="카메라",VLOOKUP($F165,드롭다운!$A:$F,5,0),"")</f>
        <v/>
      </c>
      <c r="AB165" s="677"/>
      <c r="AC165" s="690"/>
    </row>
    <row r="166" spans="1:29">
      <c r="A166" s="572">
        <v>45982</v>
      </c>
      <c r="B166" s="573">
        <v>1</v>
      </c>
      <c r="C166" s="696" t="str">
        <f>"EX"&amp;TEXT(tbl_해외[[#This Row],[발주일]],"yymmdd")&amp;"-"&amp;TEXT(tbl_해외[[#This Row],[일렬번호]],"00")</f>
        <v>EX251121-01</v>
      </c>
      <c r="D166" s="677" t="s">
        <v>110</v>
      </c>
      <c r="E166" s="677" t="s">
        <v>7942</v>
      </c>
      <c r="F166" s="677" t="s">
        <v>9319</v>
      </c>
      <c r="G166" s="677" t="s">
        <v>9320</v>
      </c>
      <c r="H166" s="759">
        <v>1</v>
      </c>
      <c r="I166" s="760">
        <v>2950</v>
      </c>
      <c r="J166" s="699">
        <f t="shared" si="9"/>
        <v>2950</v>
      </c>
      <c r="K166" s="761"/>
      <c r="L166" s="653"/>
      <c r="M166" s="572"/>
      <c r="N166" s="609"/>
      <c r="O166" s="762"/>
      <c r="P166" s="572"/>
      <c r="Q166" s="760"/>
      <c r="R166" s="677"/>
      <c r="S166" s="677" t="str">
        <f>IFERROR(VLOOKUP($F166,product[],6,0),"error")</f>
        <v>카메라</v>
      </c>
      <c r="T166" s="572"/>
      <c r="U166" s="572"/>
      <c r="V166" s="572">
        <f>YEAR(tbl_해외[[#This Row],[선적일]])</f>
        <v>1900</v>
      </c>
      <c r="W166" s="608">
        <f>IF(tbl_해외[[#This Row],[선적일]]="",0,MONTH(tbl_해외[[#This Row],[선적일]]))</f>
        <v>0</v>
      </c>
      <c r="X166" s="677" t="str">
        <f>IF($S166="카메라",VLOOKUP($F166,드롭다운!$A:$F,2,0),"")</f>
        <v>QVGA</v>
      </c>
      <c r="Y166" s="677" t="str">
        <f>IF($S166="카메라",VLOOKUP($F166,드롭다운!$A:$F,3,0),"")</f>
        <v>Radiometric</v>
      </c>
      <c r="Z166" s="677" t="str">
        <f>IF($S166="카메라",VLOOKUP($F166,드롭다운!$A:$F,4,0),"")</f>
        <v>Analogue</v>
      </c>
      <c r="AA166" s="677">
        <f>IF($S166="카메라",VLOOKUP($F166,드롭다운!$A:$F,5,0),"")</f>
        <v>17</v>
      </c>
      <c r="AB166" s="677" t="s">
        <v>9321</v>
      </c>
      <c r="AC166" s="690"/>
    </row>
    <row r="167" spans="1:29">
      <c r="A167" s="572">
        <v>45985</v>
      </c>
      <c r="B167" s="573" t="s">
        <v>359</v>
      </c>
      <c r="C167" s="608" t="s">
        <v>9327</v>
      </c>
      <c r="D167" s="677" t="s">
        <v>9328</v>
      </c>
      <c r="E167" s="677" t="s">
        <v>8877</v>
      </c>
      <c r="F167" s="677" t="s">
        <v>8881</v>
      </c>
      <c r="G167" s="677" t="s">
        <v>9329</v>
      </c>
      <c r="H167" s="759">
        <v>1</v>
      </c>
      <c r="I167" s="760">
        <v>450</v>
      </c>
      <c r="J167" s="760">
        <v>450</v>
      </c>
      <c r="K167" s="761"/>
      <c r="L167" s="653"/>
      <c r="M167" s="572"/>
      <c r="N167" s="609"/>
      <c r="O167" s="762"/>
      <c r="P167" s="572"/>
      <c r="Q167" s="760"/>
      <c r="R167" s="677"/>
      <c r="S167" s="677" t="str">
        <f>IFERROR(VLOOKUP($F167,product[],6,0),"error")</f>
        <v>error</v>
      </c>
      <c r="T167" s="572"/>
      <c r="U167" s="572"/>
      <c r="V167" s="572">
        <f>YEAR(tbl_해외[[#This Row],[선적일]])</f>
        <v>1900</v>
      </c>
      <c r="W167" s="608">
        <f>IF(tbl_해외[[#This Row],[선적일]]="",0,MONTH(tbl_해외[[#This Row],[선적일]]))</f>
        <v>0</v>
      </c>
      <c r="X167" s="677" t="str">
        <f>IF($S167="카메라",VLOOKUP($F167,드롭다운!$A:$F,2,0),"")</f>
        <v/>
      </c>
      <c r="Y167" s="677" t="str">
        <f>IF($S167="카메라",VLOOKUP($F167,드롭다운!$A:$F,3,0),"")</f>
        <v/>
      </c>
      <c r="Z167" s="677" t="str">
        <f>IF($S167="카메라",VLOOKUP($F167,드롭다운!$A:$F,4,0),"")</f>
        <v/>
      </c>
      <c r="AA167" s="677" t="str">
        <f>IF($S167="카메라",VLOOKUP($F167,드롭다운!$A:$F,5,0),"")</f>
        <v/>
      </c>
      <c r="AB167" s="677" t="s">
        <v>9330</v>
      </c>
      <c r="AC167" s="690"/>
    </row>
  </sheetData>
  <phoneticPr fontId="12" type="noConversion"/>
  <conditionalFormatting sqref="G120:G141 G154 G143:G145">
    <cfRule type="expression" dxfId="14" priority="7">
      <formula>$R120="카메라"</formula>
    </cfRule>
  </conditionalFormatting>
  <conditionalFormatting sqref="J165 J167:J1048576">
    <cfRule type="expression" dxfId="13" priority="5">
      <formula>$W165="카메라"</formula>
    </cfRule>
  </conditionalFormatting>
  <conditionalFormatting sqref="H1:H167">
    <cfRule type="expression" dxfId="12" priority="17">
      <formula>$S1="카메라"</formula>
    </cfRule>
  </conditionalFormatting>
  <conditionalFormatting sqref="K116">
    <cfRule type="expression" dxfId="11" priority="19">
      <formula>$Y116="카메라"</formula>
    </cfRule>
  </conditionalFormatting>
  <conditionalFormatting sqref="G169:G1048576">
    <cfRule type="expression" dxfId="10" priority="24">
      <formula>$R167="카메라"</formula>
    </cfRule>
  </conditionalFormatting>
  <conditionalFormatting sqref="G158 G142:G152 G160:G164 G167">
    <cfRule type="expression" dxfId="9" priority="25">
      <formula>#REF!="카메라"</formula>
    </cfRule>
  </conditionalFormatting>
  <conditionalFormatting sqref="G145:G147">
    <cfRule type="expression" dxfId="8" priority="32">
      <formula>#REF!="카메라"</formula>
    </cfRule>
  </conditionalFormatting>
  <conditionalFormatting sqref="G147">
    <cfRule type="expression" dxfId="7" priority="37">
      <formula>$R142="카메라"</formula>
    </cfRule>
  </conditionalFormatting>
  <conditionalFormatting sqref="G158:G159">
    <cfRule type="expression" dxfId="6" priority="42">
      <formula>#REF!="카메라"</formula>
    </cfRule>
  </conditionalFormatting>
  <conditionalFormatting sqref="G153">
    <cfRule type="expression" dxfId="5" priority="68">
      <formula>$R147="카메라"</formula>
    </cfRule>
  </conditionalFormatting>
  <conditionalFormatting sqref="G159">
    <cfRule type="expression" dxfId="4" priority="83">
      <formula>$R146="카메라"</formula>
    </cfRule>
  </conditionalFormatting>
  <conditionalFormatting sqref="G160">
    <cfRule type="expression" dxfId="3" priority="3">
      <formula>#REF!="카메라"</formula>
    </cfRule>
  </conditionalFormatting>
  <conditionalFormatting sqref="G165:G166">
    <cfRule type="expression" dxfId="2" priority="88">
      <formula>#REF!="카메라"</formula>
    </cfRule>
  </conditionalFormatting>
  <conditionalFormatting sqref="G168">
    <cfRule type="expression" dxfId="1" priority="112">
      <formula>#REF!="카메라"</formula>
    </cfRule>
  </conditionalFormatting>
  <dataValidations count="1">
    <dataValidation type="list" allowBlank="1" showInputMessage="1" showErrorMessage="1" sqref="D25:D41 D52:D57 D2:D23 D43:D50 D123:D124 D155:D157 D153 D60:D120" xr:uid="{035F7274-67EC-4AEB-A87D-BCAF12451360}">
      <formula1>INDIRECT("업체db[업체명]")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25" fitToHeight="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A924E-2DD9-43AB-A2B9-202C00B88CB8}">
  <sheetPr codeName="Sheet9">
    <tabColor theme="9"/>
    <pageSetUpPr fitToPage="1"/>
  </sheetPr>
  <dimension ref="A1:K28"/>
  <sheetViews>
    <sheetView showGridLines="0" zoomScale="96" zoomScaleNormal="96" workbookViewId="0">
      <selection activeCell="D4" sqref="D4"/>
    </sheetView>
  </sheetViews>
  <sheetFormatPr defaultRowHeight="16.5"/>
  <cols>
    <col min="1" max="1" width="11.75" style="134" bestFit="1" customWidth="1"/>
    <col min="2" max="2" width="13.5" style="152" bestFit="1" customWidth="1"/>
    <col min="3" max="3" width="17.875" style="149" bestFit="1" customWidth="1"/>
    <col min="4" max="4" width="25.5" style="1" bestFit="1" customWidth="1"/>
    <col min="5" max="5" width="13.75" style="1" bestFit="1" customWidth="1"/>
    <col min="6" max="6" width="32.125" style="1" bestFit="1" customWidth="1"/>
    <col min="7" max="7" width="32.875" style="1" bestFit="1" customWidth="1"/>
    <col min="8" max="8" width="10" style="1" bestFit="1" customWidth="1"/>
    <col min="9" max="9" width="15.25" style="143" bestFit="1" customWidth="1"/>
    <col min="10" max="10" width="11.75" style="134" bestFit="1" customWidth="1"/>
    <col min="11" max="11" width="11.625" bestFit="1" customWidth="1"/>
  </cols>
  <sheetData>
    <row r="1" spans="1:11" ht="32.25" customHeight="1">
      <c r="A1" s="424" t="s">
        <v>7587</v>
      </c>
      <c r="B1" s="425" t="s">
        <v>7540</v>
      </c>
      <c r="C1" s="426" t="s">
        <v>7541</v>
      </c>
      <c r="D1" s="427" t="s">
        <v>6</v>
      </c>
      <c r="E1" s="427" t="s">
        <v>7955</v>
      </c>
      <c r="F1" s="427" t="s">
        <v>0</v>
      </c>
      <c r="G1" s="427" t="s">
        <v>7542</v>
      </c>
      <c r="H1" s="428" t="s">
        <v>1</v>
      </c>
      <c r="I1" s="429" t="s">
        <v>48</v>
      </c>
      <c r="J1" s="430" t="s">
        <v>8</v>
      </c>
      <c r="K1" s="434" t="s">
        <v>8041</v>
      </c>
    </row>
    <row r="2" spans="1:11">
      <c r="A2" s="421">
        <v>45582</v>
      </c>
      <c r="B2" s="150">
        <v>1</v>
      </c>
      <c r="C2" s="151" t="str">
        <f>"RT"&amp;TEXT(대여!$A2,"yymmdd")&amp;"-"&amp;TEXT(대여!$B2,"00")</f>
        <v>RT241017-01</v>
      </c>
      <c r="D2" s="138" t="s">
        <v>5389</v>
      </c>
      <c r="E2" s="138" t="s">
        <v>7572</v>
      </c>
      <c r="F2" s="138" t="s">
        <v>8020</v>
      </c>
      <c r="G2" s="138" t="s">
        <v>8021</v>
      </c>
      <c r="H2" s="138">
        <v>4</v>
      </c>
      <c r="I2" s="140"/>
      <c r="J2" s="141"/>
      <c r="K2" s="431"/>
    </row>
    <row r="3" spans="1:11">
      <c r="A3" s="422">
        <v>45587</v>
      </c>
      <c r="B3" s="420">
        <f>IF(MONTH(A2)=MONTH(대여!$A3),IF(D2=대여!$D3,B2,B2+1),"01")</f>
        <v>2</v>
      </c>
      <c r="C3" s="418" t="str">
        <f>"RT"&amp;TEXT(대여!$A3,"yymmdd")&amp;"-"&amp;TEXT(대여!$B3,"00")</f>
        <v>RT241022-02</v>
      </c>
      <c r="D3" s="413" t="s">
        <v>5390</v>
      </c>
      <c r="E3" s="413" t="s">
        <v>7572</v>
      </c>
      <c r="F3" s="413" t="s">
        <v>8020</v>
      </c>
      <c r="G3" s="413" t="s">
        <v>8029</v>
      </c>
      <c r="H3" s="413">
        <v>1</v>
      </c>
      <c r="I3" s="416"/>
      <c r="J3" s="417"/>
      <c r="K3" s="432"/>
    </row>
    <row r="4" spans="1:11">
      <c r="A4" s="422">
        <v>45587</v>
      </c>
      <c r="B4" s="420">
        <f>IF(MONTH(A3)=MONTH(대여!$A4),IF(D3=대여!$D4,B3,B3+1),"01")</f>
        <v>3</v>
      </c>
      <c r="C4" s="418" t="str">
        <f>"RT"&amp;TEXT(대여!$A4,"yymmdd")&amp;"-"&amp;TEXT(대여!$B4,"00")</f>
        <v>RT241022-03</v>
      </c>
      <c r="D4" s="413" t="s">
        <v>194</v>
      </c>
      <c r="E4" s="413" t="s">
        <v>7572</v>
      </c>
      <c r="F4" s="413" t="s">
        <v>8039</v>
      </c>
      <c r="G4" s="413" t="s">
        <v>8040</v>
      </c>
      <c r="H4" s="413">
        <v>1</v>
      </c>
      <c r="I4" s="416">
        <v>45595</v>
      </c>
      <c r="J4" s="416">
        <v>45595</v>
      </c>
      <c r="K4" s="459">
        <v>45603</v>
      </c>
    </row>
    <row r="5" spans="1:11">
      <c r="A5" s="421">
        <v>45587</v>
      </c>
      <c r="B5" s="420">
        <f>IF(MONTH(A4)=MONTH(대여!$A5),IF(D4=대여!$D5,B4,B4+1),"01")</f>
        <v>3</v>
      </c>
      <c r="C5" s="151" t="str">
        <f>"RT"&amp;TEXT(대여!$A5,"yymmdd")&amp;"-"&amp;TEXT(대여!$B5,"00")</f>
        <v>RT241022-03</v>
      </c>
      <c r="D5" s="138" t="s">
        <v>194</v>
      </c>
      <c r="E5" s="138" t="s">
        <v>7570</v>
      </c>
      <c r="F5" s="138" t="s">
        <v>8040</v>
      </c>
      <c r="G5" s="138" t="s">
        <v>8042</v>
      </c>
      <c r="H5" s="138">
        <v>1</v>
      </c>
      <c r="I5" s="416">
        <v>45595</v>
      </c>
      <c r="J5" s="416">
        <v>45595</v>
      </c>
      <c r="K5" s="460">
        <v>45603</v>
      </c>
    </row>
    <row r="6" spans="1:11">
      <c r="A6" s="422">
        <v>45595</v>
      </c>
      <c r="B6" s="420">
        <f>IF(MONTH(A5)=MONTH(대여!$A6),IF(D5=대여!$D6,B5,B5+1),"01")</f>
        <v>4</v>
      </c>
      <c r="C6" s="418" t="str">
        <f>"RT"&amp;TEXT(대여!$A6,"yymmdd")&amp;"-"&amp;TEXT(대여!$B6,"00")</f>
        <v>RT241030-04</v>
      </c>
      <c r="D6" s="413" t="s">
        <v>8084</v>
      </c>
      <c r="E6" s="413" t="s">
        <v>7572</v>
      </c>
      <c r="F6" s="413" t="s">
        <v>8085</v>
      </c>
      <c r="G6" s="413" t="s">
        <v>8086</v>
      </c>
      <c r="H6" s="413">
        <v>2</v>
      </c>
      <c r="I6" s="416"/>
      <c r="J6" s="417"/>
      <c r="K6" s="433"/>
    </row>
    <row r="7" spans="1:11">
      <c r="A7" s="422">
        <v>45597</v>
      </c>
      <c r="B7" s="420" t="str">
        <f>IF(MONTH(A6)=MONTH(대여!$A7),IF(D6=대여!$D7,B6,B6+1),"01")</f>
        <v>01</v>
      </c>
      <c r="C7" s="418" t="str">
        <f>"RT"&amp;TEXT(대여!$A7,"yymmdd")&amp;"-"&amp;TEXT(대여!$B7,"00")</f>
        <v>RT241101-01</v>
      </c>
      <c r="D7" s="413" t="s">
        <v>5390</v>
      </c>
      <c r="E7" s="413" t="s">
        <v>7572</v>
      </c>
      <c r="F7" s="413" t="s">
        <v>8117</v>
      </c>
      <c r="G7" s="413" t="s">
        <v>8118</v>
      </c>
      <c r="H7" s="413">
        <v>1</v>
      </c>
      <c r="I7" s="416"/>
      <c r="J7" s="417"/>
      <c r="K7" s="433"/>
    </row>
    <row r="8" spans="1:11">
      <c r="A8" s="461">
        <v>45625</v>
      </c>
      <c r="B8" s="478">
        <f>IF(MONTH(A7)=MONTH(대여!$A8),IF(D7=대여!$D8,B7,B7+1),"01")</f>
        <v>2</v>
      </c>
      <c r="C8" s="472" t="str">
        <f>"RT"&amp;TEXT(대여!$A8,"yymmdd")&amp;"-"&amp;TEXT(대여!$B8,"00")</f>
        <v>RT241129-02</v>
      </c>
      <c r="D8" s="462" t="s">
        <v>8235</v>
      </c>
      <c r="E8" s="462" t="s">
        <v>7572</v>
      </c>
      <c r="F8" s="462" t="s">
        <v>8237</v>
      </c>
      <c r="G8" s="462" t="s">
        <v>8238</v>
      </c>
      <c r="H8" s="462">
        <v>1</v>
      </c>
      <c r="I8" s="468"/>
      <c r="J8" s="469"/>
      <c r="K8" s="480">
        <v>45625</v>
      </c>
    </row>
    <row r="9" spans="1:11">
      <c r="A9" s="421">
        <v>45625</v>
      </c>
      <c r="B9" s="478">
        <f>IF(MONTH(A8)=MONTH(대여!$A9),IF(D8=대여!$D9,B8,B8+1),"01")</f>
        <v>2</v>
      </c>
      <c r="C9" s="151" t="str">
        <f>"RT"&amp;TEXT(대여!$A9,"yymmdd")&amp;"-"&amp;TEXT(대여!$B9,"00")</f>
        <v>RT241129-02</v>
      </c>
      <c r="D9" s="138" t="s">
        <v>8235</v>
      </c>
      <c r="E9" s="138" t="s">
        <v>7572</v>
      </c>
      <c r="F9" s="138" t="s">
        <v>8237</v>
      </c>
      <c r="G9" s="138" t="s">
        <v>8239</v>
      </c>
      <c r="H9" s="138">
        <v>1</v>
      </c>
      <c r="I9" s="140"/>
      <c r="J9" s="141"/>
      <c r="K9" s="460">
        <v>45625</v>
      </c>
    </row>
    <row r="10" spans="1:11">
      <c r="A10" s="461">
        <v>45625</v>
      </c>
      <c r="B10" s="478">
        <f>IF(MONTH(A9)=MONTH(대여!$A10),IF(D9=대여!$D10,B9,B9+1),"01")</f>
        <v>3</v>
      </c>
      <c r="C10" s="472" t="str">
        <f>"RT"&amp;TEXT(대여!$A10,"yymmdd")&amp;"-"&amp;TEXT(대여!$B10,"00")</f>
        <v>RT241129-03</v>
      </c>
      <c r="D10" s="462" t="s">
        <v>7948</v>
      </c>
      <c r="E10" s="462" t="s">
        <v>7572</v>
      </c>
      <c r="F10" s="462" t="s">
        <v>8237</v>
      </c>
      <c r="G10" s="462" t="s">
        <v>8240</v>
      </c>
      <c r="H10" s="462">
        <v>1</v>
      </c>
      <c r="I10" s="468"/>
      <c r="J10" s="469"/>
      <c r="K10" s="479"/>
    </row>
    <row r="11" spans="1:11">
      <c r="A11" s="421">
        <v>45625</v>
      </c>
      <c r="B11" s="478">
        <f>IF(MONTH(A10)=MONTH(대여!$A11),IF(D10=대여!$D11,B10,B10+1),"01")</f>
        <v>3</v>
      </c>
      <c r="C11" s="151" t="str">
        <f>"RT"&amp;TEXT(대여!$A11,"yymmdd")&amp;"-"&amp;TEXT(대여!$B11,"00")</f>
        <v>RT241129-03</v>
      </c>
      <c r="D11" s="138" t="s">
        <v>7948</v>
      </c>
      <c r="E11" s="138" t="s">
        <v>7572</v>
      </c>
      <c r="F11" s="138" t="s">
        <v>8237</v>
      </c>
      <c r="G11" s="138" t="s">
        <v>8241</v>
      </c>
      <c r="H11" s="138">
        <v>1</v>
      </c>
      <c r="I11" s="140"/>
      <c r="J11" s="141"/>
      <c r="K11" s="432"/>
    </row>
    <row r="12" spans="1:11">
      <c r="A12" s="461">
        <v>45715</v>
      </c>
      <c r="B12" s="478" t="str">
        <f>IF(MONTH(A11)=MONTH(대여!$A12),IF(D11=대여!$D12,B11,B11+1),"01")</f>
        <v>01</v>
      </c>
      <c r="C12" s="472" t="str">
        <f>"RT"&amp;TEXT(대여!$A12,"yymmdd")&amp;"-"&amp;TEXT(대여!$B12,"00")</f>
        <v>RT250227-01</v>
      </c>
      <c r="D12" s="462" t="s">
        <v>7967</v>
      </c>
      <c r="E12" s="138" t="s">
        <v>7572</v>
      </c>
      <c r="F12" s="462" t="s">
        <v>8566</v>
      </c>
      <c r="G12" s="462" t="s">
        <v>8567</v>
      </c>
      <c r="H12" s="462">
        <v>2</v>
      </c>
      <c r="I12" s="468"/>
      <c r="J12" s="469"/>
      <c r="K12" s="479"/>
    </row>
    <row r="13" spans="1:11">
      <c r="A13" s="461">
        <v>45720</v>
      </c>
      <c r="B13" s="478" t="str">
        <f>IF(MONTH(A12)=MONTH(대여!$A13),IF(D12=대여!$D13,B12,B12+1),"01")</f>
        <v>01</v>
      </c>
      <c r="C13" s="472" t="str">
        <f>"RT"&amp;TEXT(대여!$A13,"yymmdd")&amp;"-"&amp;TEXT(대여!$B13,"00")</f>
        <v>RT250304-01</v>
      </c>
      <c r="D13" s="462" t="s">
        <v>8235</v>
      </c>
      <c r="E13" s="462" t="s">
        <v>7572</v>
      </c>
      <c r="F13" s="462" t="s">
        <v>251</v>
      </c>
      <c r="G13" s="462" t="s">
        <v>7565</v>
      </c>
      <c r="H13" s="462">
        <v>1</v>
      </c>
      <c r="I13" s="468"/>
      <c r="J13" s="469"/>
      <c r="K13" s="480"/>
    </row>
    <row r="14" spans="1:11">
      <c r="A14" s="461">
        <v>45729</v>
      </c>
      <c r="B14" s="478">
        <f>IF(MONTH(A13)=MONTH(대여!$A14),IF(D13=대여!$D14,B13,B13+1),"01")</f>
        <v>2</v>
      </c>
      <c r="C14" s="472" t="str">
        <f>"RT"&amp;TEXT(대여!$A14,"yymmdd")&amp;"-"&amp;TEXT(대여!$B14,"00")</f>
        <v>RT250313-02</v>
      </c>
      <c r="D14" s="462" t="s">
        <v>8596</v>
      </c>
      <c r="E14" s="462" t="s">
        <v>7572</v>
      </c>
      <c r="F14" s="462" t="s">
        <v>8598</v>
      </c>
      <c r="G14" s="462" t="s">
        <v>8599</v>
      </c>
      <c r="H14" s="462">
        <v>1</v>
      </c>
      <c r="I14" s="468"/>
      <c r="J14" s="469"/>
      <c r="K14" s="479"/>
    </row>
    <row r="15" spans="1:11">
      <c r="A15" s="461">
        <v>45803</v>
      </c>
      <c r="B15" s="478" t="str">
        <f>IF(MONTH(A14)=MONTH(대여!$A15),IF(D14=대여!$D15,B14,B14+1),"01")</f>
        <v>01</v>
      </c>
      <c r="C15" s="472" t="str">
        <f>"RT"&amp;TEXT(대여!$A15,"yymmdd")&amp;"-"&amp;TEXT(대여!$B15,"00")</f>
        <v>RT250526-01</v>
      </c>
      <c r="D15" s="462" t="s">
        <v>7948</v>
      </c>
      <c r="E15" s="462" t="s">
        <v>8119</v>
      </c>
      <c r="F15" s="462" t="s">
        <v>116</v>
      </c>
      <c r="G15" s="462" t="s">
        <v>7545</v>
      </c>
      <c r="H15" s="462">
        <v>2</v>
      </c>
      <c r="I15" s="468"/>
      <c r="J15" s="469"/>
      <c r="K15" s="479"/>
    </row>
    <row r="16" spans="1:11">
      <c r="A16" s="461">
        <v>45806</v>
      </c>
      <c r="B16" s="478">
        <f>IF(MONTH(A15)=MONTH(대여!$A16),IF(D15=대여!$D16,B15,B15+1),"01")</f>
        <v>2</v>
      </c>
      <c r="C16" s="472" t="str">
        <f>"RT"&amp;TEXT(대여!$A16,"yymmdd")&amp;"-"&amp;TEXT(대여!$B16,"00")</f>
        <v>RT250529-02</v>
      </c>
      <c r="D16" s="462" t="s">
        <v>8691</v>
      </c>
      <c r="E16" s="462" t="s">
        <v>7572</v>
      </c>
      <c r="F16" s="462" t="s">
        <v>8692</v>
      </c>
      <c r="G16" s="462" t="s">
        <v>8693</v>
      </c>
      <c r="H16" s="462">
        <v>2</v>
      </c>
      <c r="I16" s="468"/>
      <c r="J16" s="469"/>
      <c r="K16" s="479"/>
    </row>
    <row r="17" spans="1:11">
      <c r="A17" s="461">
        <v>45821</v>
      </c>
      <c r="B17" s="478" t="str">
        <f>IF(MONTH(A16)=MONTH(대여!$A17),IF(D16=대여!$D17,B16,B16+1),"01")</f>
        <v>01</v>
      </c>
      <c r="C17" s="472" t="str">
        <f>"RT"&amp;TEXT(대여!$A17,"yymmdd")&amp;"-"&amp;TEXT(대여!$B17,"00")</f>
        <v>RT250613-01</v>
      </c>
      <c r="D17" s="462" t="s">
        <v>8596</v>
      </c>
      <c r="E17" s="462" t="s">
        <v>7572</v>
      </c>
      <c r="F17" s="462" t="s">
        <v>8598</v>
      </c>
      <c r="G17" s="462" t="s">
        <v>8599</v>
      </c>
      <c r="H17" s="462">
        <v>1</v>
      </c>
      <c r="I17" s="468">
        <v>45778</v>
      </c>
      <c r="J17" s="468">
        <v>45778</v>
      </c>
      <c r="K17" s="480">
        <v>45821</v>
      </c>
    </row>
    <row r="18" spans="1:11">
      <c r="A18" s="421">
        <v>45821</v>
      </c>
      <c r="B18" s="478" t="str">
        <f>IF(MONTH(A17)=MONTH(대여!$A18),IF(D17=대여!$D18,B17,B17+1),"01")</f>
        <v>01</v>
      </c>
      <c r="C18" s="151" t="str">
        <f>"RT"&amp;TEXT(대여!$A18,"yymmdd")&amp;"-"&amp;TEXT(대여!$B18,"00")</f>
        <v>RT250613-01</v>
      </c>
      <c r="D18" s="138" t="s">
        <v>8596</v>
      </c>
      <c r="E18" s="138" t="s">
        <v>7572</v>
      </c>
      <c r="F18" s="138" t="s">
        <v>7214</v>
      </c>
      <c r="G18" s="138" t="s">
        <v>8709</v>
      </c>
      <c r="H18" s="138">
        <v>1</v>
      </c>
      <c r="I18" s="468">
        <v>45778</v>
      </c>
      <c r="J18" s="468">
        <v>45778</v>
      </c>
      <c r="K18" s="460">
        <v>45821</v>
      </c>
    </row>
    <row r="19" spans="1:11">
      <c r="A19" s="461">
        <v>45825</v>
      </c>
      <c r="B19" s="478">
        <f>IF(MONTH(A18)=MONTH(대여!$A19),IF(D18=대여!$D19,B18,B18+1),"01")</f>
        <v>2</v>
      </c>
      <c r="C19" s="151" t="str">
        <f>"RT"&amp;TEXT(대여!$A19,"yymmdd")&amp;"-"&amp;TEXT(대여!$B19,"00")</f>
        <v>RT250617-02</v>
      </c>
      <c r="D19" s="462" t="s">
        <v>7967</v>
      </c>
      <c r="E19" s="138" t="s">
        <v>7572</v>
      </c>
      <c r="F19" s="462" t="s">
        <v>251</v>
      </c>
      <c r="G19" s="462" t="s">
        <v>8120</v>
      </c>
      <c r="H19" s="462">
        <v>2</v>
      </c>
      <c r="I19" s="468"/>
      <c r="J19" s="469"/>
      <c r="K19" s="479"/>
    </row>
    <row r="20" spans="1:11">
      <c r="A20" s="461">
        <v>45867</v>
      </c>
      <c r="B20" s="478" t="str">
        <f>IF(MONTH(A19)=MONTH(대여!$A20),IF(D19=대여!$D20,B19,B19+1),"01")</f>
        <v>01</v>
      </c>
      <c r="C20" s="472" t="str">
        <f>"RT"&amp;TEXT(대여!$A20,"yymmdd")&amp;"-"&amp;TEXT(대여!$B20,"00")</f>
        <v>RT250729-01</v>
      </c>
      <c r="D20" s="462" t="s">
        <v>9018</v>
      </c>
      <c r="E20" s="138" t="s">
        <v>7572</v>
      </c>
      <c r="F20" s="462" t="s">
        <v>9019</v>
      </c>
      <c r="G20" s="462" t="s">
        <v>9021</v>
      </c>
      <c r="H20" s="462">
        <v>1</v>
      </c>
      <c r="I20" s="468"/>
      <c r="J20" s="469"/>
      <c r="K20" s="479"/>
    </row>
    <row r="21" spans="1:11">
      <c r="A21" s="421">
        <v>45867</v>
      </c>
      <c r="B21" s="478" t="str">
        <f>IF(MONTH(A20)=MONTH(대여!$A21),IF(D20=대여!$D21,B20,B20+1),"01")</f>
        <v>01</v>
      </c>
      <c r="C21" s="151" t="str">
        <f>"RT"&amp;TEXT(대여!$A21,"yymmdd")&amp;"-"&amp;TEXT(대여!$B21,"00")</f>
        <v>RT250729-01</v>
      </c>
      <c r="D21" s="138" t="s">
        <v>9018</v>
      </c>
      <c r="E21" s="138" t="s">
        <v>7572</v>
      </c>
      <c r="F21" s="138" t="s">
        <v>9020</v>
      </c>
      <c r="G21" s="462" t="s">
        <v>9021</v>
      </c>
      <c r="H21" s="138">
        <v>1</v>
      </c>
      <c r="I21" s="140"/>
      <c r="J21" s="141"/>
      <c r="K21" s="432"/>
    </row>
    <row r="22" spans="1:11">
      <c r="A22" s="461">
        <v>45875</v>
      </c>
      <c r="B22" s="478" t="str">
        <f>IF(MONTH(A21)=MONTH(대여!$A22),IF(D21=대여!$D22,B21,B21+1),"01")</f>
        <v>01</v>
      </c>
      <c r="C22" s="472" t="str">
        <f>"RT"&amp;TEXT(대여!$A22,"yymmdd")&amp;"-"&amp;TEXT(대여!$B22,"00")</f>
        <v>RT250806-01</v>
      </c>
      <c r="D22" s="462" t="s">
        <v>5389</v>
      </c>
      <c r="E22" s="138" t="s">
        <v>7572</v>
      </c>
      <c r="F22" s="462" t="s">
        <v>9046</v>
      </c>
      <c r="G22" s="462" t="s">
        <v>8029</v>
      </c>
      <c r="H22" s="462">
        <v>1</v>
      </c>
      <c r="I22" s="468"/>
      <c r="J22" s="469"/>
      <c r="K22" s="479"/>
    </row>
    <row r="23" spans="1:11">
      <c r="A23" s="461">
        <v>45889</v>
      </c>
      <c r="B23" s="478">
        <f>IF(MONTH(A22)=MONTH(대여!$A23),IF(D22=대여!$D23,B22,B22+1),"01")</f>
        <v>2</v>
      </c>
      <c r="C23" s="472" t="str">
        <f>"RT"&amp;TEXT(대여!$A23,"yymmdd")&amp;"-"&amp;TEXT(대여!$B23,"00")</f>
        <v>RT250820-02</v>
      </c>
      <c r="D23" s="462" t="s">
        <v>7948</v>
      </c>
      <c r="E23" s="462" t="s">
        <v>8119</v>
      </c>
      <c r="F23" s="462" t="s">
        <v>116</v>
      </c>
      <c r="G23" s="462" t="s">
        <v>9064</v>
      </c>
      <c r="H23" s="462">
        <v>4</v>
      </c>
      <c r="I23" s="468">
        <v>45911</v>
      </c>
      <c r="J23" s="468">
        <v>45911</v>
      </c>
      <c r="K23" s="480">
        <v>45912</v>
      </c>
    </row>
    <row r="24" spans="1:11">
      <c r="A24" s="421">
        <v>45889</v>
      </c>
      <c r="B24" s="478">
        <f>IF(MONTH(A23)=MONTH(대여!$A24),IF(D23=대여!$D24,B23,B23+1),"01")</f>
        <v>2</v>
      </c>
      <c r="C24" s="151" t="str">
        <f>"RT"&amp;TEXT(대여!$A24,"yymmdd")&amp;"-"&amp;TEXT(대여!$B24,"00")</f>
        <v>RT250820-02</v>
      </c>
      <c r="D24" s="138" t="s">
        <v>7948</v>
      </c>
      <c r="E24" s="138" t="s">
        <v>8119</v>
      </c>
      <c r="F24" s="138" t="s">
        <v>116</v>
      </c>
      <c r="G24" s="138" t="s">
        <v>9063</v>
      </c>
      <c r="H24" s="138">
        <v>2</v>
      </c>
      <c r="I24" s="468">
        <v>45911</v>
      </c>
      <c r="J24" s="468">
        <v>45911</v>
      </c>
      <c r="K24" s="480">
        <v>45912</v>
      </c>
    </row>
    <row r="25" spans="1:11">
      <c r="A25" s="542">
        <v>45894</v>
      </c>
      <c r="B25" s="552">
        <f>IF(MONTH(A24)=MONTH(대여!$A25),IF(D24=대여!$D25,B24,B24+1),"01")</f>
        <v>3</v>
      </c>
      <c r="C25" s="543" t="str">
        <f>"RT"&amp;TEXT(대여!$A25,"yymmdd")&amp;"-"&amp;TEXT(대여!$B25,"00")</f>
        <v>RT250825-03</v>
      </c>
      <c r="D25" s="544" t="s">
        <v>127</v>
      </c>
      <c r="E25" s="138" t="s">
        <v>8119</v>
      </c>
      <c r="F25" s="544" t="s">
        <v>8260</v>
      </c>
      <c r="G25" s="544" t="s">
        <v>9084</v>
      </c>
      <c r="H25" s="544">
        <v>1</v>
      </c>
      <c r="I25" s="554"/>
      <c r="J25" s="549"/>
      <c r="K25" s="479"/>
    </row>
    <row r="26" spans="1:11">
      <c r="A26" s="564">
        <v>45950</v>
      </c>
      <c r="B26" s="602" t="str">
        <f>IF(MONTH(A25)=MONTH(대여!$A26),IF(D25=대여!$D26,B25,B25+1),"01")</f>
        <v>01</v>
      </c>
      <c r="C26" s="603" t="str">
        <f>"RT"&amp;TEXT(대여!$A26,"yymmdd")&amp;"-"&amp;TEXT(대여!$B26,"00")</f>
        <v>RT251020-01</v>
      </c>
      <c r="D26" s="462" t="s">
        <v>7967</v>
      </c>
      <c r="E26" s="138" t="s">
        <v>7572</v>
      </c>
      <c r="F26" s="462" t="s">
        <v>251</v>
      </c>
      <c r="G26" s="462" t="s">
        <v>8120</v>
      </c>
      <c r="H26" s="574">
        <v>1</v>
      </c>
      <c r="I26" s="613"/>
      <c r="J26" s="577"/>
      <c r="K26" s="614"/>
    </row>
    <row r="27" spans="1:11">
      <c r="A27" s="564">
        <v>45958</v>
      </c>
      <c r="B27" s="602">
        <f>IF(MONTH(A26)=MONTH(대여!$A27),IF(D26=대여!$D27,B26,B26+1),"01")</f>
        <v>2</v>
      </c>
      <c r="C27" s="603" t="str">
        <f>"RT"&amp;TEXT(대여!$A27,"yymmdd")&amp;"-"&amp;TEXT(대여!$B27,"00")</f>
        <v>RT251028-02</v>
      </c>
      <c r="D27" s="574" t="s">
        <v>9018</v>
      </c>
      <c r="E27" s="138" t="s">
        <v>7572</v>
      </c>
      <c r="F27" s="462" t="s">
        <v>251</v>
      </c>
      <c r="G27" s="462" t="s">
        <v>8120</v>
      </c>
      <c r="H27" s="574">
        <v>1</v>
      </c>
      <c r="I27" s="613"/>
      <c r="J27" s="577"/>
      <c r="K27" s="614"/>
    </row>
    <row r="28" spans="1:11">
      <c r="A28" s="564">
        <v>45978</v>
      </c>
      <c r="B28" s="602" t="str">
        <f>IF(MONTH(A27)=MONTH(대여!$A28),IF(D27=대여!$D28,B27,B27+1),"01")</f>
        <v>01</v>
      </c>
      <c r="C28" s="603" t="str">
        <f>"RT"&amp;TEXT(대여!$A28,"yymmdd")&amp;"-"&amp;TEXT(대여!$B28,"00")</f>
        <v>RT251117-01</v>
      </c>
      <c r="D28" s="574" t="s">
        <v>152</v>
      </c>
      <c r="E28" s="138" t="s">
        <v>7572</v>
      </c>
      <c r="F28" s="574" t="s">
        <v>9275</v>
      </c>
      <c r="G28" s="574" t="s">
        <v>9276</v>
      </c>
      <c r="H28" s="574">
        <v>1</v>
      </c>
      <c r="I28" s="613">
        <v>45975</v>
      </c>
      <c r="J28" s="613">
        <v>45975</v>
      </c>
      <c r="K28" s="614"/>
    </row>
  </sheetData>
  <phoneticPr fontId="13" type="noConversion"/>
  <conditionalFormatting sqref="H1:H1048576">
    <cfRule type="expression" dxfId="0" priority="5">
      <formula>#REF!="카메라"</formula>
    </cfRule>
  </conditionalFormatting>
  <dataValidations count="1">
    <dataValidation type="list" allowBlank="1" showInputMessage="1" showErrorMessage="1" sqref="D2:D1048576" xr:uid="{7F9944F0-896D-4AEA-AFC3-5EA282FC4A2F}">
      <formula1>INDIRECT("업체db[업체명]")</formula1>
    </dataValidation>
  </dataValidations>
  <pageMargins left="0.7" right="0.7" top="0.75" bottom="0.75" header="0.3" footer="0.3"/>
  <pageSetup paperSize="9" scale="61" fitToHeight="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E92E1-0078-462F-9624-8F46664A7B51}">
  <sheetPr codeName="Sheet10">
    <tabColor theme="9" tint="0.59999389629810485"/>
  </sheetPr>
  <dimension ref="B1:G50"/>
  <sheetViews>
    <sheetView showWhiteSpace="0" view="pageLayout" topLeftCell="B1" zoomScale="85" zoomScaleNormal="100" zoomScaleSheetLayoutView="70" zoomScalePageLayoutView="85" workbookViewId="0">
      <selection activeCell="T12" sqref="T12"/>
    </sheetView>
  </sheetViews>
  <sheetFormatPr defaultRowHeight="16.5"/>
  <cols>
    <col min="1" max="1" width="0" style="53" hidden="1" customWidth="1"/>
    <col min="2" max="2" width="18.875" style="53" customWidth="1"/>
    <col min="3" max="3" width="16.25" style="54" bestFit="1" customWidth="1"/>
    <col min="4" max="4" width="34.75" style="53" customWidth="1"/>
    <col min="5" max="5" width="6.875" style="53" customWidth="1"/>
    <col min="6" max="6" width="13.125" style="53" customWidth="1"/>
    <col min="7" max="7" width="20.125" style="53" bestFit="1" customWidth="1"/>
    <col min="8" max="8" width="5.875" style="53" bestFit="1" customWidth="1"/>
    <col min="9" max="16384" width="9" style="53"/>
  </cols>
  <sheetData>
    <row r="1" spans="2:7" ht="18" customHeight="1">
      <c r="B1" s="807" t="s">
        <v>7588</v>
      </c>
      <c r="C1" s="807"/>
      <c r="D1" s="807"/>
      <c r="E1" s="807"/>
      <c r="F1" s="807"/>
      <c r="G1" s="807"/>
    </row>
    <row r="2" spans="2:7" ht="18" customHeight="1">
      <c r="B2" s="807"/>
      <c r="C2" s="807"/>
      <c r="D2" s="807"/>
      <c r="E2" s="807"/>
      <c r="F2" s="807"/>
      <c r="G2" s="807"/>
    </row>
    <row r="3" spans="2:7" ht="17.25" thickBot="1"/>
    <row r="4" spans="2:7" ht="21" customHeight="1">
      <c r="B4" s="182" t="s">
        <v>7614</v>
      </c>
      <c r="C4" s="183"/>
      <c r="D4" s="184"/>
      <c r="E4" s="185"/>
      <c r="F4" s="185"/>
      <c r="G4" s="186"/>
    </row>
    <row r="5" spans="2:7" ht="21" customHeight="1">
      <c r="B5" s="811" t="str">
        <f>VLOOKUP(G6,tbl_해외[문서번호]:tbl_해외[업체명],2,0)</f>
        <v>Focus 2000 Infrared Ltd</v>
      </c>
      <c r="C5" s="812"/>
      <c r="D5" s="812"/>
      <c r="E5" s="812"/>
      <c r="F5" s="187" t="s">
        <v>7615</v>
      </c>
      <c r="G5" s="179">
        <f ca="1">TODAY()</f>
        <v>45985</v>
      </c>
    </row>
    <row r="6" spans="2:7" ht="21" customHeight="1">
      <c r="B6" s="811" t="str">
        <f>VLOOKUP(B5,'업체 정보'!A:F,5,0)</f>
        <v>Mr. Peter Banham</v>
      </c>
      <c r="C6" s="812"/>
      <c r="D6" s="812"/>
      <c r="E6" s="812"/>
      <c r="F6" s="187" t="s">
        <v>7616</v>
      </c>
      <c r="G6" s="180" t="s">
        <v>9322</v>
      </c>
    </row>
    <row r="7" spans="2:7" ht="21" customHeight="1">
      <c r="B7" s="811" t="str">
        <f>VLOOKUP(B5,'업체 정보'!A:F,6,0)</f>
        <v>+44 (0) 0800 999 1911</v>
      </c>
      <c r="C7" s="812"/>
      <c r="D7" s="812"/>
      <c r="E7" s="812"/>
      <c r="F7" s="187" t="s">
        <v>8511</v>
      </c>
      <c r="G7" s="419" t="str">
        <f>INDEX(해외!AB:AB,MATCH(PI!$G$6,해외!C:C,0))</f>
        <v>PO-81041</v>
      </c>
    </row>
    <row r="8" spans="2:7" ht="21" customHeight="1">
      <c r="B8" s="813" t="str">
        <f>VLOOKUP(B5,'업체 정보'!A:F,4,0)</f>
        <v>Shore Cottage,2 Loch Side,Shinness,LAIRG,SUTHERLAND,IV27 4DN,UNITED KINGDOM</v>
      </c>
      <c r="C8" s="814"/>
      <c r="D8" s="814"/>
      <c r="E8" s="814"/>
      <c r="F8" s="188" t="s">
        <v>7617</v>
      </c>
      <c r="G8" s="181" t="s">
        <v>327</v>
      </c>
    </row>
    <row r="9" spans="2:7" ht="21" customHeight="1" thickBot="1">
      <c r="B9" s="815"/>
      <c r="C9" s="816"/>
      <c r="D9" s="816"/>
      <c r="E9" s="816"/>
      <c r="F9" s="177" t="s">
        <v>7618</v>
      </c>
      <c r="G9" s="178" t="str">
        <f>VLOOKUP(B5,'업체 정보'!A:F,2,0)</f>
        <v>United Kingdom</v>
      </c>
    </row>
    <row r="10" spans="2:7" ht="15" customHeight="1" thickBot="1"/>
    <row r="11" spans="2:7" ht="26.25" customHeight="1">
      <c r="B11" s="167" t="s">
        <v>7488</v>
      </c>
      <c r="C11" s="154" t="s">
        <v>7489</v>
      </c>
      <c r="D11" s="154" t="s">
        <v>7589</v>
      </c>
      <c r="E11" s="154" t="s">
        <v>7590</v>
      </c>
      <c r="F11" s="154" t="s">
        <v>7490</v>
      </c>
      <c r="G11" s="155" t="s">
        <v>7491</v>
      </c>
    </row>
    <row r="12" spans="2:7" ht="41.25" customHeight="1">
      <c r="B12" s="523" t="str" cm="1">
        <f t="array" ref="B12:G12">_xlfn._xlws.FILTER(tbl_해외[[#All],[품명]:[금액]],(tbl_해외[[#All],[문서번호]]=G6),"결과 없음")</f>
        <v>Thermal camera</v>
      </c>
      <c r="C12" s="524" t="str">
        <v>CG320</v>
      </c>
      <c r="D12" s="524" t="str">
        <v>G 4.8mm_Medium</v>
      </c>
      <c r="E12" s="524">
        <v>1</v>
      </c>
      <c r="F12" s="525">
        <v>2950</v>
      </c>
      <c r="G12" s="176">
        <v>2950</v>
      </c>
    </row>
    <row r="13" spans="2:7" ht="41.25" customHeight="1">
      <c r="B13" s="523"/>
      <c r="C13" s="524"/>
      <c r="D13" s="526"/>
      <c r="E13" s="524"/>
      <c r="F13" s="525"/>
      <c r="G13" s="176"/>
    </row>
    <row r="14" spans="2:7" ht="41.25" customHeight="1">
      <c r="B14" s="523"/>
      <c r="C14" s="524"/>
      <c r="D14" s="526"/>
      <c r="E14" s="524"/>
      <c r="F14" s="525"/>
      <c r="G14" s="176"/>
    </row>
    <row r="15" spans="2:7" ht="41.25" customHeight="1">
      <c r="B15" s="523"/>
      <c r="C15" s="524"/>
      <c r="D15" s="526"/>
      <c r="E15" s="524"/>
      <c r="F15" s="525"/>
      <c r="G15" s="176"/>
    </row>
    <row r="16" spans="2:7" ht="41.25" customHeight="1">
      <c r="B16" s="523"/>
      <c r="C16" s="524"/>
      <c r="D16" s="526"/>
      <c r="E16" s="524"/>
      <c r="F16" s="525"/>
      <c r="G16" s="176"/>
    </row>
    <row r="17" spans="2:7" ht="41.25" customHeight="1">
      <c r="B17" s="523"/>
      <c r="C17" s="524"/>
      <c r="D17" s="526"/>
      <c r="E17" s="524"/>
      <c r="F17" s="525"/>
      <c r="G17" s="176"/>
    </row>
    <row r="18" spans="2:7" ht="41.25" hidden="1" customHeight="1">
      <c r="B18" s="168"/>
      <c r="C18" s="81"/>
      <c r="D18" s="81"/>
      <c r="E18" s="80"/>
      <c r="F18" s="175"/>
      <c r="G18" s="176"/>
    </row>
    <row r="19" spans="2:7" ht="41.25" hidden="1" customHeight="1">
      <c r="B19" s="168"/>
      <c r="C19" s="81"/>
      <c r="D19" s="81"/>
      <c r="E19" s="80"/>
      <c r="F19" s="175"/>
      <c r="G19" s="176"/>
    </row>
    <row r="20" spans="2:7" ht="41.25" hidden="1" customHeight="1">
      <c r="B20" s="168"/>
      <c r="C20" s="81"/>
      <c r="D20" s="81"/>
      <c r="E20" s="80"/>
      <c r="F20" s="175"/>
      <c r="G20" s="176"/>
    </row>
    <row r="21" spans="2:7" ht="41.25" hidden="1" customHeight="1">
      <c r="B21" s="168"/>
      <c r="C21" s="81"/>
      <c r="D21" s="81"/>
      <c r="E21" s="80"/>
      <c r="F21" s="175"/>
      <c r="G21" s="176"/>
    </row>
    <row r="22" spans="2:7" ht="41.25" hidden="1" customHeight="1">
      <c r="B22" s="168"/>
      <c r="C22" s="81"/>
      <c r="D22" s="81"/>
      <c r="E22" s="80"/>
      <c r="F22" s="175"/>
      <c r="G22" s="176"/>
    </row>
    <row r="23" spans="2:7" ht="33" customHeight="1" thickBot="1">
      <c r="B23" s="809" t="s">
        <v>7492</v>
      </c>
      <c r="C23" s="810"/>
      <c r="D23" s="810"/>
      <c r="E23" s="173">
        <f>SUM(E12:E22)</f>
        <v>1</v>
      </c>
      <c r="F23" s="174"/>
      <c r="G23" s="494">
        <f>SUM(G12:G22)</f>
        <v>2950</v>
      </c>
    </row>
    <row r="24" spans="2:7" ht="24" customHeight="1"/>
    <row r="25" spans="2:7" ht="24" customHeight="1">
      <c r="B25" s="53" t="s">
        <v>7591</v>
      </c>
    </row>
    <row r="26" spans="2:7">
      <c r="B26" s="156" t="s">
        <v>7592</v>
      </c>
      <c r="C26" s="169"/>
      <c r="D26" s="157"/>
      <c r="E26" s="157"/>
    </row>
    <row r="27" spans="2:7">
      <c r="B27" s="156" t="s">
        <v>7593</v>
      </c>
      <c r="C27" s="169"/>
      <c r="E27" s="157"/>
    </row>
    <row r="28" spans="2:7">
      <c r="B28" s="158" t="s">
        <v>7594</v>
      </c>
      <c r="C28" s="159"/>
      <c r="D28" s="160"/>
      <c r="E28" s="97"/>
    </row>
    <row r="29" spans="2:7">
      <c r="B29" s="161" t="s">
        <v>7595</v>
      </c>
      <c r="C29" s="159"/>
      <c r="D29" s="160"/>
      <c r="E29" s="97"/>
    </row>
    <row r="30" spans="2:7">
      <c r="B30" s="162" t="s">
        <v>7596</v>
      </c>
      <c r="C30" s="159"/>
      <c r="D30" s="160"/>
      <c r="E30" s="97"/>
    </row>
    <row r="31" spans="2:7">
      <c r="B31" s="162" t="s">
        <v>7597</v>
      </c>
      <c r="C31" s="159"/>
      <c r="D31" s="160"/>
      <c r="E31" s="97"/>
    </row>
    <row r="32" spans="2:7">
      <c r="B32" s="162" t="s">
        <v>7598</v>
      </c>
      <c r="C32" s="159"/>
      <c r="D32" s="160"/>
      <c r="E32" s="97"/>
    </row>
    <row r="33" spans="2:5">
      <c r="B33" s="162" t="s">
        <v>7599</v>
      </c>
      <c r="C33" s="159"/>
      <c r="D33" s="160"/>
      <c r="E33" s="98"/>
    </row>
    <row r="34" spans="2:5">
      <c r="B34" s="162" t="s">
        <v>7600</v>
      </c>
      <c r="C34" s="159"/>
      <c r="D34" s="163"/>
      <c r="E34" s="98"/>
    </row>
    <row r="35" spans="2:5">
      <c r="B35" s="162" t="s">
        <v>7601</v>
      </c>
      <c r="C35" s="170"/>
      <c r="D35" s="162"/>
      <c r="E35" s="98"/>
    </row>
    <row r="36" spans="2:5">
      <c r="B36" s="162" t="s">
        <v>7602</v>
      </c>
      <c r="C36" s="170"/>
      <c r="D36" s="162"/>
      <c r="E36" s="98"/>
    </row>
    <row r="37" spans="2:5">
      <c r="B37" s="162" t="s">
        <v>7603</v>
      </c>
      <c r="C37" s="170"/>
      <c r="D37" s="162"/>
      <c r="E37" s="98"/>
    </row>
    <row r="38" spans="2:5">
      <c r="B38" s="162" t="s">
        <v>7604</v>
      </c>
      <c r="C38" s="170"/>
      <c r="D38" s="162"/>
      <c r="E38" s="98"/>
    </row>
    <row r="39" spans="2:5">
      <c r="B39" s="162" t="s">
        <v>7605</v>
      </c>
      <c r="C39" s="170"/>
      <c r="D39" s="162"/>
      <c r="E39" s="98"/>
    </row>
    <row r="40" spans="2:5">
      <c r="B40" s="158" t="s">
        <v>7606</v>
      </c>
      <c r="C40" s="171"/>
      <c r="D40" s="158"/>
      <c r="E40" s="158"/>
    </row>
    <row r="41" spans="2:5">
      <c r="B41" s="808" t="s">
        <v>7607</v>
      </c>
      <c r="C41" s="808"/>
      <c r="D41" s="808"/>
      <c r="E41" s="808"/>
    </row>
    <row r="42" spans="2:5">
      <c r="B42" s="808" t="s">
        <v>7608</v>
      </c>
      <c r="C42" s="808"/>
      <c r="D42" s="808"/>
      <c r="E42" s="808"/>
    </row>
    <row r="43" spans="2:5">
      <c r="B43" s="808" t="s">
        <v>7609</v>
      </c>
      <c r="C43" s="808"/>
      <c r="D43" s="808"/>
      <c r="E43" s="808"/>
    </row>
    <row r="44" spans="2:5">
      <c r="B44" s="808" t="s">
        <v>7610</v>
      </c>
      <c r="C44" s="808"/>
      <c r="D44" s="808"/>
      <c r="E44" s="808"/>
    </row>
    <row r="45" spans="2:5">
      <c r="B45" s="808" t="s">
        <v>7611</v>
      </c>
      <c r="C45" s="808"/>
      <c r="D45" s="808"/>
      <c r="E45" s="808"/>
    </row>
    <row r="46" spans="2:5">
      <c r="B46" s="164"/>
      <c r="C46" s="170"/>
      <c r="D46" s="164"/>
      <c r="E46" s="164"/>
    </row>
    <row r="47" spans="2:5">
      <c r="B47" s="165" t="s">
        <v>7612</v>
      </c>
      <c r="D47" s="156"/>
      <c r="E47" s="156" t="s">
        <v>7613</v>
      </c>
    </row>
    <row r="48" spans="2:5">
      <c r="B48" s="166"/>
      <c r="C48" s="172"/>
      <c r="D48" s="166"/>
      <c r="E48" s="166"/>
    </row>
    <row r="50" spans="2:5">
      <c r="B50" s="166"/>
      <c r="C50" s="172"/>
      <c r="D50" s="166"/>
      <c r="E50" s="166"/>
    </row>
  </sheetData>
  <mergeCells count="11">
    <mergeCell ref="B1:G2"/>
    <mergeCell ref="B43:E43"/>
    <mergeCell ref="B44:E44"/>
    <mergeCell ref="B45:E45"/>
    <mergeCell ref="B23:D23"/>
    <mergeCell ref="B41:E41"/>
    <mergeCell ref="B5:E5"/>
    <mergeCell ref="B6:E6"/>
    <mergeCell ref="B7:E7"/>
    <mergeCell ref="B8:E9"/>
    <mergeCell ref="B42:E42"/>
  </mergeCells>
  <phoneticPr fontId="18" type="noConversion"/>
  <dataValidations count="1">
    <dataValidation type="list" allowBlank="1" showInputMessage="1" showErrorMessage="1" sqref="C4 G6" xr:uid="{10E79B4B-A2BE-4D9B-A761-DA7E8B62B70A}">
      <formula1>INDIRECT("tbl_해외[문서번호]")</formula1>
    </dataValidation>
  </dataValidations>
  <printOptions horizontalCentered="1"/>
  <pageMargins left="0.23622047244094491" right="0.23622047244094491" top="0.62992125984251968" bottom="0.19685039370078741" header="0" footer="0"/>
  <pageSetup paperSize="9" scale="81" orientation="portrait" r:id="rId1"/>
  <headerFooter>
    <oddHeader>&amp;L&amp;G&amp;C&amp;"-,굵게"&amp;10#810, Hanwha Biz Metro 1-cha, 242, Ditital-ro, Guro-gu, Seou, Korea (Zip:08394)
Phone: 82-2-857-3888, Fax: 82-70-7614-3871 Email: sales@coxcamera.com www.coxcamera.com&amp;R&amp;G</oddHead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7D536-91BE-4E02-B43E-F29A428C5DCB}">
  <sheetPr codeName="Sheet12">
    <tabColor theme="9" tint="0.59999389629810485"/>
    <pageSetUpPr fitToPage="1"/>
  </sheetPr>
  <dimension ref="A1:F27"/>
  <sheetViews>
    <sheetView tabSelected="1" view="pageBreakPreview" topLeftCell="B1" zoomScale="85" zoomScaleNormal="85" zoomScaleSheetLayoutView="85" workbookViewId="0">
      <selection activeCell="S13" sqref="S13"/>
    </sheetView>
  </sheetViews>
  <sheetFormatPr defaultRowHeight="16.5"/>
  <cols>
    <col min="1" max="1" width="0" style="53" hidden="1" customWidth="1"/>
    <col min="2" max="2" width="10.625" style="53" customWidth="1"/>
    <col min="3" max="3" width="17" style="53" customWidth="1"/>
    <col min="4" max="4" width="16" style="53" customWidth="1"/>
    <col min="5" max="5" width="34.375" style="53" customWidth="1"/>
    <col min="6" max="6" width="11.125" style="53" customWidth="1"/>
    <col min="7" max="16384" width="9" style="53"/>
  </cols>
  <sheetData>
    <row r="1" spans="1:6" ht="24" customHeight="1">
      <c r="B1" s="202" t="s">
        <v>7637</v>
      </c>
      <c r="C1" s="205" t="s">
        <v>9325</v>
      </c>
      <c r="D1" s="830" t="s">
        <v>7632</v>
      </c>
      <c r="E1" s="832" t="str">
        <f>IF(C1="수출",VLOOKUP(C2,해외!C:D,2,0),IF(C1="내수",VLOOKUP(C2,국내!C:D,2,0),VLOOKUP(C2,대여!C:D,2,0)))</f>
        <v>(주)에스피지</v>
      </c>
      <c r="F1" s="833"/>
    </row>
    <row r="2" spans="1:6" ht="24" customHeight="1">
      <c r="B2" s="203" t="s">
        <v>7636</v>
      </c>
      <c r="C2" s="410" t="s">
        <v>9326</v>
      </c>
      <c r="D2" s="831"/>
      <c r="E2" s="834"/>
      <c r="F2" s="835"/>
    </row>
    <row r="3" spans="1:6" ht="24" customHeight="1">
      <c r="B3" s="203" t="s">
        <v>7631</v>
      </c>
      <c r="C3" s="193">
        <f ca="1">TODAY()</f>
        <v>45985</v>
      </c>
      <c r="D3" s="201" t="s">
        <v>343</v>
      </c>
      <c r="E3" s="828" t="str">
        <f>VLOOKUP($E$1,업체db[],2,0)</f>
        <v>korea</v>
      </c>
      <c r="F3" s="829"/>
    </row>
    <row r="4" spans="1:6" ht="24" customHeight="1">
      <c r="B4" s="203" t="s">
        <v>7630</v>
      </c>
      <c r="C4" s="193">
        <f ca="1">C3+28</f>
        <v>46013</v>
      </c>
      <c r="D4" s="201" t="s">
        <v>7627</v>
      </c>
      <c r="E4" s="836" t="str">
        <f>VLOOKUP($E$1,업체db[],6,0)</f>
        <v>010-3292-4375</v>
      </c>
      <c r="F4" s="837"/>
    </row>
    <row r="5" spans="1:6" ht="24" customHeight="1">
      <c r="B5" s="203" t="s">
        <v>7629</v>
      </c>
      <c r="C5" s="193" t="s">
        <v>7628</v>
      </c>
      <c r="D5" s="201" t="s">
        <v>7625</v>
      </c>
      <c r="E5" s="836" t="str">
        <f>VLOOKUP($E$1,업체db[],11,0)</f>
        <v>cox</v>
      </c>
      <c r="F5" s="837"/>
    </row>
    <row r="6" spans="1:6" ht="24" customHeight="1">
      <c r="B6" s="203" t="s">
        <v>7626</v>
      </c>
      <c r="C6" s="193" t="s">
        <v>7635</v>
      </c>
      <c r="D6" s="201" t="s">
        <v>7633</v>
      </c>
      <c r="E6" s="828" t="str">
        <f>VLOOKUP($E$1,업체db[],12,0)</f>
        <v>택배</v>
      </c>
      <c r="F6" s="829"/>
    </row>
    <row r="7" spans="1:6" ht="24" customHeight="1" thickBot="1">
      <c r="B7" s="204" t="s">
        <v>7624</v>
      </c>
      <c r="C7" s="820" t="str">
        <f>VLOOKUP($E$1,업체db[],4,0)</f>
        <v>인천광역시 연수구 송도과학로 16번길 13-30</v>
      </c>
      <c r="D7" s="820"/>
      <c r="E7" s="820"/>
      <c r="F7" s="821"/>
    </row>
    <row r="8" spans="1:6" ht="12" customHeight="1" thickBot="1"/>
    <row r="9" spans="1:6" ht="36.75" customHeight="1">
      <c r="A9" s="198"/>
      <c r="B9" s="167" t="s">
        <v>7623</v>
      </c>
      <c r="C9" s="154" t="s">
        <v>7622</v>
      </c>
      <c r="D9" s="154" t="s">
        <v>53</v>
      </c>
      <c r="E9" s="154" t="s">
        <v>7621</v>
      </c>
      <c r="F9" s="155" t="s">
        <v>7502</v>
      </c>
    </row>
    <row r="10" spans="1:6" ht="36.75" customHeight="1">
      <c r="A10" s="199"/>
      <c r="B10" s="168">
        <v>1</v>
      </c>
      <c r="C10" s="189" t="str" cm="1">
        <f t="array" ref="C10:F11">IF(C1="수출",_xlfn._xlws.FILTER(tbl_해외[[#All],[품명]:[수량]],(tbl_해외[[#All],[문서번호]]=C2),"결과 없음"),IF(C1="내수",_xlfn._xlws.FILTER(국내!$E$1:$H$241,(국내!$C$1:$C$241=C2),"결과 없음"),_xlfn._xlws.FILTER(대여!$E$1:$H$28,(대여!$C$1:$C$28=C2),"결과 없음")))</f>
        <v>열화상 카메라</v>
      </c>
      <c r="D10" s="189" t="str">
        <v>CG600IP</v>
      </c>
      <c r="E10" s="192" t="str">
        <v>M 75mm-motor</v>
      </c>
      <c r="F10" s="195">
        <v>2</v>
      </c>
    </row>
    <row r="11" spans="1:6" ht="36.75" customHeight="1">
      <c r="A11" s="199"/>
      <c r="B11" s="168">
        <v>2</v>
      </c>
      <c r="C11" s="189" t="str">
        <v>윈도우</v>
      </c>
      <c r="D11" s="189" t="str">
        <v>Window 85x4t</v>
      </c>
      <c r="E11" s="192" t="str">
        <v>-</v>
      </c>
      <c r="F11" s="195">
        <v>2</v>
      </c>
    </row>
    <row r="12" spans="1:6" ht="36.75" customHeight="1">
      <c r="A12" s="199"/>
      <c r="B12" s="168">
        <v>3</v>
      </c>
      <c r="C12" s="189"/>
      <c r="D12" s="189"/>
      <c r="E12" s="192"/>
      <c r="F12" s="195"/>
    </row>
    <row r="13" spans="1:6" ht="36.75" customHeight="1">
      <c r="A13" s="199"/>
      <c r="B13" s="168">
        <v>4</v>
      </c>
      <c r="C13" s="189"/>
      <c r="D13" s="192"/>
      <c r="E13" s="192"/>
      <c r="F13" s="195"/>
    </row>
    <row r="14" spans="1:6" ht="36.75" customHeight="1">
      <c r="A14" s="199"/>
      <c r="B14" s="168">
        <v>5</v>
      </c>
      <c r="C14" s="189"/>
      <c r="D14" s="189"/>
      <c r="E14" s="192"/>
      <c r="F14" s="195"/>
    </row>
    <row r="15" spans="1:6" ht="36.75" customHeight="1" thickBot="1">
      <c r="A15" s="200"/>
      <c r="B15" s="168">
        <v>6</v>
      </c>
      <c r="C15" s="189"/>
      <c r="D15" s="189"/>
      <c r="E15" s="192"/>
      <c r="F15" s="195"/>
    </row>
    <row r="16" spans="1:6" ht="36.75" customHeight="1">
      <c r="B16" s="168">
        <v>7</v>
      </c>
      <c r="C16" s="189" t="s">
        <v>832</v>
      </c>
      <c r="D16" s="189" t="s">
        <v>832</v>
      </c>
      <c r="E16" s="192" t="s">
        <v>832</v>
      </c>
      <c r="F16" s="195"/>
    </row>
    <row r="17" spans="2:6" ht="36.75" customHeight="1">
      <c r="B17" s="168">
        <v>8</v>
      </c>
      <c r="C17" s="189" t="s">
        <v>832</v>
      </c>
      <c r="D17" s="189" t="s">
        <v>832</v>
      </c>
      <c r="E17" s="192" t="s">
        <v>832</v>
      </c>
      <c r="F17" s="195"/>
    </row>
    <row r="18" spans="2:6" ht="36.75" customHeight="1">
      <c r="B18" s="168">
        <v>9</v>
      </c>
      <c r="C18" s="189" t="s">
        <v>832</v>
      </c>
      <c r="D18" s="189" t="s">
        <v>832</v>
      </c>
      <c r="E18" s="192" t="s">
        <v>832</v>
      </c>
      <c r="F18" s="195"/>
    </row>
    <row r="19" spans="2:6" ht="36.75" customHeight="1" thickBot="1">
      <c r="B19" s="168">
        <v>10</v>
      </c>
      <c r="C19" s="189" t="s">
        <v>832</v>
      </c>
      <c r="D19" s="189" t="s">
        <v>832</v>
      </c>
      <c r="E19" s="192" t="s">
        <v>832</v>
      </c>
      <c r="F19" s="195"/>
    </row>
    <row r="20" spans="2:6" ht="28.5" customHeight="1">
      <c r="B20" s="778" t="s">
        <v>7620</v>
      </c>
      <c r="C20" s="779"/>
      <c r="D20" s="779"/>
      <c r="E20" s="779"/>
      <c r="F20" s="780"/>
    </row>
    <row r="21" spans="2:6" ht="43.5" customHeight="1" thickBot="1">
      <c r="B21" s="822"/>
      <c r="C21" s="823"/>
      <c r="D21" s="823"/>
      <c r="E21" s="823"/>
      <c r="F21" s="824"/>
    </row>
    <row r="22" spans="2:6" ht="10.5" customHeight="1" thickBot="1"/>
    <row r="23" spans="2:6" ht="18" customHeight="1">
      <c r="B23" s="778" t="s">
        <v>353</v>
      </c>
      <c r="C23" s="779"/>
      <c r="D23" s="779"/>
      <c r="E23" s="779"/>
      <c r="F23" s="780"/>
    </row>
    <row r="24" spans="2:6" ht="43.5" customHeight="1" thickBot="1">
      <c r="B24" s="825" t="str">
        <f>VLOOKUP(E1,'업체 정보'!A:M,13,0)</f>
        <v>-</v>
      </c>
      <c r="C24" s="826"/>
      <c r="D24" s="826"/>
      <c r="E24" s="826"/>
      <c r="F24" s="827"/>
    </row>
    <row r="25" spans="2:6" ht="10.5" customHeight="1" thickBot="1"/>
    <row r="26" spans="2:6" ht="18" customHeight="1">
      <c r="B26" s="778" t="s">
        <v>7619</v>
      </c>
      <c r="C26" s="779"/>
      <c r="D26" s="779"/>
      <c r="E26" s="779"/>
      <c r="F26" s="780"/>
    </row>
    <row r="27" spans="2:6" ht="43.5" customHeight="1" thickBot="1">
      <c r="B27" s="817"/>
      <c r="C27" s="818"/>
      <c r="D27" s="818"/>
      <c r="E27" s="818"/>
      <c r="F27" s="819"/>
    </row>
  </sheetData>
  <mergeCells count="13">
    <mergeCell ref="E6:F6"/>
    <mergeCell ref="D1:D2"/>
    <mergeCell ref="E1:F2"/>
    <mergeCell ref="E3:F3"/>
    <mergeCell ref="E4:F4"/>
    <mergeCell ref="E5:F5"/>
    <mergeCell ref="B27:F27"/>
    <mergeCell ref="C7:F7"/>
    <mergeCell ref="B20:F20"/>
    <mergeCell ref="B21:F21"/>
    <mergeCell ref="B23:F23"/>
    <mergeCell ref="B24:F24"/>
    <mergeCell ref="B26:F26"/>
  </mergeCells>
  <phoneticPr fontId="18" type="noConversion"/>
  <dataValidations count="2">
    <dataValidation type="list" allowBlank="1" showInputMessage="1" showErrorMessage="1" sqref="C2" xr:uid="{1EE91C38-8231-40E8-832A-6B7695C7C228}">
      <formula1>IF(C1="수출", INDIRECT("tbl_해외[문서번호]"), IF(C1="내수", INDIRECT("tbl_국내[문서번호]"), IF(C1="대여", INDIRECT("tbl_대여[문서번호]"), "")))</formula1>
    </dataValidation>
    <dataValidation type="list" allowBlank="1" showInputMessage="1" showErrorMessage="1" sqref="C1" xr:uid="{7278AF85-D2D2-42BC-8A0C-69184E12F495}">
      <formula1>"수출,내수,대여"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"/>
  <pageSetup paperSize="9" scale="90" fitToWidth="0" orientation="portrait" r:id="rId1"/>
  <headerFooter>
    <oddHeader xml:space="preserve">&amp;L&amp;G&amp;C&amp;"-,굵게"&amp;20출고요청서&amp;R
</oddHead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95CCB-42E0-44C0-ACD0-243E0DF2D39A}">
  <sheetPr codeName="Sheet13">
    <tabColor theme="9" tint="0.59999389629810485"/>
  </sheetPr>
  <dimension ref="A1:F31"/>
  <sheetViews>
    <sheetView topLeftCell="B1" zoomScale="85" zoomScaleNormal="100" workbookViewId="0">
      <selection activeCell="B25" sqref="B25:F25"/>
    </sheetView>
  </sheetViews>
  <sheetFormatPr defaultRowHeight="16.5"/>
  <cols>
    <col min="1" max="1" width="0" style="53" hidden="1" customWidth="1"/>
    <col min="2" max="2" width="10.625" style="53" customWidth="1"/>
    <col min="3" max="3" width="17" style="53" customWidth="1"/>
    <col min="4" max="4" width="16" style="53" customWidth="1"/>
    <col min="5" max="5" width="34.375" style="53" customWidth="1"/>
    <col min="6" max="6" width="11.125" style="53" customWidth="1"/>
    <col min="7" max="16384" width="9" style="53"/>
  </cols>
  <sheetData>
    <row r="1" spans="1:6" ht="24" customHeight="1">
      <c r="B1" s="202" t="s">
        <v>7637</v>
      </c>
      <c r="C1" s="205" t="s">
        <v>8136</v>
      </c>
      <c r="D1" s="830" t="s">
        <v>7632</v>
      </c>
      <c r="E1" s="832" t="str">
        <f>IF(C1="수출",VLOOKUP(C2,해외!C:C,2,0),IF(C1="내수",VLOOKUP(C2,국내!C:D,2,0),VLOOKUP(C2,대여!C:D,2,0)))</f>
        <v>케이티앤씨</v>
      </c>
      <c r="F1" s="833"/>
    </row>
    <row r="2" spans="1:6" ht="24" customHeight="1">
      <c r="B2" s="203" t="s">
        <v>7636</v>
      </c>
      <c r="C2" s="410" t="s">
        <v>8710</v>
      </c>
      <c r="D2" s="831"/>
      <c r="E2" s="834"/>
      <c r="F2" s="835"/>
    </row>
    <row r="3" spans="1:6" ht="24" customHeight="1">
      <c r="B3" s="203" t="s">
        <v>8041</v>
      </c>
      <c r="C3" s="193">
        <f ca="1">TODAY()</f>
        <v>45985</v>
      </c>
      <c r="D3" s="201" t="s">
        <v>343</v>
      </c>
      <c r="E3" s="828" t="str">
        <f>VLOOKUP($E$1,업체db[],2,0)</f>
        <v>Korea</v>
      </c>
      <c r="F3" s="829"/>
    </row>
    <row r="4" spans="1:6" ht="24" customHeight="1">
      <c r="B4" s="203"/>
      <c r="C4" s="193"/>
      <c r="D4" s="201" t="s">
        <v>7627</v>
      </c>
      <c r="E4" s="836" t="str">
        <f>VLOOKUP($E$1,업체db[],6,0)</f>
        <v>010-9253-6932</v>
      </c>
      <c r="F4" s="837"/>
    </row>
    <row r="5" spans="1:6" ht="24" customHeight="1">
      <c r="B5" s="203" t="s">
        <v>7629</v>
      </c>
      <c r="C5" s="193" t="s">
        <v>7628</v>
      </c>
      <c r="D5" s="201" t="s">
        <v>7625</v>
      </c>
      <c r="E5" s="836" t="str">
        <f>VLOOKUP($E$1,업체db[],11,0)</f>
        <v>Cox</v>
      </c>
      <c r="F5" s="837"/>
    </row>
    <row r="6" spans="1:6" ht="24" customHeight="1">
      <c r="B6" s="203"/>
      <c r="C6" s="193"/>
      <c r="D6" s="201" t="s">
        <v>7633</v>
      </c>
      <c r="E6" s="828" t="str">
        <f>VLOOKUP($E$1,업체db[],12,0)</f>
        <v>택배</v>
      </c>
      <c r="F6" s="829"/>
    </row>
    <row r="7" spans="1:6" ht="24" customHeight="1" thickBot="1">
      <c r="B7" s="204" t="s">
        <v>7624</v>
      </c>
      <c r="C7" s="820" t="str">
        <f>VLOOKUP($E$1,업체db[],4,0)</f>
        <v>서울시 강서구 양천로 11길 7 (케이티엔씨 빌딩)</v>
      </c>
      <c r="D7" s="820"/>
      <c r="E7" s="820"/>
      <c r="F7" s="821"/>
    </row>
    <row r="8" spans="1:6" ht="24" customHeight="1" thickBot="1"/>
    <row r="9" spans="1:6" ht="36.75" customHeight="1">
      <c r="A9" s="198"/>
      <c r="B9" s="167" t="s">
        <v>7623</v>
      </c>
      <c r="C9" s="154" t="s">
        <v>7622</v>
      </c>
      <c r="D9" s="154" t="s">
        <v>53</v>
      </c>
      <c r="E9" s="154" t="s">
        <v>7621</v>
      </c>
      <c r="F9" s="155" t="s">
        <v>7502</v>
      </c>
    </row>
    <row r="10" spans="1:6" ht="36.75" customHeight="1">
      <c r="A10" s="199"/>
      <c r="B10" s="168">
        <v>1</v>
      </c>
      <c r="C10" s="189" t="str" cm="1">
        <f t="array" ref="C10:F11">IF(C1="수출",_xlfn._xlws.FILTER(tbl_해외[[#All],[품명]:[수량]],(tbl_해외[[#All],[문서번호]]=C2),"결과 없음"),IF(C1="내수",_xlfn._xlws.FILTER(국내!$E$1:$H$241,(국내!$C$1:$C$241=C2),"결과 없음"),_xlfn._xlws.FILTER(대여!$E$1:$H$28,(대여!$C$1:$C$28=C2),"결과 없음")))</f>
        <v>열화상 카메라</v>
      </c>
      <c r="D10" s="189" t="str">
        <v>CG300-NM</v>
      </c>
      <c r="E10" s="192" t="str">
        <v>A 8.1mm</v>
      </c>
      <c r="F10" s="195">
        <v>1</v>
      </c>
    </row>
    <row r="11" spans="1:6" ht="36.75" customHeight="1">
      <c r="A11" s="199"/>
      <c r="B11" s="168">
        <v>2</v>
      </c>
      <c r="C11" s="189" t="str">
        <v>열화상 카메라</v>
      </c>
      <c r="D11" s="189" t="str">
        <v>CZ600IP</v>
      </c>
      <c r="E11" s="192" t="str">
        <v>A 15mm</v>
      </c>
      <c r="F11" s="195">
        <v>1</v>
      </c>
    </row>
    <row r="12" spans="1:6" ht="36.75" customHeight="1">
      <c r="A12" s="199"/>
      <c r="B12" s="168">
        <v>3</v>
      </c>
      <c r="C12" s="189"/>
      <c r="D12" s="189"/>
      <c r="E12" s="192"/>
      <c r="F12" s="195"/>
    </row>
    <row r="13" spans="1:6" ht="36.75" customHeight="1">
      <c r="A13" s="199"/>
      <c r="B13" s="168">
        <v>4</v>
      </c>
      <c r="C13" s="189"/>
      <c r="D13" s="192"/>
      <c r="E13" s="192"/>
      <c r="F13" s="195"/>
    </row>
    <row r="14" spans="1:6" ht="36.75" customHeight="1">
      <c r="A14" s="199"/>
      <c r="B14" s="168">
        <v>5</v>
      </c>
      <c r="C14" s="189"/>
      <c r="D14" s="189"/>
      <c r="E14" s="192"/>
      <c r="F14" s="195"/>
    </row>
    <row r="15" spans="1:6" ht="36.75" customHeight="1" thickBot="1">
      <c r="A15" s="200"/>
      <c r="B15" s="168">
        <v>6</v>
      </c>
      <c r="C15" s="189"/>
      <c r="D15" s="189"/>
      <c r="E15" s="192"/>
      <c r="F15" s="195"/>
    </row>
    <row r="16" spans="1:6" ht="36.75" hidden="1" customHeight="1">
      <c r="B16" s="168">
        <v>7</v>
      </c>
      <c r="C16" s="189" t="s">
        <v>832</v>
      </c>
      <c r="D16" s="189" t="s">
        <v>832</v>
      </c>
      <c r="E16" s="192" t="s">
        <v>832</v>
      </c>
      <c r="F16" s="195"/>
    </row>
    <row r="17" spans="2:6" ht="36.75" hidden="1" customHeight="1">
      <c r="B17" s="168">
        <v>8</v>
      </c>
      <c r="C17" s="189" t="s">
        <v>832</v>
      </c>
      <c r="D17" s="189" t="s">
        <v>832</v>
      </c>
      <c r="E17" s="192" t="s">
        <v>832</v>
      </c>
      <c r="F17" s="195"/>
    </row>
    <row r="18" spans="2:6" ht="36.75" hidden="1" customHeight="1">
      <c r="B18" s="168">
        <v>9</v>
      </c>
      <c r="C18" s="189" t="s">
        <v>832</v>
      </c>
      <c r="D18" s="189" t="s">
        <v>832</v>
      </c>
      <c r="E18" s="192" t="s">
        <v>832</v>
      </c>
      <c r="F18" s="195"/>
    </row>
    <row r="19" spans="2:6" ht="36.75" hidden="1" customHeight="1">
      <c r="B19" s="168">
        <v>10</v>
      </c>
      <c r="C19" s="189" t="s">
        <v>832</v>
      </c>
      <c r="D19" s="189" t="s">
        <v>832</v>
      </c>
      <c r="E19" s="192" t="s">
        <v>832</v>
      </c>
      <c r="F19" s="195"/>
    </row>
    <row r="20" spans="2:6" ht="36.75" hidden="1" customHeight="1">
      <c r="B20" s="168">
        <v>11</v>
      </c>
      <c r="C20" s="189" t="s">
        <v>832</v>
      </c>
      <c r="D20" s="189" t="s">
        <v>832</v>
      </c>
      <c r="E20" s="192" t="s">
        <v>832</v>
      </c>
      <c r="F20" s="195"/>
    </row>
    <row r="21" spans="2:6" ht="36.75" hidden="1" customHeight="1">
      <c r="B21" s="168">
        <v>12</v>
      </c>
      <c r="C21" s="189" t="s">
        <v>832</v>
      </c>
      <c r="D21" s="189" t="s">
        <v>832</v>
      </c>
      <c r="E21" s="192" t="s">
        <v>832</v>
      </c>
      <c r="F21" s="195"/>
    </row>
    <row r="22" spans="2:6" ht="36.75" hidden="1" customHeight="1" thickBot="1">
      <c r="B22" s="191">
        <v>13</v>
      </c>
      <c r="C22" s="190" t="s">
        <v>832</v>
      </c>
      <c r="D22" s="190" t="s">
        <v>832</v>
      </c>
      <c r="E22" s="196" t="s">
        <v>832</v>
      </c>
      <c r="F22" s="197"/>
    </row>
    <row r="23" spans="2:6" ht="24" customHeight="1" thickBot="1"/>
    <row r="24" spans="2:6" ht="28.5" customHeight="1">
      <c r="B24" s="778" t="s">
        <v>7620</v>
      </c>
      <c r="C24" s="779"/>
      <c r="D24" s="779"/>
      <c r="E24" s="779"/>
      <c r="F24" s="780"/>
    </row>
    <row r="25" spans="2:6" ht="46.5" customHeight="1" thickBot="1">
      <c r="B25" s="838"/>
      <c r="C25" s="839"/>
      <c r="D25" s="839"/>
      <c r="E25" s="839"/>
      <c r="F25" s="840"/>
    </row>
    <row r="26" spans="2:6" ht="10.5" customHeight="1" thickBot="1"/>
    <row r="27" spans="2:6" ht="18" customHeight="1">
      <c r="B27" s="778" t="s">
        <v>353</v>
      </c>
      <c r="C27" s="779"/>
      <c r="D27" s="779"/>
      <c r="E27" s="779"/>
      <c r="F27" s="780"/>
    </row>
    <row r="28" spans="2:6" ht="27.75" customHeight="1" thickBot="1">
      <c r="B28" s="825" t="str">
        <f>VLOOKUP(E1,'업체 정보'!A:M,13,0)</f>
        <v>-</v>
      </c>
      <c r="C28" s="826"/>
      <c r="D28" s="826"/>
      <c r="E28" s="826"/>
      <c r="F28" s="827"/>
    </row>
    <row r="29" spans="2:6" ht="10.5" customHeight="1" thickBot="1"/>
    <row r="30" spans="2:6" ht="18" customHeight="1">
      <c r="B30" s="778" t="s">
        <v>7619</v>
      </c>
      <c r="C30" s="779"/>
      <c r="D30" s="779"/>
      <c r="E30" s="779"/>
      <c r="F30" s="780"/>
    </row>
    <row r="31" spans="2:6" ht="90.75" customHeight="1" thickBot="1">
      <c r="B31" s="817"/>
      <c r="C31" s="818"/>
      <c r="D31" s="818"/>
      <c r="E31" s="818"/>
      <c r="F31" s="819"/>
    </row>
  </sheetData>
  <mergeCells count="13">
    <mergeCell ref="B31:F31"/>
    <mergeCell ref="C7:F7"/>
    <mergeCell ref="B24:F24"/>
    <mergeCell ref="B25:F25"/>
    <mergeCell ref="B27:F27"/>
    <mergeCell ref="B28:F28"/>
    <mergeCell ref="B30:F30"/>
    <mergeCell ref="E6:F6"/>
    <mergeCell ref="D1:D2"/>
    <mergeCell ref="E1:F2"/>
    <mergeCell ref="E3:F3"/>
    <mergeCell ref="E4:F4"/>
    <mergeCell ref="E5:F5"/>
  </mergeCells>
  <phoneticPr fontId="18" type="noConversion"/>
  <dataValidations count="2">
    <dataValidation type="list" allowBlank="1" showInputMessage="1" showErrorMessage="1" sqref="C1" xr:uid="{A944CC34-B2C7-4715-9676-5CE28DB59899}">
      <formula1>"수출,내수,대여"</formula1>
    </dataValidation>
    <dataValidation type="list" allowBlank="1" showInputMessage="1" showErrorMessage="1" sqref="C2" xr:uid="{6743BAAA-1E1B-413D-AB29-16B8AF6D35F3}">
      <formula1>IF(C1="수출", INDIRECT("tbl_해외[문서번호]"), IF(C1="내수", INDIRECT("tbl_국내[문서번호]"), IF(C1="대여", INDIRECT("tbl_대여[문서번호]"), "")))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"/>
  <pageSetup paperSize="9" orientation="portrait" r:id="rId1"/>
  <headerFooter>
    <oddHeader xml:space="preserve">&amp;L&amp;G&amp;C&amp;"-,굵게"&amp;20회수내역서&amp;R
</oddHead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E1271-F346-4B31-8702-3CF524FDD3B6}">
  <sheetPr codeName="Sheet8">
    <tabColor theme="9" tint="0.59999389629810485"/>
  </sheetPr>
  <dimension ref="A1:K29"/>
  <sheetViews>
    <sheetView view="pageLayout" zoomScaleNormal="100" workbookViewId="0">
      <selection activeCell="A3" sqref="A3:B3"/>
    </sheetView>
  </sheetViews>
  <sheetFormatPr defaultRowHeight="16.5"/>
  <cols>
    <col min="1" max="1" width="15.875" customWidth="1"/>
    <col min="2" max="2" width="20.75" customWidth="1"/>
    <col min="3" max="3" width="7.875" style="206" hidden="1" customWidth="1"/>
    <col min="4" max="4" width="5.875" customWidth="1"/>
    <col min="5" max="6" width="12.625" style="212" customWidth="1"/>
    <col min="7" max="7" width="12.625" customWidth="1"/>
    <col min="8" max="8" width="14.375" customWidth="1"/>
    <col min="9" max="9" width="13.375" customWidth="1"/>
    <col min="10" max="10" width="5.25" bestFit="1" customWidth="1"/>
    <col min="11" max="11" width="12.25" bestFit="1" customWidth="1"/>
  </cols>
  <sheetData>
    <row r="1" spans="1:11" ht="16.5" customHeight="1">
      <c r="A1" s="845" t="s">
        <v>7651</v>
      </c>
      <c r="B1" s="845"/>
    </row>
    <row r="2" spans="1:11" ht="16.5" customHeight="1">
      <c r="A2" s="845"/>
      <c r="B2" s="845"/>
    </row>
    <row r="3" spans="1:11" ht="16.5" customHeight="1">
      <c r="A3" s="844" t="s">
        <v>9097</v>
      </c>
      <c r="B3" s="844"/>
    </row>
    <row r="4" spans="1:11">
      <c r="A4" s="218"/>
      <c r="B4" s="218"/>
    </row>
    <row r="5" spans="1:11">
      <c r="A5" s="848" t="str">
        <f>VLOOKUP(A3,국내!C:D,2,0)</f>
        <v>(주)에스원</v>
      </c>
      <c r="B5" s="848"/>
      <c r="C5" s="206" t="s">
        <v>7659</v>
      </c>
      <c r="G5" s="1"/>
      <c r="H5" s="12"/>
      <c r="I5" s="12"/>
      <c r="J5" s="12"/>
    </row>
    <row r="6" spans="1:11">
      <c r="A6" s="850"/>
      <c r="B6" s="851"/>
      <c r="G6" s="1"/>
      <c r="H6" s="12"/>
      <c r="I6" s="12"/>
      <c r="J6" s="12"/>
    </row>
    <row r="7" spans="1:11">
      <c r="A7" s="411"/>
      <c r="B7" s="412"/>
      <c r="G7" s="1"/>
      <c r="H7" s="12"/>
      <c r="I7" s="12"/>
      <c r="J7" s="12"/>
    </row>
    <row r="8" spans="1:11" ht="17.25" thickBot="1">
      <c r="A8" t="s">
        <v>7661</v>
      </c>
      <c r="G8" s="211"/>
      <c r="H8" s="1"/>
      <c r="I8" s="12"/>
      <c r="J8" s="12"/>
      <c r="K8" s="12"/>
    </row>
    <row r="9" spans="1:11" ht="29.25" customHeight="1" thickBot="1">
      <c r="A9" s="214" t="s">
        <v>7664</v>
      </c>
      <c r="B9" s="849">
        <f>F9</f>
        <v>220000</v>
      </c>
      <c r="C9" s="849"/>
      <c r="D9" s="849"/>
      <c r="E9" s="849"/>
      <c r="F9" s="841">
        <f>F23+G23</f>
        <v>220000</v>
      </c>
      <c r="G9" s="842"/>
      <c r="H9" s="1"/>
      <c r="I9" s="12"/>
      <c r="J9" s="12"/>
      <c r="K9" s="12"/>
    </row>
    <row r="10" spans="1:11">
      <c r="G10" s="211"/>
    </row>
    <row r="11" spans="1:11" ht="17.25" thickBot="1"/>
    <row r="12" spans="1:11" ht="30.75" customHeight="1" thickBot="1">
      <c r="A12" s="226" t="s">
        <v>7622</v>
      </c>
      <c r="B12" s="227" t="s">
        <v>53</v>
      </c>
      <c r="C12" s="228" t="s">
        <v>7652</v>
      </c>
      <c r="D12" s="227" t="s">
        <v>7502</v>
      </c>
      <c r="E12" s="229" t="s">
        <v>7503</v>
      </c>
      <c r="F12" s="229" t="s">
        <v>7662</v>
      </c>
      <c r="G12" s="230" t="s">
        <v>7663</v>
      </c>
    </row>
    <row r="13" spans="1:11" ht="31.5" customHeight="1">
      <c r="A13" s="221" t="str" cm="1">
        <f t="array" ref="A13:F13">_xlfn._xlws.FILTER(국내!$E$1:$J$241,(국내!$C$1:$C$241=A3),"결과 없음")</f>
        <v>서비스</v>
      </c>
      <c r="B13" s="223" t="str">
        <v>수리비</v>
      </c>
      <c r="C13" s="223" t="str">
        <v>S60000500AC0 셔터 교체 및 재보정</v>
      </c>
      <c r="D13" s="222">
        <v>1</v>
      </c>
      <c r="E13" s="224">
        <v>200000</v>
      </c>
      <c r="F13" s="224">
        <v>200000</v>
      </c>
      <c r="G13" s="225">
        <f>F13*0.1</f>
        <v>20000</v>
      </c>
    </row>
    <row r="14" spans="1:11" ht="31.5" customHeight="1">
      <c r="A14" s="219"/>
      <c r="B14" s="210"/>
      <c r="C14" s="210"/>
      <c r="D14" s="144"/>
      <c r="E14" s="213"/>
      <c r="F14" s="213"/>
      <c r="G14" s="220">
        <f t="shared" ref="G14:G23" si="0">F14*0.1</f>
        <v>0</v>
      </c>
    </row>
    <row r="15" spans="1:11" ht="31.5" customHeight="1">
      <c r="A15" s="219"/>
      <c r="B15" s="210"/>
      <c r="C15" s="210"/>
      <c r="D15" s="144"/>
      <c r="E15" s="213"/>
      <c r="F15" s="213"/>
      <c r="G15" s="220">
        <f t="shared" si="0"/>
        <v>0</v>
      </c>
    </row>
    <row r="16" spans="1:11" ht="31.5" customHeight="1">
      <c r="A16" s="219"/>
      <c r="B16" s="144"/>
      <c r="C16" s="210"/>
      <c r="D16" s="144"/>
      <c r="E16" s="213"/>
      <c r="F16" s="213"/>
      <c r="G16" s="220">
        <f t="shared" si="0"/>
        <v>0</v>
      </c>
    </row>
    <row r="17" spans="1:7" ht="31.5" customHeight="1">
      <c r="A17" s="219"/>
      <c r="B17" s="144"/>
      <c r="C17" s="210"/>
      <c r="D17" s="144"/>
      <c r="E17" s="213"/>
      <c r="F17" s="213"/>
      <c r="G17" s="220">
        <f t="shared" si="0"/>
        <v>0</v>
      </c>
    </row>
    <row r="18" spans="1:7" ht="31.5" customHeight="1">
      <c r="A18" s="219"/>
      <c r="B18" s="144"/>
      <c r="C18" s="210"/>
      <c r="D18" s="144"/>
      <c r="E18" s="213"/>
      <c r="F18" s="213"/>
      <c r="G18" s="220">
        <f t="shared" si="0"/>
        <v>0</v>
      </c>
    </row>
    <row r="19" spans="1:7" ht="31.5" customHeight="1">
      <c r="A19" s="219"/>
      <c r="B19" s="144"/>
      <c r="C19" s="210"/>
      <c r="D19" s="144"/>
      <c r="E19" s="213"/>
      <c r="F19" s="213"/>
      <c r="G19" s="220">
        <f t="shared" si="0"/>
        <v>0</v>
      </c>
    </row>
    <row r="20" spans="1:7" ht="31.5" customHeight="1">
      <c r="A20" s="219"/>
      <c r="B20" s="144"/>
      <c r="C20" s="210"/>
      <c r="D20" s="144"/>
      <c r="E20" s="213"/>
      <c r="F20" s="213"/>
      <c r="G20" s="220">
        <f t="shared" si="0"/>
        <v>0</v>
      </c>
    </row>
    <row r="21" spans="1:7" ht="31.5" customHeight="1" thickBot="1">
      <c r="A21" s="219"/>
      <c r="B21" s="144"/>
      <c r="C21" s="210"/>
      <c r="D21" s="144"/>
      <c r="E21" s="213"/>
      <c r="F21" s="213"/>
      <c r="G21" s="220">
        <f t="shared" si="0"/>
        <v>0</v>
      </c>
    </row>
    <row r="22" spans="1:7" ht="35.25" hidden="1" customHeight="1" thickBot="1">
      <c r="A22" s="219"/>
      <c r="B22" s="144"/>
      <c r="C22" s="210"/>
      <c r="D22" s="144"/>
      <c r="E22" s="213"/>
      <c r="F22" s="213"/>
      <c r="G22" s="220">
        <f t="shared" si="0"/>
        <v>0</v>
      </c>
    </row>
    <row r="23" spans="1:7" ht="35.25" customHeight="1" thickBot="1">
      <c r="A23" s="846" t="s">
        <v>7660</v>
      </c>
      <c r="B23" s="847"/>
      <c r="C23" s="847"/>
      <c r="D23" s="231">
        <f>SUM(D13:D22)</f>
        <v>1</v>
      </c>
      <c r="E23" s="232"/>
      <c r="F23" s="233">
        <f>SUM(F13:F22)</f>
        <v>200000</v>
      </c>
      <c r="G23" s="234">
        <f t="shared" si="0"/>
        <v>20000</v>
      </c>
    </row>
    <row r="28" spans="1:7">
      <c r="A28" s="843" t="s">
        <v>7668</v>
      </c>
      <c r="B28" s="843"/>
      <c r="C28" s="843"/>
      <c r="D28" s="843"/>
      <c r="E28" s="843"/>
      <c r="F28" s="843"/>
      <c r="G28" s="843"/>
    </row>
    <row r="29" spans="1:7">
      <c r="A29" s="843"/>
      <c r="B29" s="843"/>
      <c r="C29" s="843"/>
      <c r="D29" s="843"/>
      <c r="E29" s="843"/>
      <c r="F29" s="843"/>
      <c r="G29" s="843"/>
    </row>
  </sheetData>
  <mergeCells count="8">
    <mergeCell ref="F9:G9"/>
    <mergeCell ref="A28:G29"/>
    <mergeCell ref="A3:B3"/>
    <mergeCell ref="A1:B2"/>
    <mergeCell ref="A23:C23"/>
    <mergeCell ref="A5:B5"/>
    <mergeCell ref="B9:E9"/>
    <mergeCell ref="A6:B6"/>
  </mergeCells>
  <phoneticPr fontId="18" type="noConversion"/>
  <dataValidations count="1">
    <dataValidation type="list" allowBlank="1" showInputMessage="1" showErrorMessage="1" sqref="A3:B3" xr:uid="{4A5FBDF9-7521-4677-A7AE-7B041C79A446}">
      <formula1>INDIRECT("tbl_국내[문서번호]")</formula1>
    </dataValidation>
  </dataValidations>
  <printOptions horizontalCentere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  <pageSetUpPr fitToPage="1"/>
  </sheetPr>
  <dimension ref="A1:W99"/>
  <sheetViews>
    <sheetView zoomScale="85" zoomScaleNormal="85" workbookViewId="0">
      <selection activeCell="Z29" sqref="Z29"/>
    </sheetView>
  </sheetViews>
  <sheetFormatPr defaultRowHeight="16.5"/>
  <cols>
    <col min="1" max="1" width="7.625" bestFit="1" customWidth="1"/>
    <col min="2" max="3" width="18" bestFit="1" customWidth="1"/>
    <col min="4" max="4" width="25" bestFit="1" customWidth="1"/>
    <col min="5" max="5" width="7.125" bestFit="1" customWidth="1"/>
    <col min="6" max="7" width="7.125" customWidth="1"/>
    <col min="8" max="8" width="11.75" bestFit="1" customWidth="1"/>
    <col min="9" max="9" width="8.25" bestFit="1" customWidth="1"/>
    <col min="10" max="11" width="11.75" bestFit="1" customWidth="1"/>
    <col min="12" max="12" width="7.125" bestFit="1" customWidth="1"/>
    <col min="13" max="15" width="7.125" customWidth="1"/>
    <col min="16" max="16" width="12.75" customWidth="1"/>
    <col min="17" max="18" width="10" bestFit="1" customWidth="1"/>
    <col min="19" max="19" width="7.125" bestFit="1" customWidth="1"/>
    <col min="20" max="21" width="7.125" customWidth="1"/>
    <col min="22" max="22" width="9.25" customWidth="1"/>
    <col min="23" max="25" width="7.125" bestFit="1" customWidth="1"/>
    <col min="26" max="26" width="22.5" bestFit="1" customWidth="1"/>
  </cols>
  <sheetData>
    <row r="1" spans="1:23">
      <c r="A1" s="3" t="s">
        <v>12</v>
      </c>
      <c r="B1" s="4" t="s">
        <v>13</v>
      </c>
      <c r="C1" s="4" t="s">
        <v>14</v>
      </c>
      <c r="D1" s="5" t="s">
        <v>15</v>
      </c>
    </row>
    <row r="2" spans="1:23">
      <c r="A2" s="3">
        <v>1</v>
      </c>
      <c r="B2" s="6">
        <f>SUMIFS(tbl_해외[금액(원)/필증기준],tbl_해외[연구분],2025,tbl_해외[월구분],'2025매출차트'!A2)</f>
        <v>57611313.019999996</v>
      </c>
      <c r="C2" s="423">
        <f>SUMIFS(국내!J:J,국내!R:R,2025,국내!S:S,'2025매출차트'!A2)</f>
        <v>12146000</v>
      </c>
      <c r="D2" s="100">
        <f>SUMIFS(국내!H:H,국내!R:R,2025,국내!T:T,"카메라",국내!S:S,'2025매출차트'!A2)+SUMIFS(tbl_해외[수량],tbl_해외[연구분],2025,tbl_해외[카메라구분],"카메라",tbl_해외[월구분],'2025매출차트'!A2)</f>
        <v>6</v>
      </c>
      <c r="W2" s="2"/>
    </row>
    <row r="3" spans="1:23">
      <c r="A3" s="3">
        <v>2</v>
      </c>
      <c r="B3" s="6">
        <f>SUMIFS(tbl_해외[금액(원)/필증기준],tbl_해외[연구분],2025,tbl_해외[월구분],'2025매출차트'!A3)</f>
        <v>10639811.300000001</v>
      </c>
      <c r="C3" s="423">
        <f>SUMIFS(국내!J:J,국내!R:R,2025,국내!S:S,'2025매출차트'!A3)</f>
        <v>275130300</v>
      </c>
      <c r="D3" s="100">
        <f>SUMIFS(국내!H:H,국내!R:R,2025,국내!T:T,"카메라",국내!S:S,'2025매출차트'!A3)+SUMIFS(tbl_해외[수량],tbl_해외[연구분],2025,tbl_해외[카메라구분],"카메라",tbl_해외[월구분],'2025매출차트'!A3)</f>
        <v>19</v>
      </c>
      <c r="W3" s="2"/>
    </row>
    <row r="4" spans="1:23">
      <c r="A4" s="3">
        <v>3</v>
      </c>
      <c r="B4" s="6">
        <f>SUMIFS(tbl_해외[금액(원)/필증기준],tbl_해외[연구분],2025,tbl_해외[월구분],'2025매출차트'!A4)</f>
        <v>50021188.800000004</v>
      </c>
      <c r="C4" s="423">
        <f>SUMIFS(국내!J:J,국내!R:R,2025,국내!S:S,'2025매출차트'!A4)</f>
        <v>92458000</v>
      </c>
      <c r="D4" s="100">
        <f>SUMIFS(국내!H:H,국내!R:R,2025,국내!T:T,"카메라",국내!S:S,'2025매출차트'!A4)+SUMIFS(tbl_해외[수량],tbl_해외[연구분],2025,tbl_해외[카메라구분],"카메라",tbl_해외[월구분],'2025매출차트'!A4)</f>
        <v>26</v>
      </c>
      <c r="W4" s="2"/>
    </row>
    <row r="5" spans="1:23">
      <c r="A5" s="3">
        <v>4</v>
      </c>
      <c r="B5" s="6">
        <f>SUMIFS(tbl_해외[금액(원)/필증기준],tbl_해외[연구분],2025,tbl_해외[월구분],'2025매출차트'!A5)</f>
        <v>115386199.68000001</v>
      </c>
      <c r="C5" s="423">
        <f>SUMIFS(국내!J:J,국내!R:R,2025,국내!S:S,'2025매출차트'!A5)</f>
        <v>153454000</v>
      </c>
      <c r="D5" s="100">
        <f>SUMIFS(국내!H:H,국내!R:R,2025,국내!T:T,"카메라",국내!S:S,'2025매출차트'!A5)+SUMIFS(tbl_해외[수량],tbl_해외[연구분],2025,tbl_해외[카메라구분],"카메라",tbl_해외[월구분],'2025매출차트'!A5)</f>
        <v>23</v>
      </c>
      <c r="W5" s="2"/>
    </row>
    <row r="6" spans="1:23">
      <c r="A6" s="3">
        <v>5</v>
      </c>
      <c r="B6" s="6">
        <f>SUMIFS(tbl_해외[금액(원)/필증기준],tbl_해외[연구분],2025,tbl_해외[월구분],'2025매출차트'!A6)</f>
        <v>28969359.199999999</v>
      </c>
      <c r="C6" s="423">
        <f>SUMIFS(국내!J:J,국내!R:R,2025,국내!S:S,'2025매출차트'!A6)</f>
        <v>48956000</v>
      </c>
      <c r="D6" s="100">
        <f>SUMIFS(국내!H:H,국내!R:R,2025,국내!T:T,"카메라",국내!S:S,'2025매출차트'!A6)+SUMIFS(tbl_해외[수량],tbl_해외[연구분],2025,tbl_해외[카메라구분],"카메라",tbl_해외[월구분],'2025매출차트'!A6)</f>
        <v>13</v>
      </c>
      <c r="W6" s="2"/>
    </row>
    <row r="7" spans="1:23">
      <c r="A7" s="3">
        <v>6</v>
      </c>
      <c r="B7" s="6">
        <f>SUMIFS(tbl_해외[금액(원)/필증기준],tbl_해외[연구분],2025,tbl_해외[월구분],'2025매출차트'!A7)</f>
        <v>100586649.59999999</v>
      </c>
      <c r="C7" s="423">
        <f>SUMIFS(국내!J:J,국내!R:R,2025,국내!S:S,'2025매출차트'!A7)</f>
        <v>39979298</v>
      </c>
      <c r="D7" s="100">
        <f>SUMIFS(국내!H:H,국내!R:R,2025,국내!T:T,"카메라",국내!S:S,'2025매출차트'!A7)+SUMIFS(tbl_해외[수량],tbl_해외[연구분],2025,tbl_해외[카메라구분],"카메라",tbl_해외[월구분],'2025매출차트'!A7)</f>
        <v>28</v>
      </c>
      <c r="W7" s="2"/>
    </row>
    <row r="8" spans="1:23">
      <c r="A8" s="3">
        <v>7</v>
      </c>
      <c r="B8" s="6">
        <f>SUMIFS(tbl_해외[금액(원)/필증기준],tbl_해외[연구분],2025,tbl_해외[월구분],'2025매출차트'!A8)</f>
        <v>98942401.640000001</v>
      </c>
      <c r="C8" s="423">
        <f>SUMIFS(국내!J:J,국내!R:R,2025,국내!S:S,'2025매출차트'!A8)</f>
        <v>6532000</v>
      </c>
      <c r="D8" s="100">
        <f>SUMIFS(국내!H:H,국내!R:R,2025,국내!T:T,"카메라",국내!S:S,'2025매출차트'!A8)+SUMIFS(tbl_해외[수량],tbl_해외[연구분],2025,tbl_해외[카메라구분],"카메라",tbl_해외[월구분],'2025매출차트'!A8)</f>
        <v>26</v>
      </c>
      <c r="W8" s="2"/>
    </row>
    <row r="9" spans="1:23">
      <c r="A9" s="3">
        <v>8</v>
      </c>
      <c r="B9" s="6">
        <f>SUMIFS(tbl_해외[금액(원)/필증기준],tbl_해외[연구분],2025,tbl_해외[월구분],'2025매출차트'!A9)</f>
        <v>62600653.535999998</v>
      </c>
      <c r="C9" s="423">
        <f>SUMIFS(국내!J:J,국내!R:R,2025,국내!S:S,'2025매출차트'!A9)</f>
        <v>24748384</v>
      </c>
      <c r="D9" s="100">
        <f>SUMIFS(국내!H:H,국내!R:R,2025,국내!T:T,"카메라",국내!S:S,'2025매출차트'!A9)+SUMIFS(tbl_해외[수량],tbl_해외[연구분],2025,tbl_해외[카메라구분],"카메라",tbl_해외[월구분],'2025매출차트'!A9)</f>
        <v>13</v>
      </c>
      <c r="W9" s="2"/>
    </row>
    <row r="10" spans="1:23">
      <c r="A10" s="3">
        <v>9</v>
      </c>
      <c r="B10" s="6">
        <f>SUMIFS(tbl_해외[금액(원)/필증기준],tbl_해외[연구분],2025,tbl_해외[월구분],'2025매출차트'!A10)</f>
        <v>93875280.631999984</v>
      </c>
      <c r="C10" s="423">
        <f>SUMIFS(국내!J:J,국내!R:R,2025,국내!S:S,'2025매출차트'!A10)</f>
        <v>58160000</v>
      </c>
      <c r="D10" s="100">
        <f>SUMIFS(국내!H:H,국내!R:R,2025,국내!T:T,"카메라",국내!S:S,'2025매출차트'!A10)+SUMIFS(tbl_해외[수량],tbl_해외[연구분],2025,tbl_해외[카메라구분],"카메라",tbl_해외[월구분],'2025매출차트'!A10)</f>
        <v>30</v>
      </c>
      <c r="W10" s="2"/>
    </row>
    <row r="11" spans="1:23">
      <c r="A11" s="3">
        <v>10</v>
      </c>
      <c r="B11" s="6">
        <f>SUMIFS(tbl_해외[금액(원)/필증기준],tbl_해외[연구분],2025,tbl_해외[월구분],'2025매출차트'!A11)</f>
        <v>15965719.92</v>
      </c>
      <c r="C11" s="423">
        <f>SUMIFS(국내!J:J,국내!R:R,2025,국내!S:S,'2025매출차트'!A11)</f>
        <v>17923600</v>
      </c>
      <c r="D11" s="100">
        <f>SUMIFS(국내!H:H,국내!R:R,2025,국내!T:T,"카메라",국내!S:S,'2025매출차트'!A11)+SUMIFS(tbl_해외[수량],tbl_해외[연구분],2025,tbl_해외[카메라구분],"카메라",tbl_해외[월구분],'2025매출차트'!A11)</f>
        <v>9</v>
      </c>
      <c r="W11" s="2"/>
    </row>
    <row r="12" spans="1:23">
      <c r="A12" s="3">
        <v>11</v>
      </c>
      <c r="B12" s="6">
        <f>SUMIFS(tbl_해외[금액(원)/필증기준],tbl_해외[연구분],2025,tbl_해외[월구분],'2025매출차트'!A12)</f>
        <v>44257556.199999996</v>
      </c>
      <c r="C12" s="423">
        <f>SUMIFS(국내!J:J,국내!R:R,2025,국내!S:S,'2025매출차트'!A12)</f>
        <v>71793000</v>
      </c>
      <c r="D12" s="100">
        <f>SUMIFS(국내!H:H,국내!R:R,2025,국내!T:T,"카메라",국내!S:S,'2025매출차트'!A12)+SUMIFS(tbl_해외[수량],tbl_해외[연구분],2025,tbl_해외[카메라구분],"카메라",tbl_해외[월구분],'2025매출차트'!A12)</f>
        <v>8</v>
      </c>
      <c r="W12" s="2"/>
    </row>
    <row r="13" spans="1:23">
      <c r="A13" s="3">
        <v>12</v>
      </c>
      <c r="B13" s="6">
        <f>SUMIFS(tbl_해외[금액(원)/필증기준],tbl_해외[연구분],2025,tbl_해외[월구분],'2025매출차트'!A13)</f>
        <v>0</v>
      </c>
      <c r="C13" s="423">
        <f>SUMIFS(국내!J:J,국내!R:R,2025,국내!S:S,'2025매출차트'!A13)</f>
        <v>0</v>
      </c>
      <c r="D13" s="100">
        <f>SUMIFS(국내!H:H,국내!R:R,2025,국내!T:T,"카메라",국내!S:S,'2025매출차트'!A13)+SUMIFS(tbl_해외[수량],tbl_해외[연구분],2025,tbl_해외[카메라구분],"카메라",tbl_해외[월구분],'2025매출차트'!A13)</f>
        <v>0</v>
      </c>
      <c r="W13" s="2"/>
    </row>
    <row r="14" spans="1:23" ht="16.5" customHeight="1"/>
    <row r="15" spans="1:23">
      <c r="A15" s="19"/>
      <c r="B15" s="20" t="s">
        <v>16</v>
      </c>
      <c r="C15" s="19"/>
      <c r="D15" s="19"/>
    </row>
    <row r="16" spans="1:23">
      <c r="A16" s="20" t="s">
        <v>17</v>
      </c>
      <c r="B16" s="19" t="s">
        <v>18</v>
      </c>
      <c r="C16" s="19" t="s">
        <v>19</v>
      </c>
      <c r="D16" s="21" t="s">
        <v>20</v>
      </c>
    </row>
    <row r="17" spans="1:19">
      <c r="A17" s="19">
        <v>1</v>
      </c>
      <c r="B17" s="51">
        <v>57611313.019999996</v>
      </c>
      <c r="C17" s="51">
        <v>12146000</v>
      </c>
      <c r="D17" s="694">
        <v>6</v>
      </c>
    </row>
    <row r="18" spans="1:19">
      <c r="A18" s="19">
        <v>2</v>
      </c>
      <c r="B18" s="51">
        <v>10639811.300000001</v>
      </c>
      <c r="C18" s="51">
        <v>275130300</v>
      </c>
      <c r="D18" s="694">
        <v>19</v>
      </c>
    </row>
    <row r="19" spans="1:19">
      <c r="A19" s="19">
        <v>3</v>
      </c>
      <c r="B19" s="51">
        <v>50021188.800000004</v>
      </c>
      <c r="C19" s="51">
        <v>92458000</v>
      </c>
      <c r="D19" s="694">
        <v>26</v>
      </c>
    </row>
    <row r="20" spans="1:19">
      <c r="A20" s="19">
        <v>4</v>
      </c>
      <c r="B20" s="51">
        <v>115386199.68000001</v>
      </c>
      <c r="C20" s="51">
        <v>153454000</v>
      </c>
      <c r="D20" s="694">
        <v>23</v>
      </c>
    </row>
    <row r="21" spans="1:19">
      <c r="A21" s="19">
        <v>5</v>
      </c>
      <c r="B21" s="51">
        <v>28969359.199999999</v>
      </c>
      <c r="C21" s="51">
        <v>48956000</v>
      </c>
      <c r="D21" s="694">
        <v>13</v>
      </c>
    </row>
    <row r="22" spans="1:19">
      <c r="A22" s="19">
        <v>6</v>
      </c>
      <c r="B22" s="51">
        <v>100586649.59999999</v>
      </c>
      <c r="C22" s="51">
        <v>39979298</v>
      </c>
      <c r="D22" s="694">
        <v>28</v>
      </c>
    </row>
    <row r="23" spans="1:19">
      <c r="A23" s="19">
        <v>7</v>
      </c>
      <c r="B23" s="51">
        <v>98942401.640000001</v>
      </c>
      <c r="C23" s="51">
        <v>1600000</v>
      </c>
      <c r="D23" s="694">
        <v>24</v>
      </c>
    </row>
    <row r="24" spans="1:19">
      <c r="A24" s="19">
        <v>8</v>
      </c>
      <c r="B24" s="51">
        <v>62600653.535999998</v>
      </c>
      <c r="C24" s="51">
        <v>36880384</v>
      </c>
      <c r="D24" s="694">
        <v>18</v>
      </c>
    </row>
    <row r="25" spans="1:19">
      <c r="A25" s="19">
        <v>9</v>
      </c>
      <c r="B25" s="51">
        <v>93875280.631999984</v>
      </c>
      <c r="C25" s="51">
        <v>2300000</v>
      </c>
      <c r="D25" s="694">
        <v>18</v>
      </c>
    </row>
    <row r="26" spans="1:19">
      <c r="A26" s="19">
        <v>10</v>
      </c>
      <c r="B26" s="51">
        <v>15965719.92</v>
      </c>
      <c r="C26" s="51">
        <v>66583600</v>
      </c>
      <c r="D26" s="694">
        <v>18</v>
      </c>
    </row>
    <row r="27" spans="1:19">
      <c r="A27" s="19">
        <v>11</v>
      </c>
      <c r="B27" s="51">
        <v>0</v>
      </c>
      <c r="C27" s="51">
        <v>70000000</v>
      </c>
      <c r="D27" s="694">
        <v>0</v>
      </c>
    </row>
    <row r="28" spans="1:19">
      <c r="A28" s="19">
        <v>12</v>
      </c>
      <c r="B28" s="51">
        <v>0</v>
      </c>
      <c r="C28" s="51">
        <v>0</v>
      </c>
      <c r="D28" s="694">
        <v>0</v>
      </c>
    </row>
    <row r="29" spans="1:19">
      <c r="A29" s="19" t="s">
        <v>21</v>
      </c>
      <c r="B29" s="51">
        <v>634598577.32799995</v>
      </c>
      <c r="C29" s="51">
        <v>799487582</v>
      </c>
      <c r="D29" s="694">
        <v>193</v>
      </c>
    </row>
    <row r="30" spans="1:19">
      <c r="A30" s="874">
        <f>GETPIVOTDATA("합계 : 해외 매출액",$A$15)+GETPIVOTDATA("합계 : 국내 매출액",$A$15)</f>
        <v>1434086159.3280001</v>
      </c>
      <c r="B30" s="874"/>
    </row>
    <row r="31" spans="1:19" ht="16.5" customHeight="1"/>
    <row r="32" spans="1:19" ht="16.5" customHeight="1">
      <c r="A32" s="7" t="s">
        <v>22</v>
      </c>
      <c r="B32" s="7" t="s">
        <v>23</v>
      </c>
      <c r="C32" s="7" t="s">
        <v>24</v>
      </c>
      <c r="D32" s="7" t="s">
        <v>25</v>
      </c>
      <c r="H32" s="877" t="s">
        <v>22</v>
      </c>
      <c r="I32" s="877"/>
      <c r="J32" s="7" t="s">
        <v>23</v>
      </c>
      <c r="K32" s="7" t="s">
        <v>24</v>
      </c>
      <c r="L32" s="877" t="s">
        <v>25</v>
      </c>
      <c r="M32" s="877"/>
      <c r="P32" s="7" t="s">
        <v>22</v>
      </c>
      <c r="Q32" s="7" t="s">
        <v>23</v>
      </c>
      <c r="R32" s="7" t="s">
        <v>24</v>
      </c>
      <c r="S32" s="7" t="s">
        <v>25</v>
      </c>
    </row>
    <row r="33" spans="1:23" ht="16.5" customHeight="1">
      <c r="A33" s="875" t="s">
        <v>7136</v>
      </c>
      <c r="B33" s="3" t="s">
        <v>26</v>
      </c>
      <c r="C33" s="3">
        <f>SUMIFS(tbl_해외[수량],tbl_해외[연구분],2025,tbl_해외[해상도],"QVGA")</f>
        <v>16</v>
      </c>
      <c r="D33" s="859">
        <f>C33+C34</f>
        <v>35</v>
      </c>
      <c r="H33" s="880" t="s">
        <v>209</v>
      </c>
      <c r="I33" s="881"/>
      <c r="J33" s="3" t="s">
        <v>26</v>
      </c>
      <c r="K33" s="3">
        <f>SUMIFS(tbl_해외[수량],tbl_해외[연구분],2025,tbl_해외[용도],"Radiometric")</f>
        <v>113</v>
      </c>
      <c r="L33" s="858">
        <f>K33+K34</f>
        <v>172</v>
      </c>
      <c r="M33" s="858"/>
      <c r="P33" s="858" t="s">
        <v>27</v>
      </c>
      <c r="Q33" s="3" t="s">
        <v>26</v>
      </c>
      <c r="R33" s="3">
        <f>SUMIFS(tbl_해외[수량],tbl_해외[연구분],2025,tbl_해외[구분],"Analogue")</f>
        <v>62</v>
      </c>
      <c r="S33" s="858">
        <f>R33+R34</f>
        <v>100</v>
      </c>
    </row>
    <row r="34" spans="1:23" ht="16.5" customHeight="1">
      <c r="A34" s="876"/>
      <c r="B34" s="8" t="s">
        <v>28</v>
      </c>
      <c r="C34" s="8">
        <f>SUMIFS(국내!H:H,국내!R:R,2025,국내!W:W,"QVGA")</f>
        <v>19</v>
      </c>
      <c r="D34" s="860"/>
      <c r="H34" s="882"/>
      <c r="I34" s="883"/>
      <c r="J34" s="8" t="s">
        <v>28</v>
      </c>
      <c r="K34" s="3">
        <f>SUMIFS(국내!H:H,국내!R:R,2025,국내!X:X,"Radiometric")</f>
        <v>59</v>
      </c>
      <c r="L34" s="858"/>
      <c r="M34" s="858"/>
      <c r="P34" s="858"/>
      <c r="Q34" s="8" t="s">
        <v>28</v>
      </c>
      <c r="R34" s="8">
        <f>SUMIFS(국내!H:H,국내!R:R,2025,국내!Y:Y,"Analogue")</f>
        <v>38</v>
      </c>
      <c r="S34" s="858"/>
    </row>
    <row r="35" spans="1:23" ht="16.5" customHeight="1">
      <c r="A35" s="878" t="s">
        <v>7139</v>
      </c>
      <c r="B35" s="9" t="s">
        <v>26</v>
      </c>
      <c r="C35" s="9">
        <f>SUMIFS(tbl_해외[수량],tbl_해외[연구분],2025,tbl_해외[해상도],"VGA")</f>
        <v>111</v>
      </c>
      <c r="D35" s="864">
        <f>C35+C36</f>
        <v>170</v>
      </c>
      <c r="H35" s="884" t="s">
        <v>210</v>
      </c>
      <c r="I35" s="885"/>
      <c r="J35" s="9" t="s">
        <v>26</v>
      </c>
      <c r="K35" s="9">
        <f>SUMIFS(tbl_해외[수량],tbl_해외[연구분],2025,tbl_해외[용도],"Security")</f>
        <v>14</v>
      </c>
      <c r="L35" s="855">
        <f>K35+K36</f>
        <v>32</v>
      </c>
      <c r="M35" s="855"/>
      <c r="P35" s="854" t="s">
        <v>211</v>
      </c>
      <c r="Q35" s="9" t="s">
        <v>26</v>
      </c>
      <c r="R35" s="9">
        <f>SUMIFS(tbl_해외[수량],tbl_해외[연구분],2025,tbl_해외[구분],"Network")</f>
        <v>65</v>
      </c>
      <c r="S35" s="855">
        <f>R35+R36</f>
        <v>105</v>
      </c>
    </row>
    <row r="36" spans="1:23" ht="16.5" customHeight="1">
      <c r="A36" s="879"/>
      <c r="B36" s="10" t="s">
        <v>28</v>
      </c>
      <c r="C36" s="10">
        <f>SUMIFS(국내!H:H,국내!R:R,2025,국내!W:W,"VGA")</f>
        <v>59</v>
      </c>
      <c r="D36" s="865"/>
      <c r="H36" s="886"/>
      <c r="I36" s="887"/>
      <c r="J36" s="10" t="s">
        <v>28</v>
      </c>
      <c r="K36" s="10">
        <f>SUMIFS(국내!H:H,국내!R:R,2025,국내!X:X,"Security")</f>
        <v>18</v>
      </c>
      <c r="L36" s="855"/>
      <c r="M36" s="855"/>
      <c r="P36" s="855"/>
      <c r="Q36" s="10" t="s">
        <v>28</v>
      </c>
      <c r="R36" s="10">
        <f>SUMIFS(국내!H:H,국내!R:R,2025,국내!Y:Y,"Network")</f>
        <v>40</v>
      </c>
      <c r="S36" s="855"/>
    </row>
    <row r="37" spans="1:23" ht="16.5" customHeight="1">
      <c r="A37" s="861" t="s">
        <v>7142</v>
      </c>
      <c r="B37" s="11" t="s">
        <v>26</v>
      </c>
      <c r="C37" s="11">
        <f>SUMIFS(tbl_해외[수량],tbl_해외[연구분],2025,tbl_해외[해상도],"XGA")</f>
        <v>0</v>
      </c>
      <c r="D37" s="856">
        <f>C37+C38</f>
        <v>0</v>
      </c>
      <c r="H37" s="866" t="s">
        <v>299</v>
      </c>
      <c r="I37" s="867"/>
      <c r="J37" s="11" t="s">
        <v>26</v>
      </c>
      <c r="K37" s="11">
        <f>SUMIFS(tbl_해외[수량],tbl_해외[연구분],2025,tbl_해외[용도],"Night vision")</f>
        <v>0</v>
      </c>
      <c r="L37" s="853">
        <f>K37+K38</f>
        <v>1</v>
      </c>
      <c r="M37" s="853"/>
      <c r="T37" s="12"/>
      <c r="U37" s="1"/>
      <c r="V37" s="1"/>
      <c r="W37" s="1"/>
    </row>
    <row r="38" spans="1:23" ht="16.5" customHeight="1">
      <c r="A38" s="862"/>
      <c r="B38" s="13" t="s">
        <v>28</v>
      </c>
      <c r="C38" s="13">
        <f>SUMIFS(국내!H:H,국내!R:R,2025,국내!W:W,"XGA")</f>
        <v>0</v>
      </c>
      <c r="D38" s="857"/>
      <c r="H38" s="868"/>
      <c r="I38" s="869"/>
      <c r="J38" s="13" t="s">
        <v>28</v>
      </c>
      <c r="K38" s="13">
        <f>SUMIFS(국내!H:H,국내!R:R,2025,국내!X:X,"Night vision")</f>
        <v>1</v>
      </c>
      <c r="L38" s="853"/>
      <c r="M38" s="853"/>
      <c r="T38" s="1"/>
      <c r="U38" s="1"/>
      <c r="V38" s="1"/>
      <c r="W38" s="1"/>
    </row>
    <row r="39" spans="1:23" ht="16.5" customHeight="1">
      <c r="A39" s="1"/>
      <c r="B39" s="1"/>
      <c r="C39" s="1"/>
      <c r="D39" s="1"/>
      <c r="H39" s="870" t="s">
        <v>105</v>
      </c>
      <c r="I39" s="871"/>
      <c r="J39" s="28" t="s">
        <v>37</v>
      </c>
      <c r="K39" s="28">
        <f>SUMIFS(tbl_해외[수량],tbl_해외[연구분],2025,tbl_해외[용도],"Fever screening")</f>
        <v>0</v>
      </c>
      <c r="L39" s="863">
        <f>K39+K40</f>
        <v>0</v>
      </c>
      <c r="M39" s="863"/>
      <c r="T39" s="1"/>
      <c r="U39" s="1"/>
      <c r="V39" s="1"/>
      <c r="W39" s="1"/>
    </row>
    <row r="40" spans="1:23" ht="16.5" customHeight="1">
      <c r="A40" s="1"/>
      <c r="B40" s="1"/>
      <c r="C40" s="1"/>
      <c r="D40" s="1"/>
      <c r="H40" s="872"/>
      <c r="I40" s="873"/>
      <c r="J40" s="28" t="s">
        <v>36</v>
      </c>
      <c r="K40" s="28">
        <f>SUMIFS(국내!H:H,국내!R:R,2025,국내!X:X,"Fever screening")</f>
        <v>0</v>
      </c>
      <c r="L40" s="863"/>
      <c r="M40" s="863"/>
      <c r="T40" s="1"/>
      <c r="U40" s="1"/>
      <c r="V40" s="1"/>
      <c r="W40" s="1"/>
    </row>
    <row r="41" spans="1:23">
      <c r="B41" s="2"/>
    </row>
    <row r="42" spans="1:23">
      <c r="B42" s="2"/>
    </row>
    <row r="53" spans="1:11" ht="16.5" hidden="1" customHeight="1"/>
    <row r="54" spans="1:11" ht="33" hidden="1" customHeight="1">
      <c r="A54" s="854" t="s">
        <v>29</v>
      </c>
      <c r="B54" s="9" t="s">
        <v>26</v>
      </c>
      <c r="C54" s="9">
        <f>2+6+23+9</f>
        <v>40</v>
      </c>
      <c r="D54" s="864">
        <f>C54+C55</f>
        <v>63</v>
      </c>
      <c r="F54" s="854" t="s">
        <v>30</v>
      </c>
      <c r="G54" s="15"/>
      <c r="H54" s="9">
        <f>40+68+0+7</f>
        <v>115</v>
      </c>
      <c r="I54" s="14">
        <f>H54+H55</f>
        <v>130</v>
      </c>
      <c r="K54" s="15" t="s">
        <v>31</v>
      </c>
    </row>
    <row r="55" spans="1:11" ht="16.5" hidden="1" customHeight="1">
      <c r="A55" s="855"/>
      <c r="B55" s="10" t="s">
        <v>28</v>
      </c>
      <c r="C55" s="10">
        <f>6+2+0+15</f>
        <v>23</v>
      </c>
      <c r="D55" s="865"/>
      <c r="F55" s="855"/>
      <c r="G55" s="9"/>
      <c r="H55" s="10">
        <f>2+2+0+11</f>
        <v>15</v>
      </c>
      <c r="I55" s="16"/>
      <c r="K55" s="9"/>
    </row>
    <row r="56" spans="1:11" ht="16.5" hidden="1" customHeight="1">
      <c r="A56" s="852" t="s">
        <v>32</v>
      </c>
      <c r="B56" s="11" t="s">
        <v>26</v>
      </c>
      <c r="C56" s="11">
        <f>0+0+0</f>
        <v>0</v>
      </c>
      <c r="D56" s="856">
        <f>C56+C57</f>
        <v>0</v>
      </c>
      <c r="F56" s="852" t="s">
        <v>33</v>
      </c>
      <c r="G56" s="30"/>
      <c r="H56" s="11">
        <f>0+0+22+32</f>
        <v>54</v>
      </c>
      <c r="I56" s="17">
        <f>H56+H57</f>
        <v>54</v>
      </c>
    </row>
    <row r="57" spans="1:11" ht="16.5" hidden="1" customHeight="1">
      <c r="A57" s="853"/>
      <c r="B57" s="13" t="s">
        <v>28</v>
      </c>
      <c r="C57" s="13">
        <f>0</f>
        <v>0</v>
      </c>
      <c r="D57" s="857"/>
      <c r="F57" s="853"/>
      <c r="G57" s="11"/>
      <c r="H57" s="13">
        <f>0+0+0+0</f>
        <v>0</v>
      </c>
      <c r="I57" s="18"/>
    </row>
    <row r="58" spans="1:11" ht="16.5" hidden="1" customHeight="1">
      <c r="B58" s="2"/>
    </row>
    <row r="59" spans="1:11" ht="16.5" hidden="1" customHeight="1">
      <c r="B59" s="2"/>
    </row>
    <row r="60" spans="1:11" ht="16.5" hidden="1" customHeight="1"/>
    <row r="61" spans="1:11" ht="16.5" hidden="1" customHeight="1"/>
    <row r="62" spans="1:11" ht="16.5" hidden="1" customHeight="1"/>
    <row r="63" spans="1:11" ht="16.5" hidden="1" customHeight="1"/>
    <row r="64" spans="1:11" ht="16.5" hidden="1" customHeight="1"/>
    <row r="65" ht="16.5" hidden="1" customHeight="1"/>
    <row r="66" ht="16.5" hidden="1" customHeight="1"/>
    <row r="67" ht="16.5" hidden="1" customHeight="1"/>
    <row r="68" ht="16.5" hidden="1" customHeight="1"/>
    <row r="69" ht="16.5" hidden="1" customHeight="1"/>
    <row r="70" ht="16.5" hidden="1" customHeight="1"/>
    <row r="88" spans="1:19" hidden="1">
      <c r="A88" s="33" t="s">
        <v>97</v>
      </c>
      <c r="B88" s="31" t="s">
        <v>38</v>
      </c>
      <c r="C88" s="33"/>
      <c r="D88" s="33"/>
      <c r="G88" s="1"/>
      <c r="H88" s="33" t="s">
        <v>97</v>
      </c>
      <c r="I88" s="31" t="s">
        <v>38</v>
      </c>
      <c r="J88" s="33"/>
      <c r="K88" s="33"/>
      <c r="P88" s="33" t="s">
        <v>97</v>
      </c>
      <c r="Q88" s="31" t="s">
        <v>38</v>
      </c>
      <c r="R88" s="33"/>
      <c r="S88" s="33"/>
    </row>
    <row r="89" spans="1:19" hidden="1">
      <c r="A89" s="37" t="s">
        <v>39</v>
      </c>
      <c r="B89" s="38" t="s">
        <v>36</v>
      </c>
      <c r="C89" s="38" t="s">
        <v>37</v>
      </c>
      <c r="D89" s="32" t="s">
        <v>21</v>
      </c>
      <c r="G89" s="12"/>
      <c r="H89" s="37" t="s">
        <v>41</v>
      </c>
      <c r="I89" s="38" t="s">
        <v>36</v>
      </c>
      <c r="J89" s="38" t="s">
        <v>37</v>
      </c>
      <c r="K89" s="32" t="s">
        <v>21</v>
      </c>
      <c r="P89" s="37" t="s">
        <v>96</v>
      </c>
      <c r="Q89" s="38" t="s">
        <v>36</v>
      </c>
      <c r="R89" s="38" t="s">
        <v>37</v>
      </c>
      <c r="S89" s="32" t="s">
        <v>21</v>
      </c>
    </row>
    <row r="90" spans="1:19" hidden="1">
      <c r="A90" s="38" t="s">
        <v>35</v>
      </c>
      <c r="B90" s="46">
        <v>1</v>
      </c>
      <c r="C90" s="46">
        <v>3</v>
      </c>
      <c r="D90" s="46">
        <v>4</v>
      </c>
      <c r="H90" s="38" t="s">
        <v>43</v>
      </c>
      <c r="I90" s="46">
        <v>4</v>
      </c>
      <c r="J90" s="46">
        <v>20</v>
      </c>
      <c r="K90" s="46">
        <v>24</v>
      </c>
      <c r="P90" s="38" t="s">
        <v>88</v>
      </c>
      <c r="Q90" s="46">
        <v>4</v>
      </c>
      <c r="R90" s="46">
        <v>33</v>
      </c>
      <c r="S90" s="46">
        <v>37</v>
      </c>
    </row>
    <row r="91" spans="1:19" hidden="1">
      <c r="A91" s="29" t="s">
        <v>89</v>
      </c>
      <c r="B91" s="47">
        <v>15</v>
      </c>
      <c r="C91" s="47">
        <v>34</v>
      </c>
      <c r="D91" s="47">
        <v>49</v>
      </c>
      <c r="H91" s="29" t="s">
        <v>111</v>
      </c>
      <c r="I91" s="47">
        <v>12</v>
      </c>
      <c r="J91" s="47">
        <v>17</v>
      </c>
      <c r="K91" s="47">
        <v>29</v>
      </c>
      <c r="P91" s="29" t="s">
        <v>106</v>
      </c>
      <c r="Q91" s="47">
        <v>12</v>
      </c>
      <c r="R91" s="47">
        <v>4</v>
      </c>
      <c r="S91" s="47">
        <v>16</v>
      </c>
    </row>
    <row r="92" spans="1:19" hidden="1">
      <c r="A92" s="5" t="s">
        <v>21</v>
      </c>
      <c r="B92" s="48">
        <v>16</v>
      </c>
      <c r="C92" s="48">
        <v>37</v>
      </c>
      <c r="D92" s="48">
        <v>53</v>
      </c>
      <c r="H92" s="5" t="s">
        <v>21</v>
      </c>
      <c r="I92" s="48">
        <v>16</v>
      </c>
      <c r="J92" s="48">
        <v>37</v>
      </c>
      <c r="K92" s="48">
        <v>53</v>
      </c>
      <c r="P92" s="29" t="s">
        <v>107</v>
      </c>
      <c r="Q92" s="47">
        <v>0</v>
      </c>
      <c r="R92" s="47">
        <v>0</v>
      </c>
      <c r="S92" s="47">
        <v>0</v>
      </c>
    </row>
    <row r="93" spans="1:19" hidden="1">
      <c r="P93" s="29" t="s">
        <v>118</v>
      </c>
      <c r="Q93" s="47">
        <v>0</v>
      </c>
      <c r="R93" s="47">
        <v>0</v>
      </c>
      <c r="S93" s="47">
        <v>0</v>
      </c>
    </row>
    <row r="94" spans="1:19" hidden="1">
      <c r="P94" s="5" t="s">
        <v>21</v>
      </c>
      <c r="Q94" s="48">
        <v>16</v>
      </c>
      <c r="R94" s="48">
        <v>37</v>
      </c>
      <c r="S94" s="48">
        <v>53</v>
      </c>
    </row>
    <row r="95" spans="1:19" hidden="1"/>
    <row r="99" spans="15:22">
      <c r="O99" s="12"/>
      <c r="V99" s="12"/>
    </row>
  </sheetData>
  <mergeCells count="27">
    <mergeCell ref="H39:I40"/>
    <mergeCell ref="A30:B30"/>
    <mergeCell ref="A33:A34"/>
    <mergeCell ref="L32:M32"/>
    <mergeCell ref="L33:M34"/>
    <mergeCell ref="L35:M36"/>
    <mergeCell ref="A35:A36"/>
    <mergeCell ref="D35:D36"/>
    <mergeCell ref="H32:I32"/>
    <mergeCell ref="H33:I34"/>
    <mergeCell ref="H35:I36"/>
    <mergeCell ref="A56:A57"/>
    <mergeCell ref="A54:A55"/>
    <mergeCell ref="D56:D57"/>
    <mergeCell ref="F56:F57"/>
    <mergeCell ref="S33:S34"/>
    <mergeCell ref="P35:P36"/>
    <mergeCell ref="S35:S36"/>
    <mergeCell ref="P33:P34"/>
    <mergeCell ref="D33:D34"/>
    <mergeCell ref="A37:A38"/>
    <mergeCell ref="D37:D38"/>
    <mergeCell ref="L39:M40"/>
    <mergeCell ref="D54:D55"/>
    <mergeCell ref="F54:F55"/>
    <mergeCell ref="L37:M38"/>
    <mergeCell ref="H37:I38"/>
  </mergeCells>
  <phoneticPr fontId="14" type="noConversion"/>
  <pageMargins left="0.25" right="0.25" top="0.75" bottom="0.75" header="0.3" footer="0.3"/>
  <pageSetup paperSize="9" scale="53" fitToHeight="0" orientation="landscape" r:id="rId5"/>
  <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42C6-022A-467E-BFBB-818428294DE6}">
  <sheetPr codeName="Sheet4">
    <tabColor theme="4"/>
  </sheetPr>
  <dimension ref="A1:G328"/>
  <sheetViews>
    <sheetView topLeftCell="A298" zoomScaleNormal="100" workbookViewId="0">
      <selection activeCell="D326" sqref="B326:D328"/>
    </sheetView>
  </sheetViews>
  <sheetFormatPr defaultRowHeight="16.5"/>
  <cols>
    <col min="1" max="1" width="60.375" style="52" bestFit="1" customWidth="1"/>
    <col min="2" max="2" width="15.25" style="52" bestFit="1" customWidth="1"/>
    <col min="3" max="3" width="14.25" style="52" bestFit="1" customWidth="1"/>
    <col min="4" max="4" width="11.625" style="52" bestFit="1" customWidth="1"/>
    <col min="5" max="5" width="21.875" style="52" bestFit="1" customWidth="1"/>
    <col min="6" max="6" width="15.25" style="52" bestFit="1" customWidth="1"/>
    <col min="7" max="7" width="16.875" style="52" bestFit="1" customWidth="1"/>
    <col min="8" max="16384" width="9" style="52"/>
  </cols>
  <sheetData>
    <row r="1" spans="1:7">
      <c r="A1" s="58" t="s">
        <v>22</v>
      </c>
      <c r="B1" s="58" t="s">
        <v>7055</v>
      </c>
      <c r="C1" s="58" t="s">
        <v>7056</v>
      </c>
      <c r="D1" s="58" t="s">
        <v>7057</v>
      </c>
      <c r="E1" s="61" t="s">
        <v>7058</v>
      </c>
      <c r="F1" s="61" t="s">
        <v>7059</v>
      </c>
      <c r="G1" s="61" t="s">
        <v>7060</v>
      </c>
    </row>
    <row r="2" spans="1:7">
      <c r="A2" s="62" t="s">
        <v>7061</v>
      </c>
      <c r="B2" s="56" t="s">
        <v>7062</v>
      </c>
      <c r="C2" s="56" t="s">
        <v>7062</v>
      </c>
      <c r="D2" s="56" t="s">
        <v>7062</v>
      </c>
      <c r="E2" s="56" t="s">
        <v>7063</v>
      </c>
      <c r="F2" s="56"/>
      <c r="G2" s="56"/>
    </row>
    <row r="3" spans="1:7">
      <c r="A3" s="62" t="s">
        <v>7064</v>
      </c>
      <c r="B3" s="56" t="s">
        <v>7062</v>
      </c>
      <c r="C3" s="56" t="s">
        <v>7062</v>
      </c>
      <c r="D3" s="56" t="s">
        <v>7062</v>
      </c>
      <c r="E3" s="56" t="s">
        <v>7063</v>
      </c>
      <c r="F3" s="56"/>
      <c r="G3" s="56"/>
    </row>
    <row r="4" spans="1:7">
      <c r="A4" s="62" t="s">
        <v>7065</v>
      </c>
      <c r="B4" s="56" t="s">
        <v>7062</v>
      </c>
      <c r="C4" s="56" t="s">
        <v>7062</v>
      </c>
      <c r="D4" s="56" t="s">
        <v>7062</v>
      </c>
      <c r="E4" s="56" t="s">
        <v>7066</v>
      </c>
      <c r="F4" s="56"/>
      <c r="G4" s="56"/>
    </row>
    <row r="5" spans="1:7">
      <c r="A5" s="58" t="s">
        <v>7067</v>
      </c>
      <c r="B5" s="56" t="s">
        <v>7062</v>
      </c>
      <c r="C5" s="56" t="s">
        <v>7062</v>
      </c>
      <c r="D5" s="56" t="s">
        <v>7062</v>
      </c>
      <c r="E5" s="56" t="s">
        <v>7068</v>
      </c>
      <c r="F5" s="56"/>
      <c r="G5" s="56"/>
    </row>
    <row r="6" spans="1:7">
      <c r="A6" s="58" t="s">
        <v>7069</v>
      </c>
      <c r="B6" s="56" t="s">
        <v>7062</v>
      </c>
      <c r="C6" s="56" t="s">
        <v>7062</v>
      </c>
      <c r="D6" s="56" t="s">
        <v>7062</v>
      </c>
      <c r="E6" s="56" t="s">
        <v>7070</v>
      </c>
      <c r="F6" s="56" t="s">
        <v>7071</v>
      </c>
      <c r="G6" s="58" t="s">
        <v>7072</v>
      </c>
    </row>
    <row r="7" spans="1:7">
      <c r="A7" s="58" t="s">
        <v>7073</v>
      </c>
      <c r="B7" s="56" t="s">
        <v>7062</v>
      </c>
      <c r="C7" s="56" t="s">
        <v>7062</v>
      </c>
      <c r="D7" s="56" t="s">
        <v>7062</v>
      </c>
      <c r="E7" s="56" t="s">
        <v>7070</v>
      </c>
      <c r="F7" s="56" t="s">
        <v>7074</v>
      </c>
      <c r="G7" s="58" t="s">
        <v>7072</v>
      </c>
    </row>
    <row r="8" spans="1:7">
      <c r="A8" s="58" t="s">
        <v>7075</v>
      </c>
      <c r="B8" s="56" t="s">
        <v>7062</v>
      </c>
      <c r="C8" s="56" t="s">
        <v>7062</v>
      </c>
      <c r="D8" s="56" t="s">
        <v>7062</v>
      </c>
      <c r="E8" s="56" t="s">
        <v>7070</v>
      </c>
      <c r="F8" s="56" t="s">
        <v>7076</v>
      </c>
      <c r="G8" s="58" t="s">
        <v>7072</v>
      </c>
    </row>
    <row r="9" spans="1:7">
      <c r="A9" s="476" t="s">
        <v>8200</v>
      </c>
      <c r="B9" s="56" t="s">
        <v>7062</v>
      </c>
      <c r="C9" s="56" t="s">
        <v>7062</v>
      </c>
      <c r="D9" s="56" t="s">
        <v>7062</v>
      </c>
      <c r="E9" s="56" t="s">
        <v>7070</v>
      </c>
      <c r="F9" s="56" t="s">
        <v>7076</v>
      </c>
      <c r="G9" s="58" t="s">
        <v>7072</v>
      </c>
    </row>
    <row r="10" spans="1:7">
      <c r="A10" s="58" t="s">
        <v>7077</v>
      </c>
      <c r="B10" s="56" t="s">
        <v>7062</v>
      </c>
      <c r="C10" s="56" t="s">
        <v>7062</v>
      </c>
      <c r="D10" s="56" t="s">
        <v>7062</v>
      </c>
      <c r="E10" s="56" t="s">
        <v>7070</v>
      </c>
      <c r="F10" s="56" t="s">
        <v>7078</v>
      </c>
      <c r="G10" s="58" t="s">
        <v>7072</v>
      </c>
    </row>
    <row r="11" spans="1:7">
      <c r="A11" s="58" t="s">
        <v>7079</v>
      </c>
      <c r="B11" s="56" t="s">
        <v>7062</v>
      </c>
      <c r="C11" s="56" t="s">
        <v>7062</v>
      </c>
      <c r="D11" s="56" t="s">
        <v>7062</v>
      </c>
      <c r="E11" s="56" t="s">
        <v>7070</v>
      </c>
      <c r="F11" s="56" t="s">
        <v>7080</v>
      </c>
      <c r="G11" s="58" t="s">
        <v>7072</v>
      </c>
    </row>
    <row r="12" spans="1:7">
      <c r="A12" s="58" t="s">
        <v>7081</v>
      </c>
      <c r="B12" s="56" t="s">
        <v>7062</v>
      </c>
      <c r="C12" s="56" t="s">
        <v>7062</v>
      </c>
      <c r="D12" s="56" t="s">
        <v>7062</v>
      </c>
      <c r="E12" s="56" t="s">
        <v>7070</v>
      </c>
      <c r="F12" s="56" t="s">
        <v>7082</v>
      </c>
      <c r="G12" s="58" t="s">
        <v>7072</v>
      </c>
    </row>
    <row r="13" spans="1:7">
      <c r="A13" s="58" t="s">
        <v>7083</v>
      </c>
      <c r="B13" s="56" t="s">
        <v>7062</v>
      </c>
      <c r="C13" s="56" t="s">
        <v>7062</v>
      </c>
      <c r="D13" s="56" t="s">
        <v>7062</v>
      </c>
      <c r="E13" s="56" t="s">
        <v>7070</v>
      </c>
      <c r="F13" s="56" t="s">
        <v>7084</v>
      </c>
      <c r="G13" s="58" t="s">
        <v>7072</v>
      </c>
    </row>
    <row r="14" spans="1:7">
      <c r="A14" s="58" t="s">
        <v>7085</v>
      </c>
      <c r="B14" s="58" t="s">
        <v>7086</v>
      </c>
      <c r="C14" s="58" t="s">
        <v>7086</v>
      </c>
      <c r="D14" s="58" t="s">
        <v>7086</v>
      </c>
      <c r="E14" s="58" t="s">
        <v>7087</v>
      </c>
      <c r="F14" s="58"/>
      <c r="G14" s="58"/>
    </row>
    <row r="15" spans="1:7">
      <c r="A15" s="58" t="s">
        <v>7088</v>
      </c>
      <c r="B15" s="56" t="s">
        <v>7062</v>
      </c>
      <c r="C15" s="56" t="s">
        <v>7062</v>
      </c>
      <c r="D15" s="56" t="s">
        <v>7062</v>
      </c>
      <c r="E15" s="56" t="s">
        <v>7070</v>
      </c>
      <c r="F15" s="56" t="s">
        <v>7089</v>
      </c>
      <c r="G15" s="58" t="s">
        <v>7072</v>
      </c>
    </row>
    <row r="16" spans="1:7">
      <c r="A16" s="58" t="s">
        <v>155</v>
      </c>
      <c r="B16" s="56" t="s">
        <v>7062</v>
      </c>
      <c r="C16" s="56" t="s">
        <v>7062</v>
      </c>
      <c r="D16" s="56" t="s">
        <v>7062</v>
      </c>
      <c r="E16" s="56" t="s">
        <v>7070</v>
      </c>
      <c r="F16" s="56" t="s">
        <v>7090</v>
      </c>
      <c r="G16" s="58" t="s">
        <v>7072</v>
      </c>
    </row>
    <row r="17" spans="1:7">
      <c r="A17" s="58" t="s">
        <v>7091</v>
      </c>
      <c r="B17" s="56" t="s">
        <v>7062</v>
      </c>
      <c r="C17" s="56" t="s">
        <v>7062</v>
      </c>
      <c r="D17" s="56" t="s">
        <v>7062</v>
      </c>
      <c r="E17" s="56" t="s">
        <v>7070</v>
      </c>
      <c r="F17" s="56" t="s">
        <v>7092</v>
      </c>
      <c r="G17" s="58" t="s">
        <v>7072</v>
      </c>
    </row>
    <row r="18" spans="1:7">
      <c r="A18" s="58" t="s">
        <v>7093</v>
      </c>
      <c r="B18" s="56" t="s">
        <v>7062</v>
      </c>
      <c r="C18" s="56" t="s">
        <v>7062</v>
      </c>
      <c r="D18" s="56" t="s">
        <v>7062</v>
      </c>
      <c r="E18" s="56" t="s">
        <v>7070</v>
      </c>
      <c r="F18" s="56" t="s">
        <v>7094</v>
      </c>
      <c r="G18" s="58" t="s">
        <v>7072</v>
      </c>
    </row>
    <row r="19" spans="1:7">
      <c r="A19" s="58" t="s">
        <v>7095</v>
      </c>
      <c r="B19" s="58" t="s">
        <v>7086</v>
      </c>
      <c r="C19" s="58" t="s">
        <v>7086</v>
      </c>
      <c r="D19" s="58" t="s">
        <v>7086</v>
      </c>
      <c r="E19" s="58" t="s">
        <v>7070</v>
      </c>
      <c r="F19" s="58"/>
      <c r="G19" s="58"/>
    </row>
    <row r="20" spans="1:7">
      <c r="A20" s="58" t="s">
        <v>7096</v>
      </c>
      <c r="B20" s="56" t="s">
        <v>7062</v>
      </c>
      <c r="C20" s="56" t="s">
        <v>7062</v>
      </c>
      <c r="D20" s="56" t="s">
        <v>7062</v>
      </c>
      <c r="E20" s="56" t="s">
        <v>7070</v>
      </c>
      <c r="F20" s="56" t="s">
        <v>7097</v>
      </c>
      <c r="G20" s="58" t="s">
        <v>7072</v>
      </c>
    </row>
    <row r="21" spans="1:7">
      <c r="A21" s="58" t="s">
        <v>7098</v>
      </c>
      <c r="B21" s="56" t="s">
        <v>7062</v>
      </c>
      <c r="C21" s="56" t="s">
        <v>7062</v>
      </c>
      <c r="D21" s="56" t="s">
        <v>7062</v>
      </c>
      <c r="E21" s="56" t="s">
        <v>7070</v>
      </c>
      <c r="F21" s="56" t="s">
        <v>7099</v>
      </c>
      <c r="G21" s="58" t="s">
        <v>7072</v>
      </c>
    </row>
    <row r="22" spans="1:7">
      <c r="A22" s="58" t="s">
        <v>195</v>
      </c>
      <c r="B22" s="56" t="s">
        <v>7062</v>
      </c>
      <c r="C22" s="56" t="s">
        <v>7062</v>
      </c>
      <c r="D22" s="56" t="s">
        <v>7062</v>
      </c>
      <c r="E22" s="56" t="s">
        <v>7070</v>
      </c>
      <c r="F22" s="56" t="s">
        <v>7100</v>
      </c>
      <c r="G22" s="58" t="s">
        <v>7072</v>
      </c>
    </row>
    <row r="23" spans="1:7">
      <c r="A23" s="58" t="s">
        <v>7101</v>
      </c>
      <c r="B23" s="56" t="s">
        <v>7062</v>
      </c>
      <c r="C23" s="56" t="s">
        <v>7062</v>
      </c>
      <c r="D23" s="56" t="s">
        <v>7062</v>
      </c>
      <c r="E23" s="56" t="s">
        <v>7070</v>
      </c>
      <c r="F23" s="56" t="s">
        <v>7102</v>
      </c>
      <c r="G23" s="58" t="s">
        <v>7072</v>
      </c>
    </row>
    <row r="24" spans="1:7">
      <c r="A24" s="58" t="s">
        <v>7103</v>
      </c>
      <c r="B24" s="56" t="s">
        <v>7062</v>
      </c>
      <c r="C24" s="56" t="s">
        <v>7062</v>
      </c>
      <c r="D24" s="56" t="s">
        <v>7062</v>
      </c>
      <c r="E24" s="56" t="s">
        <v>7070</v>
      </c>
      <c r="F24" s="56" t="s">
        <v>7104</v>
      </c>
      <c r="G24" s="58" t="s">
        <v>7072</v>
      </c>
    </row>
    <row r="25" spans="1:7">
      <c r="A25" s="58" t="s">
        <v>115</v>
      </c>
      <c r="B25" s="56" t="s">
        <v>7062</v>
      </c>
      <c r="C25" s="56" t="s">
        <v>7062</v>
      </c>
      <c r="D25" s="56" t="s">
        <v>7062</v>
      </c>
      <c r="E25" s="56" t="s">
        <v>7070</v>
      </c>
      <c r="F25" s="56" t="s">
        <v>7105</v>
      </c>
      <c r="G25" s="58" t="s">
        <v>7072</v>
      </c>
    </row>
    <row r="26" spans="1:7">
      <c r="A26" s="58" t="s">
        <v>7106</v>
      </c>
      <c r="B26" s="56" t="s">
        <v>7062</v>
      </c>
      <c r="C26" s="56" t="s">
        <v>7062</v>
      </c>
      <c r="D26" s="56" t="s">
        <v>7062</v>
      </c>
      <c r="E26" s="56" t="s">
        <v>7070</v>
      </c>
      <c r="F26" s="56" t="s">
        <v>7107</v>
      </c>
      <c r="G26" s="58" t="s">
        <v>7072</v>
      </c>
    </row>
    <row r="27" spans="1:7">
      <c r="A27" s="58" t="s">
        <v>7108</v>
      </c>
      <c r="B27" s="58" t="s">
        <v>7086</v>
      </c>
      <c r="C27" s="58" t="s">
        <v>7086</v>
      </c>
      <c r="D27" s="58" t="s">
        <v>7086</v>
      </c>
      <c r="E27" s="58" t="s">
        <v>7066</v>
      </c>
      <c r="F27" s="58"/>
      <c r="G27" s="58"/>
    </row>
    <row r="28" spans="1:7">
      <c r="A28" s="58" t="s">
        <v>7109</v>
      </c>
      <c r="B28" s="56" t="s">
        <v>7062</v>
      </c>
      <c r="C28" s="56" t="s">
        <v>7062</v>
      </c>
      <c r="D28" s="56" t="s">
        <v>7062</v>
      </c>
      <c r="E28" s="56" t="s">
        <v>7063</v>
      </c>
      <c r="F28" s="56"/>
      <c r="G28" s="56"/>
    </row>
    <row r="29" spans="1:7">
      <c r="A29" s="58" t="s">
        <v>7110</v>
      </c>
      <c r="B29" s="56" t="s">
        <v>7111</v>
      </c>
      <c r="C29" s="56" t="s">
        <v>7112</v>
      </c>
      <c r="D29" s="56" t="s">
        <v>7113</v>
      </c>
      <c r="E29" s="56" t="s">
        <v>7114</v>
      </c>
      <c r="F29" s="56"/>
      <c r="G29" s="56"/>
    </row>
    <row r="30" spans="1:7">
      <c r="A30" s="58" t="s">
        <v>7115</v>
      </c>
      <c r="B30" s="56" t="s">
        <v>7111</v>
      </c>
      <c r="C30" s="56" t="s">
        <v>7112</v>
      </c>
      <c r="D30" s="56" t="s">
        <v>7113</v>
      </c>
      <c r="E30" s="56" t="s">
        <v>7114</v>
      </c>
      <c r="F30" s="56"/>
      <c r="G30" s="56"/>
    </row>
    <row r="31" spans="1:7">
      <c r="A31" s="58" t="s">
        <v>7116</v>
      </c>
      <c r="B31" s="56" t="s">
        <v>7062</v>
      </c>
      <c r="C31" s="56" t="s">
        <v>7062</v>
      </c>
      <c r="D31" s="56" t="s">
        <v>7062</v>
      </c>
      <c r="E31" s="56" t="s">
        <v>7063</v>
      </c>
      <c r="F31" s="56"/>
      <c r="G31" s="56"/>
    </row>
    <row r="32" spans="1:7">
      <c r="A32" s="62" t="s">
        <v>7117</v>
      </c>
      <c r="B32" s="58" t="s">
        <v>7062</v>
      </c>
      <c r="C32" s="58" t="s">
        <v>7062</v>
      </c>
      <c r="D32" s="58" t="s">
        <v>7062</v>
      </c>
      <c r="E32" s="56" t="s">
        <v>7118</v>
      </c>
      <c r="F32" s="56"/>
      <c r="G32" s="56"/>
    </row>
    <row r="33" spans="1:7">
      <c r="A33" s="62" t="s">
        <v>7119</v>
      </c>
      <c r="B33" s="56" t="s">
        <v>7062</v>
      </c>
      <c r="C33" s="56" t="s">
        <v>7062</v>
      </c>
      <c r="D33" s="56" t="s">
        <v>7062</v>
      </c>
      <c r="E33" s="56" t="s">
        <v>7119</v>
      </c>
      <c r="F33" s="56"/>
      <c r="G33" s="56"/>
    </row>
    <row r="34" spans="1:7">
      <c r="A34" s="58" t="s">
        <v>7120</v>
      </c>
      <c r="B34" s="58" t="s">
        <v>7086</v>
      </c>
      <c r="C34" s="58" t="s">
        <v>7086</v>
      </c>
      <c r="D34" s="58" t="s">
        <v>7086</v>
      </c>
      <c r="E34" s="58" t="s">
        <v>7066</v>
      </c>
      <c r="F34" s="58"/>
      <c r="G34" s="58"/>
    </row>
    <row r="35" spans="1:7">
      <c r="A35" s="58" t="s">
        <v>7121</v>
      </c>
      <c r="B35" s="58" t="s">
        <v>7111</v>
      </c>
      <c r="C35" s="58" t="s">
        <v>7112</v>
      </c>
      <c r="D35" s="58" t="s">
        <v>7113</v>
      </c>
      <c r="E35" s="58" t="s">
        <v>7114</v>
      </c>
      <c r="F35" s="58"/>
      <c r="G35" s="58"/>
    </row>
    <row r="36" spans="1:7">
      <c r="A36" s="58" t="s">
        <v>7122</v>
      </c>
      <c r="B36" s="58" t="s">
        <v>7086</v>
      </c>
      <c r="C36" s="58" t="s">
        <v>7086</v>
      </c>
      <c r="D36" s="58" t="s">
        <v>7086</v>
      </c>
      <c r="E36" s="58" t="s">
        <v>7066</v>
      </c>
      <c r="F36" s="58"/>
      <c r="G36" s="58"/>
    </row>
    <row r="37" spans="1:7">
      <c r="A37" s="58" t="s">
        <v>7123</v>
      </c>
      <c r="B37" s="56" t="s">
        <v>7062</v>
      </c>
      <c r="C37" s="56" t="s">
        <v>7062</v>
      </c>
      <c r="D37" s="56" t="s">
        <v>7062</v>
      </c>
      <c r="E37" s="56" t="s">
        <v>7068</v>
      </c>
      <c r="F37" s="56"/>
      <c r="G37" s="56"/>
    </row>
    <row r="38" spans="1:7">
      <c r="A38" s="58" t="s">
        <v>7124</v>
      </c>
      <c r="B38" s="56" t="s">
        <v>7062</v>
      </c>
      <c r="C38" s="56" t="s">
        <v>7062</v>
      </c>
      <c r="D38" s="56" t="s">
        <v>7062</v>
      </c>
      <c r="E38" s="56" t="s">
        <v>7063</v>
      </c>
      <c r="F38" s="56"/>
      <c r="G38" s="56"/>
    </row>
    <row r="39" spans="1:7">
      <c r="A39" s="58" t="s">
        <v>7125</v>
      </c>
      <c r="B39" s="56" t="s">
        <v>7062</v>
      </c>
      <c r="C39" s="56" t="s">
        <v>7062</v>
      </c>
      <c r="D39" s="56" t="s">
        <v>7062</v>
      </c>
      <c r="E39" s="56" t="s">
        <v>7063</v>
      </c>
      <c r="F39" s="63" t="s">
        <v>383</v>
      </c>
      <c r="G39" s="63" t="s">
        <v>383</v>
      </c>
    </row>
    <row r="40" spans="1:7">
      <c r="A40" s="58" t="s">
        <v>7126</v>
      </c>
      <c r="B40" s="56" t="s">
        <v>7062</v>
      </c>
      <c r="C40" s="56" t="s">
        <v>7062</v>
      </c>
      <c r="D40" s="56" t="s">
        <v>7062</v>
      </c>
      <c r="E40" s="56" t="s">
        <v>7063</v>
      </c>
      <c r="F40" s="56"/>
      <c r="G40" s="56"/>
    </row>
    <row r="41" spans="1:7">
      <c r="A41" s="58" t="s">
        <v>7127</v>
      </c>
      <c r="B41" s="58" t="s">
        <v>7062</v>
      </c>
      <c r="C41" s="58" t="s">
        <v>7062</v>
      </c>
      <c r="D41" s="58" t="s">
        <v>7062</v>
      </c>
      <c r="E41" s="58" t="s">
        <v>7128</v>
      </c>
      <c r="F41" s="58"/>
      <c r="G41" s="58"/>
    </row>
    <row r="42" spans="1:7">
      <c r="A42" s="64" t="s">
        <v>7129</v>
      </c>
      <c r="B42" s="56" t="s">
        <v>7062</v>
      </c>
      <c r="C42" s="56" t="s">
        <v>7062</v>
      </c>
      <c r="D42" s="56" t="s">
        <v>7062</v>
      </c>
      <c r="E42" s="56" t="s">
        <v>7063</v>
      </c>
      <c r="F42" s="56"/>
      <c r="G42" s="56"/>
    </row>
    <row r="43" spans="1:7">
      <c r="A43" s="58" t="s">
        <v>7130</v>
      </c>
      <c r="B43" s="56" t="s">
        <v>7062</v>
      </c>
      <c r="C43" s="56" t="s">
        <v>7062</v>
      </c>
      <c r="D43" s="56" t="s">
        <v>7062</v>
      </c>
      <c r="E43" s="56" t="s">
        <v>7063</v>
      </c>
      <c r="F43" s="56"/>
      <c r="G43" s="56"/>
    </row>
    <row r="44" spans="1:7">
      <c r="A44" s="58" t="s">
        <v>7131</v>
      </c>
      <c r="B44" s="58" t="s">
        <v>7062</v>
      </c>
      <c r="C44" s="58" t="s">
        <v>7062</v>
      </c>
      <c r="D44" s="58" t="s">
        <v>7062</v>
      </c>
      <c r="E44" s="58" t="s">
        <v>7132</v>
      </c>
      <c r="F44" s="56"/>
      <c r="G44" s="56"/>
    </row>
    <row r="45" spans="1:7">
      <c r="A45" s="58" t="s">
        <v>7133</v>
      </c>
      <c r="B45" s="56" t="s">
        <v>7062</v>
      </c>
      <c r="C45" s="56" t="s">
        <v>7062</v>
      </c>
      <c r="D45" s="56" t="s">
        <v>7062</v>
      </c>
      <c r="E45" s="56" t="s">
        <v>7068</v>
      </c>
      <c r="F45" s="56"/>
      <c r="G45" s="56"/>
    </row>
    <row r="46" spans="1:7">
      <c r="A46" s="58" t="s">
        <v>7134</v>
      </c>
      <c r="B46" s="56" t="s">
        <v>7062</v>
      </c>
      <c r="C46" s="56" t="s">
        <v>7062</v>
      </c>
      <c r="D46" s="56" t="s">
        <v>7062</v>
      </c>
      <c r="E46" s="56" t="s">
        <v>7068</v>
      </c>
      <c r="F46" s="56"/>
      <c r="G46" s="56"/>
    </row>
    <row r="47" spans="1:7">
      <c r="A47" s="58" t="s">
        <v>7135</v>
      </c>
      <c r="B47" s="58" t="s">
        <v>7136</v>
      </c>
      <c r="C47" s="58" t="s">
        <v>7112</v>
      </c>
      <c r="D47" s="58" t="s">
        <v>7113</v>
      </c>
      <c r="E47" s="56" t="s">
        <v>7114</v>
      </c>
      <c r="F47" s="56"/>
      <c r="G47" s="56"/>
    </row>
    <row r="48" spans="1:7">
      <c r="A48" s="58" t="s">
        <v>7137</v>
      </c>
      <c r="B48" s="58" t="s">
        <v>7136</v>
      </c>
      <c r="C48" s="58" t="s">
        <v>7112</v>
      </c>
      <c r="D48" s="58" t="s">
        <v>7113</v>
      </c>
      <c r="E48" s="56" t="s">
        <v>7114</v>
      </c>
      <c r="F48" s="56"/>
      <c r="G48" s="56"/>
    </row>
    <row r="49" spans="1:7">
      <c r="A49" s="58" t="s">
        <v>7138</v>
      </c>
      <c r="B49" s="58" t="s">
        <v>7139</v>
      </c>
      <c r="C49" s="58" t="s">
        <v>7112</v>
      </c>
      <c r="D49" s="58" t="s">
        <v>7113</v>
      </c>
      <c r="E49" s="56">
        <v>0</v>
      </c>
      <c r="F49" s="56"/>
      <c r="G49" s="56"/>
    </row>
    <row r="50" spans="1:7">
      <c r="A50" s="58" t="s">
        <v>7140</v>
      </c>
      <c r="B50" s="58" t="s">
        <v>7139</v>
      </c>
      <c r="C50" s="58" t="s">
        <v>7112</v>
      </c>
      <c r="D50" s="58" t="s">
        <v>7113</v>
      </c>
      <c r="E50" s="56" t="s">
        <v>7114</v>
      </c>
      <c r="F50" s="56"/>
      <c r="G50" s="56"/>
    </row>
    <row r="51" spans="1:7">
      <c r="A51" s="58" t="s">
        <v>7141</v>
      </c>
      <c r="B51" s="58" t="s">
        <v>7142</v>
      </c>
      <c r="C51" s="58" t="s">
        <v>7143</v>
      </c>
      <c r="D51" s="58" t="s">
        <v>7113</v>
      </c>
      <c r="E51" s="56" t="s">
        <v>7114</v>
      </c>
      <c r="F51" s="56"/>
      <c r="G51" s="56"/>
    </row>
    <row r="52" spans="1:7">
      <c r="A52" s="58" t="s">
        <v>7144</v>
      </c>
      <c r="B52" s="58" t="s">
        <v>7142</v>
      </c>
      <c r="C52" s="58" t="s">
        <v>7143</v>
      </c>
      <c r="D52" s="58" t="s">
        <v>7145</v>
      </c>
      <c r="E52" s="56" t="s">
        <v>7114</v>
      </c>
      <c r="F52" s="56"/>
      <c r="G52" s="56"/>
    </row>
    <row r="53" spans="1:7">
      <c r="A53" s="58" t="s">
        <v>7146</v>
      </c>
      <c r="B53" s="58" t="s">
        <v>7142</v>
      </c>
      <c r="C53" s="58" t="s">
        <v>7112</v>
      </c>
      <c r="D53" s="58" t="s">
        <v>7113</v>
      </c>
      <c r="E53" s="56" t="s">
        <v>7114</v>
      </c>
      <c r="F53" s="56"/>
      <c r="G53" s="56"/>
    </row>
    <row r="54" spans="1:7">
      <c r="A54" s="58" t="s">
        <v>7147</v>
      </c>
      <c r="B54" s="58" t="s">
        <v>7142</v>
      </c>
      <c r="C54" s="58" t="s">
        <v>7112</v>
      </c>
      <c r="D54" s="58" t="s">
        <v>7145</v>
      </c>
      <c r="E54" s="56" t="s">
        <v>7114</v>
      </c>
      <c r="F54" s="56"/>
      <c r="G54" s="56"/>
    </row>
    <row r="55" spans="1:7">
      <c r="A55" s="58" t="s">
        <v>7148</v>
      </c>
      <c r="B55" s="58" t="s">
        <v>7136</v>
      </c>
      <c r="C55" s="58" t="s">
        <v>7143</v>
      </c>
      <c r="D55" s="58" t="s">
        <v>7113</v>
      </c>
      <c r="E55" s="56" t="s">
        <v>7114</v>
      </c>
      <c r="F55" s="56"/>
      <c r="G55" s="56"/>
    </row>
    <row r="56" spans="1:7">
      <c r="A56" s="58" t="s">
        <v>7149</v>
      </c>
      <c r="B56" s="58" t="s">
        <v>7136</v>
      </c>
      <c r="C56" s="58" t="s">
        <v>7143</v>
      </c>
      <c r="D56" s="58" t="s">
        <v>7145</v>
      </c>
      <c r="E56" s="56" t="s">
        <v>7114</v>
      </c>
      <c r="F56" s="56"/>
      <c r="G56" s="56"/>
    </row>
    <row r="57" spans="1:7">
      <c r="A57" s="58" t="s">
        <v>7150</v>
      </c>
      <c r="B57" s="56" t="s">
        <v>7136</v>
      </c>
      <c r="C57" s="56" t="s">
        <v>7143</v>
      </c>
      <c r="D57" s="56" t="s">
        <v>7145</v>
      </c>
      <c r="E57" s="56" t="s">
        <v>7114</v>
      </c>
      <c r="F57" s="56"/>
      <c r="G57" s="56"/>
    </row>
    <row r="58" spans="1:7">
      <c r="A58" s="58" t="s">
        <v>7151</v>
      </c>
      <c r="B58" s="56" t="s">
        <v>7136</v>
      </c>
      <c r="C58" s="56" t="s">
        <v>7143</v>
      </c>
      <c r="D58" s="56" t="s">
        <v>7145</v>
      </c>
      <c r="E58" s="56" t="s">
        <v>7114</v>
      </c>
      <c r="F58" s="56"/>
      <c r="G58" s="56"/>
    </row>
    <row r="59" spans="1:7">
      <c r="A59" s="58" t="s">
        <v>7152</v>
      </c>
      <c r="B59" s="58" t="s">
        <v>7136</v>
      </c>
      <c r="C59" s="58" t="s">
        <v>7153</v>
      </c>
      <c r="D59" s="58" t="s">
        <v>7113</v>
      </c>
      <c r="E59" s="56" t="s">
        <v>7114</v>
      </c>
      <c r="F59" s="56"/>
      <c r="G59" s="56"/>
    </row>
    <row r="60" spans="1:7">
      <c r="A60" s="58" t="s">
        <v>7154</v>
      </c>
      <c r="B60" s="58" t="s">
        <v>7136</v>
      </c>
      <c r="C60" s="58" t="s">
        <v>7112</v>
      </c>
      <c r="D60" s="58" t="s">
        <v>7113</v>
      </c>
      <c r="E60" s="56" t="s">
        <v>7114</v>
      </c>
      <c r="F60" s="56"/>
      <c r="G60" s="56"/>
    </row>
    <row r="61" spans="1:7">
      <c r="A61" s="64" t="s">
        <v>7155</v>
      </c>
      <c r="B61" s="56" t="s">
        <v>7062</v>
      </c>
      <c r="C61" s="56" t="s">
        <v>7062</v>
      </c>
      <c r="D61" s="56" t="s">
        <v>7062</v>
      </c>
      <c r="E61" s="56" t="s">
        <v>7128</v>
      </c>
      <c r="F61" s="56"/>
      <c r="G61" s="56"/>
    </row>
    <row r="62" spans="1:7">
      <c r="A62" s="58" t="s">
        <v>7156</v>
      </c>
      <c r="B62" s="58" t="s">
        <v>7136</v>
      </c>
      <c r="C62" s="58" t="s">
        <v>7112</v>
      </c>
      <c r="D62" s="58" t="s">
        <v>7145</v>
      </c>
      <c r="E62" s="56" t="s">
        <v>7114</v>
      </c>
      <c r="F62" s="56"/>
      <c r="G62" s="56"/>
    </row>
    <row r="63" spans="1:7">
      <c r="A63" s="58" t="s">
        <v>7157</v>
      </c>
      <c r="B63" s="56" t="s">
        <v>7062</v>
      </c>
      <c r="C63" s="56" t="s">
        <v>7062</v>
      </c>
      <c r="D63" s="56" t="s">
        <v>7062</v>
      </c>
      <c r="E63" s="58" t="s">
        <v>7063</v>
      </c>
      <c r="F63" s="56"/>
      <c r="G63" s="56"/>
    </row>
    <row r="64" spans="1:7">
      <c r="A64" s="58" t="s">
        <v>7158</v>
      </c>
      <c r="B64" s="56" t="s">
        <v>7136</v>
      </c>
      <c r="C64" s="56" t="s">
        <v>7112</v>
      </c>
      <c r="D64" s="56" t="s">
        <v>7145</v>
      </c>
      <c r="E64" s="56" t="s">
        <v>7114</v>
      </c>
      <c r="F64" s="56"/>
      <c r="G64" s="56"/>
    </row>
    <row r="65" spans="1:7">
      <c r="A65" s="58" t="s">
        <v>7159</v>
      </c>
      <c r="B65" s="58" t="s">
        <v>7139</v>
      </c>
      <c r="C65" s="58" t="s">
        <v>7143</v>
      </c>
      <c r="D65" s="58" t="s">
        <v>7113</v>
      </c>
      <c r="E65" s="56" t="s">
        <v>7114</v>
      </c>
      <c r="F65" s="56"/>
      <c r="G65" s="56"/>
    </row>
    <row r="66" spans="1:7">
      <c r="A66" s="58" t="s">
        <v>7160</v>
      </c>
      <c r="B66" s="58" t="s">
        <v>7139</v>
      </c>
      <c r="C66" s="58" t="s">
        <v>7143</v>
      </c>
      <c r="D66" s="58" t="s">
        <v>7145</v>
      </c>
      <c r="E66" s="56" t="s">
        <v>7114</v>
      </c>
      <c r="F66" s="56"/>
      <c r="G66" s="56"/>
    </row>
    <row r="67" spans="1:7">
      <c r="A67" s="58" t="s">
        <v>7161</v>
      </c>
      <c r="B67" s="56" t="s">
        <v>7139</v>
      </c>
      <c r="C67" s="56" t="s">
        <v>7143</v>
      </c>
      <c r="D67" s="56" t="s">
        <v>7145</v>
      </c>
      <c r="E67" s="56" t="s">
        <v>7114</v>
      </c>
      <c r="F67" s="56"/>
      <c r="G67" s="56"/>
    </row>
    <row r="68" spans="1:7">
      <c r="A68" s="58" t="s">
        <v>7162</v>
      </c>
      <c r="B68" s="56" t="s">
        <v>7139</v>
      </c>
      <c r="C68" s="56" t="s">
        <v>7143</v>
      </c>
      <c r="D68" s="56" t="s">
        <v>7145</v>
      </c>
      <c r="E68" s="56" t="s">
        <v>7114</v>
      </c>
      <c r="F68" s="56"/>
      <c r="G68" s="56"/>
    </row>
    <row r="69" spans="1:7">
      <c r="A69" s="58" t="s">
        <v>7163</v>
      </c>
      <c r="B69" s="58" t="s">
        <v>7139</v>
      </c>
      <c r="C69" s="58" t="s">
        <v>7153</v>
      </c>
      <c r="D69" s="58" t="s">
        <v>7113</v>
      </c>
      <c r="E69" s="56" t="s">
        <v>7114</v>
      </c>
      <c r="F69" s="56"/>
      <c r="G69" s="56"/>
    </row>
    <row r="70" spans="1:7">
      <c r="A70" s="58" t="s">
        <v>7164</v>
      </c>
      <c r="B70" s="58" t="s">
        <v>7139</v>
      </c>
      <c r="C70" s="58" t="s">
        <v>7112</v>
      </c>
      <c r="D70" s="58" t="s">
        <v>7113</v>
      </c>
      <c r="E70" s="56" t="s">
        <v>7114</v>
      </c>
      <c r="F70" s="56"/>
      <c r="G70" s="56"/>
    </row>
    <row r="71" spans="1:7">
      <c r="A71" s="58" t="s">
        <v>7165</v>
      </c>
      <c r="B71" s="58" t="s">
        <v>7139</v>
      </c>
      <c r="C71" s="58" t="s">
        <v>7112</v>
      </c>
      <c r="D71" s="58" t="s">
        <v>7145</v>
      </c>
      <c r="E71" s="56" t="s">
        <v>7114</v>
      </c>
      <c r="F71" s="56"/>
      <c r="G71" s="56"/>
    </row>
    <row r="72" spans="1:7">
      <c r="A72" s="58" t="s">
        <v>7166</v>
      </c>
      <c r="B72" s="56" t="s">
        <v>7139</v>
      </c>
      <c r="C72" s="56" t="s">
        <v>7112</v>
      </c>
      <c r="D72" s="56" t="s">
        <v>7145</v>
      </c>
      <c r="E72" s="56" t="s">
        <v>7114</v>
      </c>
      <c r="F72" s="56"/>
      <c r="G72" s="56"/>
    </row>
    <row r="73" spans="1:7">
      <c r="A73" s="58" t="s">
        <v>7167</v>
      </c>
      <c r="B73" s="58" t="s">
        <v>7062</v>
      </c>
      <c r="C73" s="58" t="s">
        <v>7062</v>
      </c>
      <c r="D73" s="58" t="s">
        <v>7062</v>
      </c>
      <c r="E73" s="58" t="s">
        <v>7128</v>
      </c>
      <c r="F73" s="58"/>
      <c r="G73" s="58"/>
    </row>
    <row r="74" spans="1:7">
      <c r="A74" s="58" t="s">
        <v>7168</v>
      </c>
      <c r="B74" s="58"/>
      <c r="C74" s="58"/>
      <c r="D74" s="58"/>
      <c r="E74" s="58" t="s">
        <v>7063</v>
      </c>
      <c r="F74" s="58"/>
      <c r="G74" s="58"/>
    </row>
    <row r="75" spans="1:7">
      <c r="A75" s="58" t="s">
        <v>7169</v>
      </c>
      <c r="B75" s="58" t="s">
        <v>7136</v>
      </c>
      <c r="C75" s="58" t="s">
        <v>7170</v>
      </c>
      <c r="D75" s="58" t="s">
        <v>7113</v>
      </c>
      <c r="E75" s="56" t="s">
        <v>7114</v>
      </c>
      <c r="F75" s="58"/>
      <c r="G75" s="58"/>
    </row>
    <row r="76" spans="1:7">
      <c r="A76" s="58" t="s">
        <v>7171</v>
      </c>
      <c r="B76" s="58" t="s">
        <v>7136</v>
      </c>
      <c r="C76" s="58" t="s">
        <v>7170</v>
      </c>
      <c r="D76" s="58" t="s">
        <v>7113</v>
      </c>
      <c r="E76" s="56" t="s">
        <v>7114</v>
      </c>
      <c r="F76" s="58"/>
      <c r="G76" s="65"/>
    </row>
    <row r="77" spans="1:7">
      <c r="A77" s="58" t="s">
        <v>7172</v>
      </c>
      <c r="B77" s="58" t="s">
        <v>7136</v>
      </c>
      <c r="C77" s="58" t="s">
        <v>7170</v>
      </c>
      <c r="D77" s="58" t="s">
        <v>7113</v>
      </c>
      <c r="E77" s="56" t="s">
        <v>7114</v>
      </c>
      <c r="F77" s="56"/>
      <c r="G77" s="66"/>
    </row>
    <row r="78" spans="1:7">
      <c r="A78" s="58" t="s">
        <v>7173</v>
      </c>
      <c r="B78" s="58" t="s">
        <v>7136</v>
      </c>
      <c r="C78" s="58" t="s">
        <v>7170</v>
      </c>
      <c r="D78" s="58" t="s">
        <v>7113</v>
      </c>
      <c r="E78" s="56" t="s">
        <v>7114</v>
      </c>
      <c r="F78" s="56"/>
      <c r="G78" s="66"/>
    </row>
    <row r="79" spans="1:7">
      <c r="A79" s="58" t="s">
        <v>7174</v>
      </c>
      <c r="B79" s="58" t="s">
        <v>7175</v>
      </c>
      <c r="C79" s="58" t="s">
        <v>7143</v>
      </c>
      <c r="D79" s="58" t="s">
        <v>7113</v>
      </c>
      <c r="E79" s="58" t="s">
        <v>7114</v>
      </c>
      <c r="F79" s="58"/>
      <c r="G79" s="65"/>
    </row>
    <row r="80" spans="1:7">
      <c r="A80" s="58" t="s">
        <v>7176</v>
      </c>
      <c r="B80" s="58" t="s">
        <v>7139</v>
      </c>
      <c r="C80" s="58" t="s">
        <v>7170</v>
      </c>
      <c r="D80" s="58" t="s">
        <v>7113</v>
      </c>
      <c r="E80" s="56" t="s">
        <v>7114</v>
      </c>
      <c r="F80" s="58"/>
      <c r="G80" s="65"/>
    </row>
    <row r="81" spans="1:7">
      <c r="A81" s="58" t="s">
        <v>7177</v>
      </c>
      <c r="B81" s="58" t="s">
        <v>7136</v>
      </c>
      <c r="C81" s="58" t="s">
        <v>7170</v>
      </c>
      <c r="D81" s="58" t="s">
        <v>7113</v>
      </c>
      <c r="E81" s="56" t="s">
        <v>7114</v>
      </c>
      <c r="F81" s="58"/>
      <c r="G81" s="65"/>
    </row>
    <row r="82" spans="1:7">
      <c r="A82" s="58" t="s">
        <v>7178</v>
      </c>
      <c r="B82" s="58" t="s">
        <v>7139</v>
      </c>
      <c r="C82" s="58" t="s">
        <v>7170</v>
      </c>
      <c r="D82" s="58" t="s">
        <v>7113</v>
      </c>
      <c r="E82" s="56" t="s">
        <v>7114</v>
      </c>
      <c r="F82" s="56"/>
      <c r="G82" s="66"/>
    </row>
    <row r="83" spans="1:7">
      <c r="A83" s="58" t="s">
        <v>7179</v>
      </c>
      <c r="B83" s="58" t="s">
        <v>7139</v>
      </c>
      <c r="C83" s="58" t="s">
        <v>7170</v>
      </c>
      <c r="D83" s="58" t="s">
        <v>7113</v>
      </c>
      <c r="E83" s="56" t="s">
        <v>7114</v>
      </c>
      <c r="F83" s="56"/>
      <c r="G83" s="66"/>
    </row>
    <row r="84" spans="1:7">
      <c r="A84" s="62" t="s">
        <v>7180</v>
      </c>
      <c r="B84" s="56" t="s">
        <v>7062</v>
      </c>
      <c r="C84" s="56" t="s">
        <v>7062</v>
      </c>
      <c r="D84" s="56" t="s">
        <v>7062</v>
      </c>
      <c r="E84" s="56" t="s">
        <v>7063</v>
      </c>
      <c r="F84" s="56"/>
      <c r="G84" s="66"/>
    </row>
    <row r="85" spans="1:7">
      <c r="A85" s="62" t="s">
        <v>7181</v>
      </c>
      <c r="B85" s="56" t="s">
        <v>7111</v>
      </c>
      <c r="C85" s="56" t="s">
        <v>7182</v>
      </c>
      <c r="D85" s="56" t="s">
        <v>7113</v>
      </c>
      <c r="E85" s="56" t="s">
        <v>7114</v>
      </c>
      <c r="F85" s="56"/>
      <c r="G85" s="66"/>
    </row>
    <row r="86" spans="1:7">
      <c r="A86" s="58" t="s">
        <v>7183</v>
      </c>
      <c r="B86" s="58"/>
      <c r="C86" s="58"/>
      <c r="D86" s="58"/>
      <c r="E86" s="58" t="s">
        <v>7118</v>
      </c>
      <c r="F86" s="58"/>
      <c r="G86" s="65"/>
    </row>
    <row r="87" spans="1:7">
      <c r="A87" s="58" t="s">
        <v>7184</v>
      </c>
      <c r="B87" s="58"/>
      <c r="C87" s="58"/>
      <c r="D87" s="58"/>
      <c r="E87" s="58" t="s">
        <v>7118</v>
      </c>
      <c r="F87" s="58"/>
      <c r="G87" s="65"/>
    </row>
    <row r="88" spans="1:7">
      <c r="A88" s="58" t="s">
        <v>7185</v>
      </c>
      <c r="B88" s="56"/>
      <c r="C88" s="56"/>
      <c r="D88" s="56"/>
      <c r="E88" s="56" t="s">
        <v>7068</v>
      </c>
      <c r="F88" s="56"/>
      <c r="G88" s="66"/>
    </row>
    <row r="89" spans="1:7">
      <c r="A89" s="62" t="s">
        <v>7186</v>
      </c>
      <c r="B89" s="56" t="s">
        <v>7062</v>
      </c>
      <c r="C89" s="56" t="s">
        <v>7062</v>
      </c>
      <c r="D89" s="56" t="s">
        <v>7062</v>
      </c>
      <c r="E89" s="58" t="s">
        <v>7118</v>
      </c>
      <c r="F89" s="56"/>
      <c r="G89" s="66"/>
    </row>
    <row r="90" spans="1:7">
      <c r="A90" s="62" t="s">
        <v>7187</v>
      </c>
      <c r="B90" s="56" t="s">
        <v>7062</v>
      </c>
      <c r="C90" s="56" t="s">
        <v>7062</v>
      </c>
      <c r="D90" s="56" t="s">
        <v>7062</v>
      </c>
      <c r="E90" s="56" t="s">
        <v>7188</v>
      </c>
      <c r="F90" s="56"/>
      <c r="G90" s="66"/>
    </row>
    <row r="91" spans="1:7">
      <c r="A91" s="58" t="s">
        <v>7189</v>
      </c>
      <c r="B91" s="56"/>
      <c r="C91" s="56"/>
      <c r="D91" s="56"/>
      <c r="E91" s="56" t="s">
        <v>7068</v>
      </c>
      <c r="F91" s="56"/>
      <c r="G91" s="66"/>
    </row>
    <row r="92" spans="1:7">
      <c r="A92" s="62" t="s">
        <v>7190</v>
      </c>
      <c r="B92" s="56" t="s">
        <v>7062</v>
      </c>
      <c r="C92" s="56" t="s">
        <v>7062</v>
      </c>
      <c r="D92" s="56" t="s">
        <v>7062</v>
      </c>
      <c r="E92" s="56" t="s">
        <v>7188</v>
      </c>
      <c r="F92" s="56"/>
      <c r="G92" s="66"/>
    </row>
    <row r="93" spans="1:7">
      <c r="A93" s="58" t="s">
        <v>7191</v>
      </c>
      <c r="B93" s="56"/>
      <c r="C93" s="56"/>
      <c r="D93" s="56"/>
      <c r="E93" s="56" t="s">
        <v>7192</v>
      </c>
      <c r="F93" s="56"/>
      <c r="G93" s="66"/>
    </row>
    <row r="94" spans="1:7">
      <c r="A94" s="62" t="s">
        <v>7193</v>
      </c>
      <c r="B94" s="56" t="s">
        <v>7062</v>
      </c>
      <c r="C94" s="56" t="s">
        <v>7062</v>
      </c>
      <c r="D94" s="56" t="s">
        <v>7062</v>
      </c>
      <c r="E94" s="56" t="s">
        <v>7118</v>
      </c>
      <c r="F94" s="56"/>
      <c r="G94" s="66"/>
    </row>
    <row r="95" spans="1:7">
      <c r="A95" s="58" t="s">
        <v>7194</v>
      </c>
      <c r="B95" s="56"/>
      <c r="C95" s="56"/>
      <c r="D95" s="56"/>
      <c r="E95" s="56" t="s">
        <v>7114</v>
      </c>
      <c r="F95" s="56"/>
      <c r="G95" s="66"/>
    </row>
    <row r="96" spans="1:7">
      <c r="A96" s="62" t="s">
        <v>7195</v>
      </c>
      <c r="B96" s="56" t="s">
        <v>7062</v>
      </c>
      <c r="C96" s="56" t="s">
        <v>7062</v>
      </c>
      <c r="D96" s="56" t="s">
        <v>7062</v>
      </c>
      <c r="E96" s="58" t="s">
        <v>7118</v>
      </c>
      <c r="F96" s="56"/>
      <c r="G96" s="66"/>
    </row>
    <row r="97" spans="1:7">
      <c r="A97" s="62" t="s">
        <v>7196</v>
      </c>
      <c r="B97" s="56" t="s">
        <v>7062</v>
      </c>
      <c r="C97" s="56" t="s">
        <v>7062</v>
      </c>
      <c r="D97" s="56" t="s">
        <v>7062</v>
      </c>
      <c r="E97" s="56" t="s">
        <v>7197</v>
      </c>
      <c r="F97" s="56"/>
      <c r="G97" s="66"/>
    </row>
    <row r="98" spans="1:7">
      <c r="A98" s="62" t="s">
        <v>7198</v>
      </c>
      <c r="B98" s="56" t="s">
        <v>7062</v>
      </c>
      <c r="C98" s="56" t="s">
        <v>7062</v>
      </c>
      <c r="D98" s="56" t="s">
        <v>7062</v>
      </c>
      <c r="E98" s="56" t="s">
        <v>7197</v>
      </c>
      <c r="F98" s="56"/>
      <c r="G98" s="66"/>
    </row>
    <row r="99" spans="1:7">
      <c r="A99" s="58" t="s">
        <v>7199</v>
      </c>
      <c r="B99" s="56"/>
      <c r="C99" s="56"/>
      <c r="D99" s="56"/>
      <c r="E99" s="56" t="s">
        <v>7200</v>
      </c>
      <c r="F99" s="56"/>
      <c r="G99" s="66"/>
    </row>
    <row r="100" spans="1:7">
      <c r="A100" s="58" t="s">
        <v>7201</v>
      </c>
      <c r="B100" s="58" t="s">
        <v>7142</v>
      </c>
      <c r="C100" s="58" t="s">
        <v>7143</v>
      </c>
      <c r="D100" s="58" t="s">
        <v>7113</v>
      </c>
      <c r="E100" s="56" t="s">
        <v>7114</v>
      </c>
      <c r="F100" s="56"/>
      <c r="G100" s="66"/>
    </row>
    <row r="101" spans="1:7">
      <c r="A101" s="58" t="s">
        <v>7202</v>
      </c>
      <c r="B101" s="58" t="s">
        <v>7142</v>
      </c>
      <c r="C101" s="58" t="s">
        <v>7143</v>
      </c>
      <c r="D101" s="58" t="s">
        <v>7145</v>
      </c>
      <c r="E101" s="56" t="s">
        <v>7114</v>
      </c>
      <c r="F101" s="56"/>
      <c r="G101" s="66"/>
    </row>
    <row r="102" spans="1:7">
      <c r="A102" s="58" t="s">
        <v>7203</v>
      </c>
      <c r="B102" s="58" t="s">
        <v>7136</v>
      </c>
      <c r="C102" s="58" t="s">
        <v>7143</v>
      </c>
      <c r="D102" s="58" t="s">
        <v>7113</v>
      </c>
      <c r="E102" s="56" t="s">
        <v>7114</v>
      </c>
      <c r="F102" s="56"/>
      <c r="G102" s="66"/>
    </row>
    <row r="103" spans="1:7">
      <c r="A103" s="58" t="s">
        <v>7204</v>
      </c>
      <c r="B103" s="58" t="s">
        <v>7139</v>
      </c>
      <c r="C103" s="58" t="s">
        <v>7143</v>
      </c>
      <c r="D103" s="58" t="s">
        <v>7113</v>
      </c>
      <c r="E103" s="56" t="s">
        <v>7114</v>
      </c>
      <c r="F103" s="56"/>
      <c r="G103" s="66"/>
    </row>
    <row r="104" spans="1:7">
      <c r="A104" s="64" t="s">
        <v>7205</v>
      </c>
      <c r="B104" s="58" t="s">
        <v>7062</v>
      </c>
      <c r="C104" s="58" t="s">
        <v>7062</v>
      </c>
      <c r="D104" s="58" t="s">
        <v>7062</v>
      </c>
      <c r="E104" s="58" t="s">
        <v>7063</v>
      </c>
      <c r="F104" s="56"/>
      <c r="G104" s="66"/>
    </row>
    <row r="105" spans="1:7">
      <c r="A105" s="58" t="s">
        <v>7206</v>
      </c>
      <c r="B105" s="58" t="s">
        <v>7142</v>
      </c>
      <c r="C105" s="58" t="s">
        <v>7143</v>
      </c>
      <c r="D105" s="58" t="s">
        <v>7113</v>
      </c>
      <c r="E105" s="56" t="s">
        <v>7114</v>
      </c>
      <c r="F105" s="56"/>
      <c r="G105" s="66"/>
    </row>
    <row r="106" spans="1:7">
      <c r="A106" s="58" t="s">
        <v>7207</v>
      </c>
      <c r="B106" s="58" t="s">
        <v>7142</v>
      </c>
      <c r="C106" s="58" t="s">
        <v>7112</v>
      </c>
      <c r="D106" s="58" t="s">
        <v>7145</v>
      </c>
      <c r="E106" s="56" t="s">
        <v>7114</v>
      </c>
      <c r="F106" s="56"/>
      <c r="G106" s="66"/>
    </row>
    <row r="107" spans="1:7">
      <c r="A107" s="58" t="s">
        <v>7208</v>
      </c>
      <c r="B107" s="58" t="s">
        <v>7142</v>
      </c>
      <c r="C107" s="58" t="s">
        <v>7112</v>
      </c>
      <c r="D107" s="58" t="s">
        <v>7113</v>
      </c>
      <c r="E107" s="56" t="s">
        <v>7114</v>
      </c>
      <c r="F107" s="56"/>
      <c r="G107" s="66"/>
    </row>
    <row r="108" spans="1:7">
      <c r="A108" s="58" t="s">
        <v>7209</v>
      </c>
      <c r="B108" s="58" t="s">
        <v>7142</v>
      </c>
      <c r="C108" s="58" t="s">
        <v>7112</v>
      </c>
      <c r="D108" s="58" t="s">
        <v>7145</v>
      </c>
      <c r="E108" s="56" t="s">
        <v>7114</v>
      </c>
      <c r="F108" s="56"/>
      <c r="G108" s="66"/>
    </row>
    <row r="109" spans="1:7">
      <c r="A109" s="58" t="s">
        <v>7210</v>
      </c>
      <c r="B109" s="58" t="s">
        <v>7136</v>
      </c>
      <c r="C109" s="58" t="s">
        <v>7143</v>
      </c>
      <c r="D109" s="58" t="s">
        <v>7145</v>
      </c>
      <c r="E109" s="56" t="s">
        <v>7114</v>
      </c>
      <c r="F109" s="56"/>
      <c r="G109" s="66"/>
    </row>
    <row r="110" spans="1:7">
      <c r="A110" s="58" t="s">
        <v>7211</v>
      </c>
      <c r="B110" s="58" t="s">
        <v>7136</v>
      </c>
      <c r="C110" s="58" t="s">
        <v>7112</v>
      </c>
      <c r="D110" s="58" t="s">
        <v>7113</v>
      </c>
      <c r="E110" s="56" t="s">
        <v>7114</v>
      </c>
      <c r="F110" s="56"/>
      <c r="G110" s="66"/>
    </row>
    <row r="111" spans="1:7">
      <c r="A111" s="58" t="s">
        <v>7212</v>
      </c>
      <c r="B111" s="58" t="s">
        <v>7136</v>
      </c>
      <c r="C111" s="58" t="s">
        <v>7112</v>
      </c>
      <c r="D111" s="58" t="s">
        <v>7145</v>
      </c>
      <c r="E111" s="56" t="s">
        <v>7114</v>
      </c>
      <c r="F111" s="56"/>
      <c r="G111" s="66"/>
    </row>
    <row r="112" spans="1:7">
      <c r="A112" s="58" t="s">
        <v>7213</v>
      </c>
      <c r="B112" s="58" t="s">
        <v>7086</v>
      </c>
      <c r="C112" s="58" t="s">
        <v>7086</v>
      </c>
      <c r="D112" s="58" t="s">
        <v>7086</v>
      </c>
      <c r="E112" s="58" t="s">
        <v>7114</v>
      </c>
      <c r="F112" s="58"/>
      <c r="G112" s="65"/>
    </row>
    <row r="113" spans="1:7">
      <c r="A113" s="58" t="s">
        <v>7214</v>
      </c>
      <c r="B113" s="58" t="s">
        <v>7139</v>
      </c>
      <c r="C113" s="58" t="s">
        <v>7143</v>
      </c>
      <c r="D113" s="58" t="s">
        <v>7145</v>
      </c>
      <c r="E113" s="56" t="s">
        <v>7114</v>
      </c>
      <c r="F113" s="56"/>
      <c r="G113" s="66"/>
    </row>
    <row r="114" spans="1:7">
      <c r="A114" s="62" t="s">
        <v>7215</v>
      </c>
      <c r="B114" s="56" t="s">
        <v>7111</v>
      </c>
      <c r="C114" s="56" t="s">
        <v>7143</v>
      </c>
      <c r="D114" s="56" t="s">
        <v>7113</v>
      </c>
      <c r="E114" s="56" t="s">
        <v>7114</v>
      </c>
      <c r="F114" s="56"/>
      <c r="G114" s="66"/>
    </row>
    <row r="115" spans="1:7">
      <c r="A115" s="58" t="s">
        <v>7216</v>
      </c>
      <c r="B115" s="58" t="s">
        <v>7139</v>
      </c>
      <c r="C115" s="58" t="s">
        <v>7112</v>
      </c>
      <c r="D115" s="58" t="s">
        <v>7113</v>
      </c>
      <c r="E115" s="56" t="s">
        <v>7114</v>
      </c>
      <c r="F115" s="56"/>
      <c r="G115" s="66"/>
    </row>
    <row r="116" spans="1:7">
      <c r="A116" s="58" t="s">
        <v>7217</v>
      </c>
      <c r="B116" s="58" t="s">
        <v>7139</v>
      </c>
      <c r="C116" s="58" t="s">
        <v>7112</v>
      </c>
      <c r="D116" s="58" t="s">
        <v>7145</v>
      </c>
      <c r="E116" s="56" t="s">
        <v>7114</v>
      </c>
      <c r="F116" s="56"/>
      <c r="G116" s="66"/>
    </row>
    <row r="117" spans="1:7">
      <c r="A117" s="58" t="s">
        <v>7218</v>
      </c>
      <c r="B117" s="58"/>
      <c r="C117" s="58"/>
      <c r="D117" s="58"/>
      <c r="E117" s="56" t="s">
        <v>7219</v>
      </c>
      <c r="F117" s="56"/>
      <c r="G117" s="66" t="s">
        <v>7220</v>
      </c>
    </row>
    <row r="118" spans="1:7">
      <c r="A118" s="58" t="s">
        <v>7221</v>
      </c>
      <c r="B118" s="58"/>
      <c r="C118" s="58"/>
      <c r="D118" s="58"/>
      <c r="E118" s="56" t="s">
        <v>7219</v>
      </c>
      <c r="F118" s="56"/>
      <c r="G118" s="66" t="s">
        <v>7220</v>
      </c>
    </row>
    <row r="119" spans="1:7">
      <c r="A119" s="58" t="s">
        <v>7222</v>
      </c>
      <c r="B119" s="56"/>
      <c r="C119" s="56"/>
      <c r="D119" s="56"/>
      <c r="E119" s="56" t="s">
        <v>7223</v>
      </c>
      <c r="F119" s="56"/>
      <c r="G119" s="66"/>
    </row>
    <row r="120" spans="1:7">
      <c r="A120" s="62" t="s">
        <v>7224</v>
      </c>
      <c r="B120" s="56" t="s">
        <v>7062</v>
      </c>
      <c r="C120" s="56" t="s">
        <v>7062</v>
      </c>
      <c r="D120" s="56" t="s">
        <v>7062</v>
      </c>
      <c r="E120" s="56" t="s">
        <v>7225</v>
      </c>
      <c r="F120" s="56"/>
      <c r="G120" s="66"/>
    </row>
    <row r="121" spans="1:7">
      <c r="A121" s="58" t="s">
        <v>7226</v>
      </c>
      <c r="B121" s="58" t="s">
        <v>7062</v>
      </c>
      <c r="C121" s="58" t="s">
        <v>7062</v>
      </c>
      <c r="D121" s="58" t="s">
        <v>7062</v>
      </c>
      <c r="E121" s="56" t="s">
        <v>7068</v>
      </c>
      <c r="F121" s="56"/>
      <c r="G121" s="66"/>
    </row>
    <row r="122" spans="1:7">
      <c r="A122" s="58" t="s">
        <v>7227</v>
      </c>
      <c r="B122" s="58"/>
      <c r="C122" s="58"/>
      <c r="D122" s="58"/>
      <c r="E122" s="58" t="s">
        <v>7128</v>
      </c>
      <c r="F122" s="58"/>
      <c r="G122" s="65"/>
    </row>
    <row r="123" spans="1:7">
      <c r="A123" s="58" t="s">
        <v>7228</v>
      </c>
      <c r="B123" s="58" t="s">
        <v>7062</v>
      </c>
      <c r="C123" s="58" t="s">
        <v>7062</v>
      </c>
      <c r="D123" s="58" t="s">
        <v>7062</v>
      </c>
      <c r="E123" s="58" t="s">
        <v>7063</v>
      </c>
      <c r="F123" s="64"/>
      <c r="G123" s="67"/>
    </row>
    <row r="124" spans="1:7">
      <c r="A124" s="58" t="s">
        <v>7229</v>
      </c>
      <c r="B124" s="58"/>
      <c r="C124" s="58"/>
      <c r="D124" s="58"/>
      <c r="E124" s="58" t="s">
        <v>7063</v>
      </c>
      <c r="F124" s="58"/>
      <c r="G124" s="65"/>
    </row>
    <row r="125" spans="1:7">
      <c r="A125" s="58" t="s">
        <v>7230</v>
      </c>
      <c r="B125" s="56" t="s">
        <v>7062</v>
      </c>
      <c r="C125" s="56" t="s">
        <v>7062</v>
      </c>
      <c r="D125" s="56" t="s">
        <v>7062</v>
      </c>
      <c r="E125" s="56" t="s">
        <v>7063</v>
      </c>
      <c r="F125" s="64"/>
      <c r="G125" s="67"/>
    </row>
    <row r="126" spans="1:7">
      <c r="A126" s="58" t="s">
        <v>7231</v>
      </c>
      <c r="B126" s="56" t="s">
        <v>7062</v>
      </c>
      <c r="C126" s="56" t="s">
        <v>7062</v>
      </c>
      <c r="D126" s="56" t="s">
        <v>7062</v>
      </c>
      <c r="E126" s="56" t="s">
        <v>7232</v>
      </c>
      <c r="F126" s="56"/>
      <c r="G126" s="66"/>
    </row>
    <row r="127" spans="1:7">
      <c r="A127" s="58" t="s">
        <v>7233</v>
      </c>
      <c r="B127" s="58" t="s">
        <v>7086</v>
      </c>
      <c r="C127" s="58" t="s">
        <v>7086</v>
      </c>
      <c r="D127" s="58" t="s">
        <v>7086</v>
      </c>
      <c r="E127" s="58" t="s">
        <v>7070</v>
      </c>
      <c r="F127" s="58"/>
      <c r="G127" s="65"/>
    </row>
    <row r="128" spans="1:7">
      <c r="A128" s="58" t="s">
        <v>7234</v>
      </c>
      <c r="B128" s="58" t="s">
        <v>7062</v>
      </c>
      <c r="C128" s="58" t="s">
        <v>7062</v>
      </c>
      <c r="D128" s="58" t="s">
        <v>7062</v>
      </c>
      <c r="E128" s="58" t="s">
        <v>7128</v>
      </c>
      <c r="F128" s="56"/>
      <c r="G128" s="66"/>
    </row>
    <row r="129" spans="1:7">
      <c r="A129" s="58" t="s">
        <v>7235</v>
      </c>
      <c r="B129" s="58" t="s">
        <v>7062</v>
      </c>
      <c r="C129" s="58" t="s">
        <v>7062</v>
      </c>
      <c r="D129" s="58" t="s">
        <v>7062</v>
      </c>
      <c r="E129" s="58" t="s">
        <v>7236</v>
      </c>
      <c r="F129" s="56"/>
      <c r="G129" s="66"/>
    </row>
    <row r="130" spans="1:7">
      <c r="A130" s="58" t="s">
        <v>7237</v>
      </c>
      <c r="B130" s="56" t="s">
        <v>7062</v>
      </c>
      <c r="C130" s="56" t="s">
        <v>7062</v>
      </c>
      <c r="D130" s="56" t="s">
        <v>7062</v>
      </c>
      <c r="E130" s="56" t="s">
        <v>7070</v>
      </c>
      <c r="F130" s="56" t="s">
        <v>7238</v>
      </c>
      <c r="G130" s="65" t="s">
        <v>7239</v>
      </c>
    </row>
    <row r="131" spans="1:7">
      <c r="A131" s="58" t="s">
        <v>7240</v>
      </c>
      <c r="B131" s="56" t="s">
        <v>7062</v>
      </c>
      <c r="C131" s="56" t="s">
        <v>7062</v>
      </c>
      <c r="D131" s="56" t="s">
        <v>7062</v>
      </c>
      <c r="E131" s="56" t="s">
        <v>7070</v>
      </c>
      <c r="F131" s="56" t="s">
        <v>7241</v>
      </c>
      <c r="G131" s="65" t="s">
        <v>7239</v>
      </c>
    </row>
    <row r="132" spans="1:7">
      <c r="A132" s="58" t="s">
        <v>7242</v>
      </c>
      <c r="B132" s="56" t="s">
        <v>7062</v>
      </c>
      <c r="C132" s="56" t="s">
        <v>7062</v>
      </c>
      <c r="D132" s="56" t="s">
        <v>7062</v>
      </c>
      <c r="E132" s="56" t="s">
        <v>7070</v>
      </c>
      <c r="F132" s="56" t="s">
        <v>7243</v>
      </c>
      <c r="G132" s="65" t="s">
        <v>7239</v>
      </c>
    </row>
    <row r="133" spans="1:7">
      <c r="A133" s="58" t="s">
        <v>56</v>
      </c>
      <c r="B133" s="56" t="s">
        <v>7062</v>
      </c>
      <c r="C133" s="56" t="s">
        <v>7062</v>
      </c>
      <c r="D133" s="56" t="s">
        <v>7062</v>
      </c>
      <c r="E133" s="56" t="s">
        <v>7070</v>
      </c>
      <c r="F133" s="56" t="s">
        <v>7244</v>
      </c>
      <c r="G133" s="65" t="s">
        <v>7239</v>
      </c>
    </row>
    <row r="134" spans="1:7">
      <c r="A134" s="58" t="s">
        <v>7245</v>
      </c>
      <c r="B134" s="56" t="s">
        <v>7062</v>
      </c>
      <c r="C134" s="56" t="s">
        <v>7062</v>
      </c>
      <c r="D134" s="56" t="s">
        <v>7062</v>
      </c>
      <c r="E134" s="56" t="s">
        <v>7070</v>
      </c>
      <c r="F134" s="56" t="s">
        <v>7084</v>
      </c>
      <c r="G134" s="65" t="s">
        <v>7239</v>
      </c>
    </row>
    <row r="135" spans="1:7">
      <c r="A135" s="58" t="s">
        <v>181</v>
      </c>
      <c r="B135" s="56" t="s">
        <v>7062</v>
      </c>
      <c r="C135" s="56" t="s">
        <v>7062</v>
      </c>
      <c r="D135" s="56" t="s">
        <v>7062</v>
      </c>
      <c r="E135" s="56" t="s">
        <v>7070</v>
      </c>
      <c r="F135" s="56" t="s">
        <v>7090</v>
      </c>
      <c r="G135" s="65" t="s">
        <v>7239</v>
      </c>
    </row>
    <row r="136" spans="1:7">
      <c r="A136" s="58" t="s">
        <v>7246</v>
      </c>
      <c r="B136" s="56" t="s">
        <v>7062</v>
      </c>
      <c r="C136" s="56" t="s">
        <v>7062</v>
      </c>
      <c r="D136" s="56" t="s">
        <v>7062</v>
      </c>
      <c r="E136" s="56" t="s">
        <v>7070</v>
      </c>
      <c r="F136" s="56" t="s">
        <v>7247</v>
      </c>
      <c r="G136" s="65" t="s">
        <v>7239</v>
      </c>
    </row>
    <row r="137" spans="1:7">
      <c r="A137" s="58" t="s">
        <v>131</v>
      </c>
      <c r="B137" s="56" t="s">
        <v>7062</v>
      </c>
      <c r="C137" s="56" t="s">
        <v>7062</v>
      </c>
      <c r="D137" s="56" t="s">
        <v>7062</v>
      </c>
      <c r="E137" s="56" t="s">
        <v>7070</v>
      </c>
      <c r="F137" s="56" t="s">
        <v>7248</v>
      </c>
      <c r="G137" s="65" t="s">
        <v>7239</v>
      </c>
    </row>
    <row r="138" spans="1:7">
      <c r="A138" s="58" t="s">
        <v>7249</v>
      </c>
      <c r="B138" s="56" t="s">
        <v>7062</v>
      </c>
      <c r="C138" s="56" t="s">
        <v>7062</v>
      </c>
      <c r="D138" s="56" t="s">
        <v>7062</v>
      </c>
      <c r="E138" s="56" t="s">
        <v>7070</v>
      </c>
      <c r="F138" s="56" t="s">
        <v>7250</v>
      </c>
      <c r="G138" s="65" t="s">
        <v>7239</v>
      </c>
    </row>
    <row r="139" spans="1:7">
      <c r="A139" s="58" t="s">
        <v>7251</v>
      </c>
      <c r="B139" s="56" t="s">
        <v>7062</v>
      </c>
      <c r="C139" s="56" t="s">
        <v>7062</v>
      </c>
      <c r="D139" s="56" t="s">
        <v>7062</v>
      </c>
      <c r="E139" s="56" t="s">
        <v>7070</v>
      </c>
      <c r="F139" s="56" t="s">
        <v>7252</v>
      </c>
      <c r="G139" s="65" t="s">
        <v>7239</v>
      </c>
    </row>
    <row r="140" spans="1:7">
      <c r="A140" s="58" t="s">
        <v>7253</v>
      </c>
      <c r="B140" s="56" t="s">
        <v>7062</v>
      </c>
      <c r="C140" s="56" t="s">
        <v>7062</v>
      </c>
      <c r="D140" s="56" t="s">
        <v>7062</v>
      </c>
      <c r="E140" s="56" t="s">
        <v>7070</v>
      </c>
      <c r="F140" s="56" t="s">
        <v>7252</v>
      </c>
      <c r="G140" s="65" t="s">
        <v>7239</v>
      </c>
    </row>
    <row r="141" spans="1:7">
      <c r="A141" s="58" t="s">
        <v>7254</v>
      </c>
      <c r="B141" s="56" t="s">
        <v>7062</v>
      </c>
      <c r="C141" s="56" t="s">
        <v>7062</v>
      </c>
      <c r="D141" s="56" t="s">
        <v>7062</v>
      </c>
      <c r="E141" s="56" t="s">
        <v>7070</v>
      </c>
      <c r="F141" s="56" t="s">
        <v>7252</v>
      </c>
      <c r="G141" s="65" t="s">
        <v>7239</v>
      </c>
    </row>
    <row r="142" spans="1:7">
      <c r="A142" s="58" t="s">
        <v>7255</v>
      </c>
      <c r="B142" s="56" t="s">
        <v>7062</v>
      </c>
      <c r="C142" s="56" t="s">
        <v>7062</v>
      </c>
      <c r="D142" s="56" t="s">
        <v>7062</v>
      </c>
      <c r="E142" s="56" t="s">
        <v>7070</v>
      </c>
      <c r="F142" s="56" t="s">
        <v>7256</v>
      </c>
      <c r="G142" s="65" t="s">
        <v>7239</v>
      </c>
    </row>
    <row r="143" spans="1:7">
      <c r="A143" s="58" t="s">
        <v>133</v>
      </c>
      <c r="B143" s="56" t="s">
        <v>7062</v>
      </c>
      <c r="C143" s="56" t="s">
        <v>7062</v>
      </c>
      <c r="D143" s="56" t="s">
        <v>7062</v>
      </c>
      <c r="E143" s="56" t="s">
        <v>7070</v>
      </c>
      <c r="F143" s="56" t="s">
        <v>7105</v>
      </c>
      <c r="G143" s="58" t="s">
        <v>7239</v>
      </c>
    </row>
    <row r="144" spans="1:7">
      <c r="A144" s="58" t="s">
        <v>7068</v>
      </c>
      <c r="B144" s="58" t="s">
        <v>7062</v>
      </c>
      <c r="C144" s="58" t="s">
        <v>7062</v>
      </c>
      <c r="D144" s="58" t="s">
        <v>7062</v>
      </c>
      <c r="E144" s="58" t="s">
        <v>7068</v>
      </c>
      <c r="F144" s="58"/>
      <c r="G144" s="58"/>
    </row>
    <row r="145" spans="1:7">
      <c r="A145" s="58" t="s">
        <v>7257</v>
      </c>
      <c r="B145" s="58" t="s">
        <v>7062</v>
      </c>
      <c r="C145" s="58" t="s">
        <v>7062</v>
      </c>
      <c r="D145" s="58" t="s">
        <v>7062</v>
      </c>
      <c r="E145" s="58" t="s">
        <v>7128</v>
      </c>
      <c r="F145" s="56"/>
      <c r="G145" s="56"/>
    </row>
    <row r="146" spans="1:7">
      <c r="A146" s="58" t="s">
        <v>7258</v>
      </c>
      <c r="B146" s="58" t="s">
        <v>7062</v>
      </c>
      <c r="C146" s="58" t="s">
        <v>7062</v>
      </c>
      <c r="D146" s="58" t="s">
        <v>7062</v>
      </c>
      <c r="E146" s="58" t="s">
        <v>7063</v>
      </c>
      <c r="F146" s="58"/>
      <c r="G146" s="58"/>
    </row>
    <row r="147" spans="1:7">
      <c r="A147" s="58" t="s">
        <v>7259</v>
      </c>
      <c r="B147" s="56"/>
      <c r="C147" s="56"/>
      <c r="D147" s="56"/>
      <c r="E147" s="56" t="s">
        <v>7260</v>
      </c>
      <c r="F147" s="56"/>
      <c r="G147" s="56"/>
    </row>
    <row r="148" spans="1:7">
      <c r="A148" s="58" t="s">
        <v>7259</v>
      </c>
      <c r="B148" s="56"/>
      <c r="C148" s="56"/>
      <c r="D148" s="56"/>
      <c r="E148" s="56" t="s">
        <v>7261</v>
      </c>
      <c r="F148" s="56"/>
      <c r="G148" s="56"/>
    </row>
    <row r="149" spans="1:7">
      <c r="A149" s="58" t="s">
        <v>7262</v>
      </c>
      <c r="B149" s="56" t="s">
        <v>7062</v>
      </c>
      <c r="C149" s="56" t="s">
        <v>7062</v>
      </c>
      <c r="D149" s="56" t="s">
        <v>7062</v>
      </c>
      <c r="E149" s="56" t="s">
        <v>7225</v>
      </c>
      <c r="F149" s="56"/>
      <c r="G149" s="56"/>
    </row>
    <row r="150" spans="1:7">
      <c r="A150" s="58" t="s">
        <v>7263</v>
      </c>
      <c r="B150" s="56" t="s">
        <v>7062</v>
      </c>
      <c r="C150" s="56" t="s">
        <v>7062</v>
      </c>
      <c r="D150" s="56" t="s">
        <v>7062</v>
      </c>
      <c r="E150" s="56" t="s">
        <v>7225</v>
      </c>
      <c r="F150" s="56"/>
      <c r="G150" s="56"/>
    </row>
    <row r="151" spans="1:7">
      <c r="A151" s="58" t="s">
        <v>7264</v>
      </c>
      <c r="B151" s="56" t="s">
        <v>7062</v>
      </c>
      <c r="C151" s="56" t="s">
        <v>7062</v>
      </c>
      <c r="D151" s="56" t="s">
        <v>7062</v>
      </c>
      <c r="E151" s="56" t="s">
        <v>7063</v>
      </c>
      <c r="F151" s="56"/>
      <c r="G151" s="56"/>
    </row>
    <row r="152" spans="1:7">
      <c r="A152" s="62" t="s">
        <v>7265</v>
      </c>
      <c r="B152" s="56" t="s">
        <v>7062</v>
      </c>
      <c r="C152" s="56" t="s">
        <v>7062</v>
      </c>
      <c r="D152" s="56" t="s">
        <v>7062</v>
      </c>
      <c r="E152" s="56" t="s">
        <v>7265</v>
      </c>
      <c r="F152" s="56"/>
      <c r="G152" s="56"/>
    </row>
    <row r="153" spans="1:7">
      <c r="A153" s="58" t="s">
        <v>7266</v>
      </c>
      <c r="B153" s="58" t="s">
        <v>7062</v>
      </c>
      <c r="C153" s="58" t="s">
        <v>7062</v>
      </c>
      <c r="D153" s="58" t="s">
        <v>7062</v>
      </c>
      <c r="E153" s="58" t="s">
        <v>7063</v>
      </c>
      <c r="F153" s="56"/>
      <c r="G153" s="56"/>
    </row>
    <row r="154" spans="1:7">
      <c r="A154" s="58" t="s">
        <v>7266</v>
      </c>
      <c r="B154" s="56" t="s">
        <v>7062</v>
      </c>
      <c r="C154" s="56" t="s">
        <v>7062</v>
      </c>
      <c r="D154" s="56" t="s">
        <v>7062</v>
      </c>
      <c r="E154" s="56" t="s">
        <v>7063</v>
      </c>
      <c r="F154" s="56"/>
      <c r="G154" s="56"/>
    </row>
    <row r="155" spans="1:7">
      <c r="A155" s="58" t="s">
        <v>7267</v>
      </c>
      <c r="B155" s="58" t="s">
        <v>7062</v>
      </c>
      <c r="C155" s="58" t="s">
        <v>7062</v>
      </c>
      <c r="D155" s="58" t="s">
        <v>7062</v>
      </c>
      <c r="E155" s="58" t="s">
        <v>7063</v>
      </c>
      <c r="F155" s="56"/>
      <c r="G155" s="56"/>
    </row>
    <row r="156" spans="1:7">
      <c r="A156" s="58" t="s">
        <v>7268</v>
      </c>
      <c r="B156" s="56" t="s">
        <v>7062</v>
      </c>
      <c r="C156" s="56" t="s">
        <v>7062</v>
      </c>
      <c r="D156" s="56" t="s">
        <v>7062</v>
      </c>
      <c r="E156" s="56" t="s">
        <v>7063</v>
      </c>
      <c r="F156" s="56"/>
      <c r="G156" s="56"/>
    </row>
    <row r="157" spans="1:7">
      <c r="A157" s="58" t="s">
        <v>7070</v>
      </c>
      <c r="B157" s="58" t="s">
        <v>7062</v>
      </c>
      <c r="C157" s="58" t="s">
        <v>7062</v>
      </c>
      <c r="D157" s="58" t="s">
        <v>7062</v>
      </c>
      <c r="E157" s="58" t="s">
        <v>7070</v>
      </c>
      <c r="F157" s="56"/>
      <c r="G157" s="58" t="s">
        <v>7269</v>
      </c>
    </row>
    <row r="158" spans="1:7">
      <c r="A158" s="58" t="s">
        <v>7270</v>
      </c>
      <c r="B158" s="56"/>
      <c r="C158" s="56"/>
      <c r="D158" s="56"/>
      <c r="E158" s="56" t="s">
        <v>7063</v>
      </c>
      <c r="F158" s="56"/>
      <c r="G158" s="56"/>
    </row>
    <row r="159" spans="1:7">
      <c r="A159" s="58" t="s">
        <v>7271</v>
      </c>
      <c r="B159" s="58" t="s">
        <v>7086</v>
      </c>
      <c r="C159" s="58" t="s">
        <v>7086</v>
      </c>
      <c r="D159" s="58" t="s">
        <v>7086</v>
      </c>
      <c r="E159" s="58" t="s">
        <v>7063</v>
      </c>
      <c r="F159" s="58"/>
      <c r="G159" s="58"/>
    </row>
    <row r="160" spans="1:7">
      <c r="A160" s="58" t="s">
        <v>7272</v>
      </c>
      <c r="B160" s="56"/>
      <c r="C160" s="56"/>
      <c r="D160" s="56"/>
      <c r="E160" s="56" t="s">
        <v>7225</v>
      </c>
      <c r="F160" s="56"/>
      <c r="G160" s="56"/>
    </row>
    <row r="161" spans="1:7">
      <c r="A161" s="62" t="s">
        <v>7273</v>
      </c>
      <c r="B161" s="56" t="s">
        <v>7062</v>
      </c>
      <c r="C161" s="56" t="s">
        <v>7062</v>
      </c>
      <c r="D161" s="56" t="s">
        <v>7062</v>
      </c>
      <c r="E161" s="56" t="s">
        <v>7188</v>
      </c>
      <c r="F161" s="56"/>
      <c r="G161" s="56"/>
    </row>
    <row r="162" spans="1:7">
      <c r="A162" s="62" t="s">
        <v>7274</v>
      </c>
      <c r="B162" s="58" t="s">
        <v>7062</v>
      </c>
      <c r="C162" s="58" t="s">
        <v>7062</v>
      </c>
      <c r="D162" s="58" t="s">
        <v>7062</v>
      </c>
      <c r="E162" s="56" t="s">
        <v>7068</v>
      </c>
      <c r="F162" s="56"/>
      <c r="G162" s="56"/>
    </row>
    <row r="163" spans="1:7">
      <c r="A163" s="58" t="s">
        <v>7275</v>
      </c>
      <c r="B163" s="56"/>
      <c r="C163" s="56"/>
      <c r="D163" s="56"/>
      <c r="E163" s="56" t="s">
        <v>7068</v>
      </c>
      <c r="F163" s="56"/>
      <c r="G163" s="56"/>
    </row>
    <row r="164" spans="1:7">
      <c r="A164" s="58" t="s">
        <v>7276</v>
      </c>
      <c r="B164" s="58" t="s">
        <v>7062</v>
      </c>
      <c r="C164" s="58" t="s">
        <v>7062</v>
      </c>
      <c r="D164" s="58" t="s">
        <v>7062</v>
      </c>
      <c r="E164" s="56" t="s">
        <v>7068</v>
      </c>
      <c r="F164" s="56"/>
      <c r="G164" s="56"/>
    </row>
    <row r="165" spans="1:7">
      <c r="A165" s="58" t="s">
        <v>7277</v>
      </c>
      <c r="B165" s="56" t="s">
        <v>7062</v>
      </c>
      <c r="C165" s="56" t="s">
        <v>7062</v>
      </c>
      <c r="D165" s="56" t="s">
        <v>7062</v>
      </c>
      <c r="E165" s="56" t="s">
        <v>7063</v>
      </c>
      <c r="F165" s="56"/>
      <c r="G165" s="56"/>
    </row>
    <row r="166" spans="1:7">
      <c r="A166" s="62" t="s">
        <v>7278</v>
      </c>
      <c r="B166" s="58" t="s">
        <v>7062</v>
      </c>
      <c r="C166" s="58" t="s">
        <v>7062</v>
      </c>
      <c r="D166" s="58" t="s">
        <v>7062</v>
      </c>
      <c r="E166" s="56" t="s">
        <v>7118</v>
      </c>
      <c r="F166" s="56"/>
      <c r="G166" s="56"/>
    </row>
    <row r="167" spans="1:7">
      <c r="A167" s="62" t="s">
        <v>7279</v>
      </c>
      <c r="B167" s="58" t="s">
        <v>7062</v>
      </c>
      <c r="C167" s="58" t="s">
        <v>7062</v>
      </c>
      <c r="D167" s="58" t="s">
        <v>7062</v>
      </c>
      <c r="E167" s="56" t="s">
        <v>7118</v>
      </c>
      <c r="F167" s="56"/>
      <c r="G167" s="56"/>
    </row>
    <row r="168" spans="1:7">
      <c r="A168" s="58" t="s">
        <v>7280</v>
      </c>
      <c r="B168" s="56" t="s">
        <v>7062</v>
      </c>
      <c r="C168" s="56" t="s">
        <v>7062</v>
      </c>
      <c r="D168" s="56" t="s">
        <v>7062</v>
      </c>
      <c r="E168" s="56" t="s">
        <v>7070</v>
      </c>
      <c r="F168" s="56" t="s">
        <v>7281</v>
      </c>
      <c r="G168" s="58" t="s">
        <v>7282</v>
      </c>
    </row>
    <row r="169" spans="1:7">
      <c r="A169" s="58" t="s">
        <v>7283</v>
      </c>
      <c r="B169" s="56" t="s">
        <v>7062</v>
      </c>
      <c r="C169" s="56" t="s">
        <v>7062</v>
      </c>
      <c r="D169" s="56" t="s">
        <v>7062</v>
      </c>
      <c r="E169" s="56" t="s">
        <v>7070</v>
      </c>
      <c r="F169" s="56" t="s">
        <v>7284</v>
      </c>
      <c r="G169" s="58" t="s">
        <v>7282</v>
      </c>
    </row>
    <row r="170" spans="1:7">
      <c r="A170" s="58" t="s">
        <v>7285</v>
      </c>
      <c r="B170" s="56" t="s">
        <v>7062</v>
      </c>
      <c r="C170" s="56" t="s">
        <v>7062</v>
      </c>
      <c r="D170" s="56" t="s">
        <v>7062</v>
      </c>
      <c r="E170" s="56" t="s">
        <v>7070</v>
      </c>
      <c r="F170" s="56" t="s">
        <v>7286</v>
      </c>
      <c r="G170" s="58" t="s">
        <v>7287</v>
      </c>
    </row>
    <row r="171" spans="1:7">
      <c r="A171" s="58" t="s">
        <v>7288</v>
      </c>
      <c r="B171" s="56" t="s">
        <v>7062</v>
      </c>
      <c r="C171" s="56" t="s">
        <v>7062</v>
      </c>
      <c r="D171" s="56" t="s">
        <v>7062</v>
      </c>
      <c r="E171" s="56" t="s">
        <v>7070</v>
      </c>
      <c r="F171" s="56" t="s">
        <v>7289</v>
      </c>
      <c r="G171" s="58" t="s">
        <v>7282</v>
      </c>
    </row>
    <row r="172" spans="1:7">
      <c r="A172" s="58" t="s">
        <v>7290</v>
      </c>
      <c r="B172" s="56" t="s">
        <v>7062</v>
      </c>
      <c r="C172" s="56" t="s">
        <v>7062</v>
      </c>
      <c r="D172" s="56" t="s">
        <v>7062</v>
      </c>
      <c r="E172" s="56" t="s">
        <v>7070</v>
      </c>
      <c r="F172" s="56" t="s">
        <v>7291</v>
      </c>
      <c r="G172" s="58" t="s">
        <v>7282</v>
      </c>
    </row>
    <row r="173" spans="1:7">
      <c r="A173" s="58" t="s">
        <v>7292</v>
      </c>
      <c r="B173" s="56" t="s">
        <v>7062</v>
      </c>
      <c r="C173" s="56" t="s">
        <v>7062</v>
      </c>
      <c r="D173" s="56" t="s">
        <v>7062</v>
      </c>
      <c r="E173" s="56" t="s">
        <v>7070</v>
      </c>
      <c r="F173" s="56" t="s">
        <v>7293</v>
      </c>
      <c r="G173" s="58" t="s">
        <v>7282</v>
      </c>
    </row>
    <row r="174" spans="1:7">
      <c r="A174" s="58" t="s">
        <v>7294</v>
      </c>
      <c r="B174" s="56" t="s">
        <v>7062</v>
      </c>
      <c r="C174" s="56" t="s">
        <v>7062</v>
      </c>
      <c r="D174" s="56" t="s">
        <v>7062</v>
      </c>
      <c r="E174" s="56" t="s">
        <v>7070</v>
      </c>
      <c r="F174" s="56"/>
      <c r="G174" s="58" t="s">
        <v>7282</v>
      </c>
    </row>
    <row r="175" spans="1:7">
      <c r="A175" s="58" t="s">
        <v>7295</v>
      </c>
      <c r="B175" s="56" t="s">
        <v>7062</v>
      </c>
      <c r="C175" s="56" t="s">
        <v>7062</v>
      </c>
      <c r="D175" s="56" t="s">
        <v>7062</v>
      </c>
      <c r="E175" s="56" t="s">
        <v>7070</v>
      </c>
      <c r="F175" s="56" t="s">
        <v>7296</v>
      </c>
      <c r="G175" s="58" t="s">
        <v>7282</v>
      </c>
    </row>
    <row r="176" spans="1:7">
      <c r="A176" s="58" t="s">
        <v>7297</v>
      </c>
      <c r="B176" s="56" t="s">
        <v>7062</v>
      </c>
      <c r="C176" s="56" t="s">
        <v>7062</v>
      </c>
      <c r="D176" s="56" t="s">
        <v>7062</v>
      </c>
      <c r="E176" s="56" t="s">
        <v>7070</v>
      </c>
      <c r="F176" s="56" t="s">
        <v>7298</v>
      </c>
      <c r="G176" s="58" t="s">
        <v>7282</v>
      </c>
    </row>
    <row r="177" spans="1:7">
      <c r="A177" s="58" t="s">
        <v>112</v>
      </c>
      <c r="B177" s="56" t="s">
        <v>7062</v>
      </c>
      <c r="C177" s="56" t="s">
        <v>7062</v>
      </c>
      <c r="D177" s="56" t="s">
        <v>7062</v>
      </c>
      <c r="E177" s="56" t="s">
        <v>7070</v>
      </c>
      <c r="F177" s="56" t="s">
        <v>7299</v>
      </c>
      <c r="G177" s="58" t="s">
        <v>7282</v>
      </c>
    </row>
    <row r="178" spans="1:7">
      <c r="A178" s="58" t="s">
        <v>7300</v>
      </c>
      <c r="B178" s="58" t="s">
        <v>7086</v>
      </c>
      <c r="C178" s="58" t="s">
        <v>7086</v>
      </c>
      <c r="D178" s="58" t="s">
        <v>7086</v>
      </c>
      <c r="E178" s="58" t="s">
        <v>7070</v>
      </c>
      <c r="F178" s="58"/>
      <c r="G178" s="58"/>
    </row>
    <row r="179" spans="1:7">
      <c r="A179" s="58" t="s">
        <v>182</v>
      </c>
      <c r="B179" s="56" t="s">
        <v>7062</v>
      </c>
      <c r="C179" s="56" t="s">
        <v>7062</v>
      </c>
      <c r="D179" s="56" t="s">
        <v>7062</v>
      </c>
      <c r="E179" s="56" t="s">
        <v>7070</v>
      </c>
      <c r="F179" s="56" t="s">
        <v>7084</v>
      </c>
      <c r="G179" s="58" t="s">
        <v>7282</v>
      </c>
    </row>
    <row r="180" spans="1:7">
      <c r="A180" s="58" t="s">
        <v>7301</v>
      </c>
      <c r="B180" s="58" t="s">
        <v>7086</v>
      </c>
      <c r="C180" s="58" t="s">
        <v>7086</v>
      </c>
      <c r="D180" s="58" t="s">
        <v>7086</v>
      </c>
      <c r="E180" s="58" t="s">
        <v>7070</v>
      </c>
      <c r="F180" s="58"/>
      <c r="G180" s="58"/>
    </row>
    <row r="181" spans="1:7">
      <c r="A181" s="58" t="s">
        <v>7302</v>
      </c>
      <c r="B181" s="56" t="s">
        <v>7062</v>
      </c>
      <c r="C181" s="56" t="s">
        <v>7062</v>
      </c>
      <c r="D181" s="56" t="s">
        <v>7062</v>
      </c>
      <c r="E181" s="56" t="s">
        <v>7070</v>
      </c>
      <c r="F181" s="56" t="s">
        <v>7090</v>
      </c>
      <c r="G181" s="58" t="s">
        <v>7282</v>
      </c>
    </row>
    <row r="182" spans="1:7">
      <c r="A182" s="58" t="s">
        <v>7303</v>
      </c>
      <c r="B182" s="56" t="s">
        <v>7062</v>
      </c>
      <c r="C182" s="56" t="s">
        <v>7062</v>
      </c>
      <c r="D182" s="56" t="s">
        <v>7062</v>
      </c>
      <c r="E182" s="56" t="s">
        <v>7070</v>
      </c>
      <c r="F182" s="56" t="s">
        <v>7304</v>
      </c>
      <c r="G182" s="58" t="s">
        <v>7282</v>
      </c>
    </row>
    <row r="183" spans="1:7">
      <c r="A183" s="58" t="s">
        <v>7305</v>
      </c>
      <c r="B183" s="56" t="s">
        <v>7062</v>
      </c>
      <c r="C183" s="56" t="s">
        <v>7062</v>
      </c>
      <c r="D183" s="56" t="s">
        <v>7062</v>
      </c>
      <c r="E183" s="56" t="s">
        <v>7070</v>
      </c>
      <c r="F183" s="56" t="s">
        <v>7306</v>
      </c>
      <c r="G183" s="58" t="s">
        <v>7282</v>
      </c>
    </row>
    <row r="184" spans="1:7">
      <c r="A184" s="58" t="s">
        <v>7307</v>
      </c>
      <c r="B184" s="56" t="s">
        <v>7062</v>
      </c>
      <c r="C184" s="56" t="s">
        <v>7062</v>
      </c>
      <c r="D184" s="56" t="s">
        <v>7062</v>
      </c>
      <c r="E184" s="56" t="s">
        <v>7070</v>
      </c>
      <c r="F184" s="56" t="s">
        <v>7250</v>
      </c>
      <c r="G184" s="58" t="s">
        <v>7282</v>
      </c>
    </row>
    <row r="185" spans="1:7">
      <c r="A185" s="58" t="s">
        <v>7308</v>
      </c>
      <c r="B185" s="56" t="s">
        <v>7062</v>
      </c>
      <c r="C185" s="56" t="s">
        <v>7062</v>
      </c>
      <c r="D185" s="56" t="s">
        <v>7062</v>
      </c>
      <c r="E185" s="56" t="s">
        <v>7070</v>
      </c>
      <c r="F185" s="56" t="s">
        <v>7309</v>
      </c>
      <c r="G185" s="58" t="s">
        <v>7282</v>
      </c>
    </row>
    <row r="186" spans="1:7">
      <c r="A186" s="58" t="s">
        <v>7310</v>
      </c>
      <c r="B186" s="56" t="s">
        <v>7062</v>
      </c>
      <c r="C186" s="56" t="s">
        <v>7062</v>
      </c>
      <c r="D186" s="56" t="s">
        <v>7062</v>
      </c>
      <c r="E186" s="56" t="s">
        <v>7070</v>
      </c>
      <c r="F186" s="56" t="s">
        <v>7311</v>
      </c>
      <c r="G186" s="58" t="s">
        <v>7282</v>
      </c>
    </row>
    <row r="187" spans="1:7">
      <c r="A187" s="58" t="s">
        <v>114</v>
      </c>
      <c r="B187" s="56" t="s">
        <v>7062</v>
      </c>
      <c r="C187" s="56" t="s">
        <v>7062</v>
      </c>
      <c r="D187" s="56" t="s">
        <v>7062</v>
      </c>
      <c r="E187" s="56" t="s">
        <v>7070</v>
      </c>
      <c r="F187" s="56" t="s">
        <v>7252</v>
      </c>
      <c r="G187" s="58" t="s">
        <v>7282</v>
      </c>
    </row>
    <row r="188" spans="1:7">
      <c r="A188" s="58" t="s">
        <v>51</v>
      </c>
      <c r="B188" s="56" t="s">
        <v>7062</v>
      </c>
      <c r="C188" s="56" t="s">
        <v>7062</v>
      </c>
      <c r="D188" s="56" t="s">
        <v>7062</v>
      </c>
      <c r="E188" s="56" t="s">
        <v>7070</v>
      </c>
      <c r="F188" s="56" t="s">
        <v>7105</v>
      </c>
      <c r="G188" s="58" t="s">
        <v>7282</v>
      </c>
    </row>
    <row r="189" spans="1:7">
      <c r="A189" s="58" t="s">
        <v>7312</v>
      </c>
      <c r="B189" s="56" t="s">
        <v>7062</v>
      </c>
      <c r="C189" s="56" t="s">
        <v>7062</v>
      </c>
      <c r="D189" s="56" t="s">
        <v>7062</v>
      </c>
      <c r="E189" s="56" t="s">
        <v>7225</v>
      </c>
      <c r="F189" s="56"/>
      <c r="G189" s="56"/>
    </row>
    <row r="190" spans="1:7">
      <c r="A190" s="58" t="s">
        <v>7313</v>
      </c>
      <c r="B190" s="56" t="s">
        <v>7062</v>
      </c>
      <c r="C190" s="56" t="s">
        <v>7062</v>
      </c>
      <c r="D190" s="56" t="s">
        <v>7062</v>
      </c>
      <c r="E190" s="56" t="s">
        <v>7225</v>
      </c>
      <c r="F190" s="56"/>
      <c r="G190" s="56"/>
    </row>
    <row r="191" spans="1:7">
      <c r="A191" s="58" t="s">
        <v>7314</v>
      </c>
      <c r="B191" s="56" t="s">
        <v>7062</v>
      </c>
      <c r="C191" s="56" t="s">
        <v>7062</v>
      </c>
      <c r="D191" s="56" t="s">
        <v>7062</v>
      </c>
      <c r="E191" s="56" t="s">
        <v>7070</v>
      </c>
      <c r="F191" s="56" t="s">
        <v>7315</v>
      </c>
      <c r="G191" s="58" t="s">
        <v>7316</v>
      </c>
    </row>
    <row r="192" spans="1:7">
      <c r="A192" s="58" t="s">
        <v>7317</v>
      </c>
      <c r="B192" s="56" t="s">
        <v>7062</v>
      </c>
      <c r="C192" s="56" t="s">
        <v>7062</v>
      </c>
      <c r="D192" s="56" t="s">
        <v>7062</v>
      </c>
      <c r="E192" s="56" t="s">
        <v>7070</v>
      </c>
      <c r="F192" s="56" t="s">
        <v>7318</v>
      </c>
      <c r="G192" s="58" t="s">
        <v>7316</v>
      </c>
    </row>
    <row r="193" spans="1:7">
      <c r="A193" s="58" t="s">
        <v>7319</v>
      </c>
      <c r="B193" s="56" t="s">
        <v>7062</v>
      </c>
      <c r="C193" s="56" t="s">
        <v>7062</v>
      </c>
      <c r="D193" s="56" t="s">
        <v>7062</v>
      </c>
      <c r="E193" s="56" t="s">
        <v>7070</v>
      </c>
      <c r="F193" s="56"/>
      <c r="G193" s="58"/>
    </row>
    <row r="194" spans="1:7">
      <c r="A194" s="58" t="s">
        <v>7320</v>
      </c>
      <c r="B194" s="56" t="s">
        <v>7062</v>
      </c>
      <c r="C194" s="56" t="s">
        <v>7062</v>
      </c>
      <c r="D194" s="56" t="s">
        <v>7062</v>
      </c>
      <c r="E194" s="56" t="s">
        <v>7070</v>
      </c>
      <c r="F194" s="56"/>
      <c r="G194" s="58"/>
    </row>
    <row r="195" spans="1:7">
      <c r="A195" s="58" t="s">
        <v>7321</v>
      </c>
      <c r="B195" s="56" t="s">
        <v>7062</v>
      </c>
      <c r="C195" s="56" t="s">
        <v>7062</v>
      </c>
      <c r="D195" s="56" t="s">
        <v>7062</v>
      </c>
      <c r="E195" s="56" t="s">
        <v>7070</v>
      </c>
      <c r="F195" s="56"/>
      <c r="G195" s="58"/>
    </row>
    <row r="196" spans="1:7">
      <c r="A196" s="58" t="s">
        <v>7322</v>
      </c>
      <c r="B196" s="58" t="s">
        <v>7086</v>
      </c>
      <c r="C196" s="58" t="s">
        <v>7086</v>
      </c>
      <c r="D196" s="58" t="s">
        <v>7086</v>
      </c>
      <c r="E196" s="58" t="s">
        <v>7063</v>
      </c>
      <c r="F196" s="58"/>
      <c r="G196" s="58"/>
    </row>
    <row r="197" spans="1:7">
      <c r="A197" s="58" t="s">
        <v>7323</v>
      </c>
      <c r="B197" s="56" t="s">
        <v>7062</v>
      </c>
      <c r="C197" s="56" t="s">
        <v>7062</v>
      </c>
      <c r="D197" s="56" t="s">
        <v>7062</v>
      </c>
      <c r="E197" s="56" t="s">
        <v>7063</v>
      </c>
      <c r="F197" s="56"/>
      <c r="G197" s="56"/>
    </row>
    <row r="198" spans="1:7">
      <c r="A198" s="58" t="s">
        <v>7324</v>
      </c>
      <c r="B198" s="58" t="s">
        <v>7086</v>
      </c>
      <c r="C198" s="58" t="s">
        <v>7086</v>
      </c>
      <c r="D198" s="58" t="s">
        <v>7086</v>
      </c>
      <c r="E198" s="58" t="s">
        <v>7066</v>
      </c>
      <c r="F198" s="58"/>
      <c r="G198" s="58"/>
    </row>
    <row r="199" spans="1:7">
      <c r="A199" s="58" t="s">
        <v>7325</v>
      </c>
      <c r="B199" s="56" t="s">
        <v>7062</v>
      </c>
      <c r="C199" s="56" t="s">
        <v>7062</v>
      </c>
      <c r="D199" s="56" t="s">
        <v>7062</v>
      </c>
      <c r="E199" s="56" t="s">
        <v>7063</v>
      </c>
      <c r="F199" s="56"/>
      <c r="G199" s="56"/>
    </row>
    <row r="200" spans="1:7">
      <c r="A200" s="58" t="s">
        <v>7326</v>
      </c>
      <c r="B200" s="56" t="s">
        <v>7062</v>
      </c>
      <c r="C200" s="56" t="s">
        <v>7062</v>
      </c>
      <c r="D200" s="56" t="s">
        <v>7062</v>
      </c>
      <c r="E200" s="56" t="s">
        <v>7063</v>
      </c>
      <c r="F200" s="56"/>
      <c r="G200" s="56"/>
    </row>
    <row r="201" spans="1:7">
      <c r="A201" s="58" t="s">
        <v>7062</v>
      </c>
      <c r="B201" s="58" t="s">
        <v>7062</v>
      </c>
      <c r="C201" s="58" t="s">
        <v>7062</v>
      </c>
      <c r="D201" s="58" t="s">
        <v>7062</v>
      </c>
      <c r="E201" s="58" t="s">
        <v>7062</v>
      </c>
      <c r="F201" s="56"/>
      <c r="G201" s="56"/>
    </row>
    <row r="202" spans="1:7">
      <c r="A202" s="58" t="s">
        <v>7327</v>
      </c>
      <c r="B202" s="58" t="s">
        <v>7062</v>
      </c>
      <c r="C202" s="58" t="s">
        <v>7062</v>
      </c>
      <c r="D202" s="58" t="s">
        <v>7062</v>
      </c>
      <c r="E202" s="56" t="s">
        <v>7132</v>
      </c>
      <c r="F202" s="56"/>
      <c r="G202" s="56"/>
    </row>
    <row r="203" spans="1:7">
      <c r="A203" s="58" t="s">
        <v>7328</v>
      </c>
      <c r="B203" s="56"/>
      <c r="C203" s="56"/>
      <c r="D203" s="56"/>
      <c r="E203" s="56" t="s">
        <v>7066</v>
      </c>
      <c r="F203" s="56"/>
      <c r="G203" s="56"/>
    </row>
    <row r="204" spans="1:7">
      <c r="A204" s="58" t="s">
        <v>7329</v>
      </c>
      <c r="B204" s="58"/>
      <c r="C204" s="58"/>
      <c r="D204" s="58"/>
      <c r="E204" s="58" t="s">
        <v>7063</v>
      </c>
      <c r="F204" s="58"/>
      <c r="G204" s="58"/>
    </row>
    <row r="205" spans="1:7">
      <c r="A205" s="58" t="s">
        <v>7330</v>
      </c>
      <c r="B205" s="56" t="s">
        <v>7062</v>
      </c>
      <c r="C205" s="56" t="s">
        <v>7062</v>
      </c>
      <c r="D205" s="56" t="s">
        <v>7062</v>
      </c>
      <c r="E205" s="56" t="s">
        <v>7063</v>
      </c>
      <c r="F205" s="56"/>
      <c r="G205" s="56"/>
    </row>
    <row r="206" spans="1:7">
      <c r="A206" s="58" t="s">
        <v>7331</v>
      </c>
      <c r="B206" s="58"/>
      <c r="C206" s="58"/>
      <c r="D206" s="58"/>
      <c r="E206" s="58" t="s">
        <v>7063</v>
      </c>
      <c r="F206" s="58"/>
      <c r="G206" s="58"/>
    </row>
    <row r="207" spans="1:7">
      <c r="A207" s="62" t="s">
        <v>7332</v>
      </c>
      <c r="B207" s="58" t="s">
        <v>7062</v>
      </c>
      <c r="C207" s="58" t="s">
        <v>7062</v>
      </c>
      <c r="D207" s="58" t="s">
        <v>7062</v>
      </c>
      <c r="E207" s="56" t="s">
        <v>7063</v>
      </c>
      <c r="F207" s="56"/>
      <c r="G207" s="56"/>
    </row>
    <row r="208" spans="1:7">
      <c r="A208" s="58" t="s">
        <v>7333</v>
      </c>
      <c r="B208" s="58"/>
      <c r="C208" s="58"/>
      <c r="D208" s="58"/>
      <c r="E208" s="58" t="s">
        <v>7063</v>
      </c>
      <c r="F208" s="58"/>
      <c r="G208" s="58"/>
    </row>
    <row r="209" spans="1:7">
      <c r="A209" s="58" t="s">
        <v>7334</v>
      </c>
      <c r="B209" s="58"/>
      <c r="C209" s="58"/>
      <c r="D209" s="58"/>
      <c r="E209" s="58" t="s">
        <v>7063</v>
      </c>
      <c r="F209" s="58"/>
      <c r="G209" s="58"/>
    </row>
    <row r="210" spans="1:7">
      <c r="A210" s="62" t="s">
        <v>7335</v>
      </c>
      <c r="B210" s="56" t="s">
        <v>7062</v>
      </c>
      <c r="C210" s="56" t="s">
        <v>7062</v>
      </c>
      <c r="D210" s="56" t="s">
        <v>7062</v>
      </c>
      <c r="E210" s="56" t="s">
        <v>7128</v>
      </c>
      <c r="F210" s="56"/>
      <c r="G210" s="56"/>
    </row>
    <row r="211" spans="1:7">
      <c r="A211" s="58" t="s">
        <v>7336</v>
      </c>
      <c r="B211" s="56" t="s">
        <v>7062</v>
      </c>
      <c r="C211" s="56" t="s">
        <v>7062</v>
      </c>
      <c r="D211" s="56" t="s">
        <v>7062</v>
      </c>
      <c r="E211" s="56" t="s">
        <v>7063</v>
      </c>
      <c r="F211" s="56"/>
      <c r="G211" s="56"/>
    </row>
    <row r="212" spans="1:7">
      <c r="A212" s="58" t="s">
        <v>7337</v>
      </c>
      <c r="B212" s="56"/>
      <c r="C212" s="56"/>
      <c r="D212" s="56"/>
      <c r="E212" s="56" t="s">
        <v>7338</v>
      </c>
      <c r="F212" s="56"/>
      <c r="G212" s="56"/>
    </row>
    <row r="213" spans="1:7">
      <c r="A213" s="58" t="s">
        <v>7339</v>
      </c>
      <c r="B213" s="56" t="s">
        <v>7062</v>
      </c>
      <c r="C213" s="56" t="s">
        <v>7062</v>
      </c>
      <c r="D213" s="56" t="s">
        <v>7062</v>
      </c>
      <c r="E213" s="56" t="s">
        <v>7340</v>
      </c>
      <c r="F213" s="56"/>
      <c r="G213" s="56"/>
    </row>
    <row r="214" spans="1:7">
      <c r="A214" s="58" t="s">
        <v>7341</v>
      </c>
      <c r="B214" s="56"/>
      <c r="C214" s="56"/>
      <c r="D214" s="56"/>
      <c r="E214" s="56" t="s">
        <v>7063</v>
      </c>
      <c r="F214" s="56"/>
      <c r="G214" s="56"/>
    </row>
    <row r="215" spans="1:7">
      <c r="A215" s="58" t="s">
        <v>7342</v>
      </c>
      <c r="B215" s="56" t="s">
        <v>7062</v>
      </c>
      <c r="C215" s="56" t="s">
        <v>7062</v>
      </c>
      <c r="D215" s="56" t="s">
        <v>7062</v>
      </c>
      <c r="E215" s="56" t="s">
        <v>7063</v>
      </c>
      <c r="F215" s="56"/>
      <c r="G215" s="56"/>
    </row>
    <row r="216" spans="1:7">
      <c r="A216" s="58" t="s">
        <v>7343</v>
      </c>
      <c r="B216" s="56"/>
      <c r="C216" s="56"/>
      <c r="D216" s="56"/>
      <c r="E216" s="56" t="s">
        <v>7344</v>
      </c>
      <c r="F216" s="56" t="s">
        <v>7345</v>
      </c>
      <c r="G216" s="56"/>
    </row>
    <row r="217" spans="1:7">
      <c r="A217" s="58" t="s">
        <v>7223</v>
      </c>
      <c r="B217" s="56" t="s">
        <v>7062</v>
      </c>
      <c r="C217" s="56" t="s">
        <v>7062</v>
      </c>
      <c r="D217" s="56" t="s">
        <v>7062</v>
      </c>
      <c r="E217" s="56" t="s">
        <v>7332</v>
      </c>
      <c r="F217" s="56"/>
      <c r="G217" s="56"/>
    </row>
    <row r="218" spans="1:7">
      <c r="A218" s="58" t="s">
        <v>7346</v>
      </c>
      <c r="B218" s="56" t="s">
        <v>7062</v>
      </c>
      <c r="C218" s="56" t="s">
        <v>7062</v>
      </c>
      <c r="D218" s="56" t="s">
        <v>7062</v>
      </c>
      <c r="E218" s="56" t="s">
        <v>7232</v>
      </c>
      <c r="F218" s="56"/>
      <c r="G218" s="56"/>
    </row>
    <row r="219" spans="1:7">
      <c r="A219" s="62" t="s">
        <v>7347</v>
      </c>
      <c r="B219" s="56" t="s">
        <v>7062</v>
      </c>
      <c r="C219" s="56" t="s">
        <v>7062</v>
      </c>
      <c r="D219" s="56" t="s">
        <v>7062</v>
      </c>
      <c r="E219" s="56" t="s">
        <v>7232</v>
      </c>
      <c r="F219" s="56"/>
      <c r="G219" s="56"/>
    </row>
    <row r="220" spans="1:7">
      <c r="A220" s="62" t="s">
        <v>7347</v>
      </c>
      <c r="B220" s="56" t="s">
        <v>7062</v>
      </c>
      <c r="C220" s="56" t="s">
        <v>7062</v>
      </c>
      <c r="D220" s="56" t="s">
        <v>7062</v>
      </c>
      <c r="E220" s="56" t="s">
        <v>7118</v>
      </c>
      <c r="F220" s="56"/>
      <c r="G220" s="56"/>
    </row>
    <row r="221" spans="1:7">
      <c r="A221" s="58" t="s">
        <v>7348</v>
      </c>
      <c r="B221" s="56" t="s">
        <v>7062</v>
      </c>
      <c r="C221" s="56" t="s">
        <v>7062</v>
      </c>
      <c r="D221" s="56" t="s">
        <v>7062</v>
      </c>
      <c r="E221" s="56" t="s">
        <v>7068</v>
      </c>
      <c r="F221" s="56"/>
      <c r="G221" s="56"/>
    </row>
    <row r="222" spans="1:7">
      <c r="A222" s="58" t="s">
        <v>7349</v>
      </c>
      <c r="B222" s="56"/>
      <c r="C222" s="56"/>
      <c r="D222" s="56"/>
      <c r="E222" s="56" t="s">
        <v>7350</v>
      </c>
      <c r="F222" s="56"/>
      <c r="G222" s="56"/>
    </row>
    <row r="223" spans="1:7">
      <c r="A223" s="58" t="s">
        <v>7351</v>
      </c>
      <c r="B223" s="56" t="s">
        <v>7062</v>
      </c>
      <c r="C223" s="56" t="s">
        <v>7062</v>
      </c>
      <c r="D223" s="56" t="s">
        <v>7062</v>
      </c>
      <c r="E223" s="56" t="s">
        <v>7232</v>
      </c>
      <c r="F223" s="56"/>
      <c r="G223" s="56"/>
    </row>
    <row r="224" spans="1:7">
      <c r="A224" s="58" t="s">
        <v>7352</v>
      </c>
      <c r="B224" s="56" t="s">
        <v>7062</v>
      </c>
      <c r="C224" s="56" t="s">
        <v>7062</v>
      </c>
      <c r="D224" s="56" t="s">
        <v>7062</v>
      </c>
      <c r="E224" s="56" t="s">
        <v>7232</v>
      </c>
      <c r="F224" s="56"/>
      <c r="G224" s="56"/>
    </row>
    <row r="225" spans="1:7">
      <c r="A225" s="58" t="s">
        <v>7353</v>
      </c>
      <c r="B225" s="58" t="s">
        <v>7086</v>
      </c>
      <c r="C225" s="58" t="s">
        <v>7086</v>
      </c>
      <c r="D225" s="58" t="s">
        <v>7086</v>
      </c>
      <c r="E225" s="58" t="s">
        <v>7354</v>
      </c>
      <c r="F225" s="58"/>
      <c r="G225" s="58"/>
    </row>
    <row r="226" spans="1:7">
      <c r="A226" s="58" t="s">
        <v>7355</v>
      </c>
      <c r="B226" s="56" t="s">
        <v>7062</v>
      </c>
      <c r="C226" s="56" t="s">
        <v>7062</v>
      </c>
      <c r="D226" s="56" t="s">
        <v>7062</v>
      </c>
      <c r="E226" s="56" t="s">
        <v>7232</v>
      </c>
      <c r="F226" s="56"/>
      <c r="G226" s="56"/>
    </row>
    <row r="227" spans="1:7">
      <c r="A227" s="58" t="s">
        <v>7356</v>
      </c>
      <c r="B227" s="56" t="s">
        <v>7062</v>
      </c>
      <c r="C227" s="56" t="s">
        <v>7062</v>
      </c>
      <c r="D227" s="56" t="s">
        <v>7062</v>
      </c>
      <c r="E227" s="56" t="s">
        <v>7357</v>
      </c>
      <c r="F227" s="56"/>
      <c r="G227" s="56"/>
    </row>
    <row r="228" spans="1:7">
      <c r="A228" s="58" t="s">
        <v>7358</v>
      </c>
      <c r="B228" s="56" t="s">
        <v>7062</v>
      </c>
      <c r="C228" s="56" t="s">
        <v>7062</v>
      </c>
      <c r="D228" s="56" t="s">
        <v>7062</v>
      </c>
      <c r="E228" s="56" t="s">
        <v>7232</v>
      </c>
      <c r="F228" s="56"/>
      <c r="G228" s="56"/>
    </row>
    <row r="229" spans="1:7">
      <c r="A229" s="58" t="s">
        <v>7359</v>
      </c>
      <c r="B229" s="58" t="s">
        <v>7086</v>
      </c>
      <c r="C229" s="58" t="s">
        <v>7086</v>
      </c>
      <c r="D229" s="58" t="s">
        <v>7086</v>
      </c>
      <c r="E229" s="58" t="s">
        <v>7066</v>
      </c>
      <c r="F229" s="58"/>
      <c r="G229" s="58"/>
    </row>
    <row r="230" spans="1:7">
      <c r="A230" s="58" t="s">
        <v>7360</v>
      </c>
      <c r="B230" s="56" t="s">
        <v>7062</v>
      </c>
      <c r="C230" s="56" t="s">
        <v>7062</v>
      </c>
      <c r="D230" s="56" t="s">
        <v>7062</v>
      </c>
      <c r="E230" s="56" t="s">
        <v>7068</v>
      </c>
      <c r="F230" s="56"/>
      <c r="G230" s="56"/>
    </row>
    <row r="231" spans="1:7">
      <c r="A231" s="58" t="s">
        <v>7361</v>
      </c>
      <c r="B231" s="58" t="s">
        <v>7062</v>
      </c>
      <c r="C231" s="58" t="s">
        <v>7062</v>
      </c>
      <c r="D231" s="58" t="s">
        <v>7062</v>
      </c>
      <c r="E231" s="58" t="s">
        <v>7063</v>
      </c>
      <c r="F231" s="58"/>
      <c r="G231" s="58"/>
    </row>
    <row r="232" spans="1:7">
      <c r="A232" s="62" t="s">
        <v>7361</v>
      </c>
      <c r="B232" s="56" t="s">
        <v>7062</v>
      </c>
      <c r="C232" s="56" t="s">
        <v>7062</v>
      </c>
      <c r="D232" s="56" t="s">
        <v>7062</v>
      </c>
      <c r="E232" s="56" t="s">
        <v>7063</v>
      </c>
      <c r="F232" s="56"/>
      <c r="G232" s="56"/>
    </row>
    <row r="233" spans="1:7">
      <c r="A233" s="58" t="s">
        <v>7362</v>
      </c>
      <c r="B233" s="58"/>
      <c r="C233" s="58"/>
      <c r="D233" s="58"/>
      <c r="E233" s="58" t="s">
        <v>7063</v>
      </c>
      <c r="F233" s="58"/>
      <c r="G233" s="58"/>
    </row>
    <row r="234" spans="1:7">
      <c r="A234" s="58" t="s">
        <v>7363</v>
      </c>
      <c r="B234" s="58" t="s">
        <v>7062</v>
      </c>
      <c r="C234" s="58" t="s">
        <v>7062</v>
      </c>
      <c r="D234" s="58" t="s">
        <v>7062</v>
      </c>
      <c r="E234" s="58" t="s">
        <v>7063</v>
      </c>
      <c r="F234" s="56"/>
      <c r="G234" s="56"/>
    </row>
    <row r="235" spans="1:7">
      <c r="A235" s="58" t="s">
        <v>7364</v>
      </c>
      <c r="B235" s="58"/>
      <c r="C235" s="58"/>
      <c r="D235" s="58"/>
      <c r="E235" s="58" t="s">
        <v>7114</v>
      </c>
      <c r="F235" s="58"/>
      <c r="G235" s="58"/>
    </row>
    <row r="236" spans="1:7">
      <c r="A236" s="58" t="s">
        <v>7365</v>
      </c>
      <c r="B236" s="56" t="s">
        <v>7062</v>
      </c>
      <c r="C236" s="56" t="s">
        <v>7062</v>
      </c>
      <c r="D236" s="56" t="s">
        <v>7062</v>
      </c>
      <c r="E236" s="56" t="s">
        <v>7063</v>
      </c>
      <c r="F236" s="56"/>
      <c r="G236" s="56"/>
    </row>
    <row r="237" spans="1:7">
      <c r="A237" s="58" t="s">
        <v>7366</v>
      </c>
      <c r="B237" s="56" t="s">
        <v>7062</v>
      </c>
      <c r="C237" s="56" t="s">
        <v>7062</v>
      </c>
      <c r="D237" s="56" t="s">
        <v>7062</v>
      </c>
      <c r="E237" s="56" t="s">
        <v>7063</v>
      </c>
      <c r="F237" s="56"/>
      <c r="G237" s="58"/>
    </row>
    <row r="238" spans="1:7">
      <c r="A238" s="58" t="s">
        <v>7367</v>
      </c>
      <c r="B238" s="58"/>
      <c r="C238" s="58"/>
      <c r="D238" s="58"/>
      <c r="E238" s="58" t="s">
        <v>7063</v>
      </c>
      <c r="F238" s="58"/>
      <c r="G238" s="58"/>
    </row>
    <row r="239" spans="1:7">
      <c r="A239" s="58" t="s">
        <v>7368</v>
      </c>
      <c r="B239" s="58" t="s">
        <v>7086</v>
      </c>
      <c r="C239" s="58" t="s">
        <v>7086</v>
      </c>
      <c r="D239" s="58" t="s">
        <v>7086</v>
      </c>
      <c r="E239" s="58" t="s">
        <v>7066</v>
      </c>
      <c r="F239" s="58"/>
      <c r="G239" s="58"/>
    </row>
    <row r="240" spans="1:7">
      <c r="A240" s="58" t="s">
        <v>7225</v>
      </c>
      <c r="B240" s="58" t="s">
        <v>7062</v>
      </c>
      <c r="C240" s="58" t="s">
        <v>7062</v>
      </c>
      <c r="D240" s="58" t="s">
        <v>7062</v>
      </c>
      <c r="E240" s="58" t="s">
        <v>7225</v>
      </c>
      <c r="F240" s="58"/>
      <c r="G240" s="58"/>
    </row>
    <row r="241" spans="1:7">
      <c r="A241" s="62" t="s">
        <v>7369</v>
      </c>
      <c r="B241" s="58" t="s">
        <v>7062</v>
      </c>
      <c r="C241" s="58" t="s">
        <v>7062</v>
      </c>
      <c r="D241" s="58" t="s">
        <v>7062</v>
      </c>
      <c r="E241" s="56" t="s">
        <v>7063</v>
      </c>
      <c r="F241" s="56"/>
      <c r="G241" s="56"/>
    </row>
    <row r="242" spans="1:7">
      <c r="A242" s="62" t="s">
        <v>7370</v>
      </c>
      <c r="B242" s="58" t="s">
        <v>7062</v>
      </c>
      <c r="C242" s="58" t="s">
        <v>7062</v>
      </c>
      <c r="D242" s="58" t="s">
        <v>7062</v>
      </c>
      <c r="E242" s="56" t="s">
        <v>7063</v>
      </c>
      <c r="F242" s="56"/>
      <c r="G242" s="56"/>
    </row>
    <row r="243" spans="1:7">
      <c r="A243" s="58" t="s">
        <v>7371</v>
      </c>
      <c r="B243" s="56" t="s">
        <v>7062</v>
      </c>
      <c r="C243" s="56" t="s">
        <v>7062</v>
      </c>
      <c r="D243" s="56" t="s">
        <v>7062</v>
      </c>
      <c r="E243" s="56" t="s">
        <v>7063</v>
      </c>
      <c r="F243" s="56"/>
      <c r="G243" s="56"/>
    </row>
    <row r="244" spans="1:7">
      <c r="A244" s="58" t="s">
        <v>7372</v>
      </c>
      <c r="B244" s="56" t="s">
        <v>7062</v>
      </c>
      <c r="C244" s="56" t="s">
        <v>7062</v>
      </c>
      <c r="D244" s="56" t="s">
        <v>7062</v>
      </c>
      <c r="E244" s="56" t="s">
        <v>7063</v>
      </c>
      <c r="F244" s="56"/>
      <c r="G244" s="56"/>
    </row>
    <row r="245" spans="1:7">
      <c r="A245" s="58" t="s">
        <v>7373</v>
      </c>
      <c r="B245" s="56" t="s">
        <v>7062</v>
      </c>
      <c r="C245" s="56" t="s">
        <v>7062</v>
      </c>
      <c r="D245" s="56" t="s">
        <v>7062</v>
      </c>
      <c r="E245" s="56" t="s">
        <v>7063</v>
      </c>
      <c r="F245" s="56"/>
      <c r="G245" s="56"/>
    </row>
    <row r="246" spans="1:7">
      <c r="A246" s="58" t="s">
        <v>7374</v>
      </c>
      <c r="B246" s="56" t="s">
        <v>7062</v>
      </c>
      <c r="C246" s="56" t="s">
        <v>7062</v>
      </c>
      <c r="D246" s="56" t="s">
        <v>7062</v>
      </c>
      <c r="E246" s="56" t="s">
        <v>7063</v>
      </c>
      <c r="F246" s="56"/>
      <c r="G246" s="56"/>
    </row>
    <row r="247" spans="1:7">
      <c r="A247" s="58" t="s">
        <v>7375</v>
      </c>
      <c r="B247" s="56" t="s">
        <v>7062</v>
      </c>
      <c r="C247" s="56" t="s">
        <v>7062</v>
      </c>
      <c r="D247" s="56" t="s">
        <v>7062</v>
      </c>
      <c r="E247" s="56" t="s">
        <v>7063</v>
      </c>
      <c r="F247" s="56"/>
      <c r="G247" s="56"/>
    </row>
    <row r="248" spans="1:7">
      <c r="A248" s="62" t="s">
        <v>7376</v>
      </c>
      <c r="B248" s="56" t="s">
        <v>7062</v>
      </c>
      <c r="C248" s="56" t="s">
        <v>7062</v>
      </c>
      <c r="D248" s="56" t="s">
        <v>7062</v>
      </c>
      <c r="E248" s="56" t="s">
        <v>7377</v>
      </c>
      <c r="F248" s="56"/>
      <c r="G248" s="56"/>
    </row>
    <row r="249" spans="1:7">
      <c r="A249" s="62" t="s">
        <v>7378</v>
      </c>
      <c r="B249" s="56" t="s">
        <v>7062</v>
      </c>
      <c r="C249" s="56" t="s">
        <v>7062</v>
      </c>
      <c r="D249" s="56" t="s">
        <v>7062</v>
      </c>
      <c r="E249" s="56" t="s">
        <v>7063</v>
      </c>
      <c r="F249" s="56"/>
      <c r="G249" s="56"/>
    </row>
    <row r="250" spans="1:7">
      <c r="A250" s="58" t="s">
        <v>7379</v>
      </c>
      <c r="B250" s="56" t="s">
        <v>7062</v>
      </c>
      <c r="C250" s="56" t="s">
        <v>7062</v>
      </c>
      <c r="D250" s="56" t="s">
        <v>7062</v>
      </c>
      <c r="E250" s="56" t="s">
        <v>7063</v>
      </c>
      <c r="F250" s="56"/>
      <c r="G250" s="56"/>
    </row>
    <row r="251" spans="1:7">
      <c r="A251" s="58" t="s">
        <v>7380</v>
      </c>
      <c r="B251" s="56" t="s">
        <v>7062</v>
      </c>
      <c r="C251" s="56" t="s">
        <v>7062</v>
      </c>
      <c r="D251" s="56" t="s">
        <v>7062</v>
      </c>
      <c r="E251" s="56" t="s">
        <v>7381</v>
      </c>
      <c r="F251" s="56" t="s">
        <v>7382</v>
      </c>
      <c r="G251" s="56"/>
    </row>
    <row r="252" spans="1:7">
      <c r="A252" s="58" t="s">
        <v>7383</v>
      </c>
      <c r="B252" s="56" t="s">
        <v>7062</v>
      </c>
      <c r="C252" s="56" t="s">
        <v>7062</v>
      </c>
      <c r="D252" s="56" t="s">
        <v>7062</v>
      </c>
      <c r="E252" s="56" t="s">
        <v>7381</v>
      </c>
      <c r="F252" s="56" t="s">
        <v>7384</v>
      </c>
      <c r="G252" s="56"/>
    </row>
    <row r="253" spans="1:7">
      <c r="A253" s="58" t="s">
        <v>7385</v>
      </c>
      <c r="B253" s="56" t="s">
        <v>7062</v>
      </c>
      <c r="C253" s="56" t="s">
        <v>7062</v>
      </c>
      <c r="D253" s="56" t="s">
        <v>7062</v>
      </c>
      <c r="E253" s="56" t="s">
        <v>7381</v>
      </c>
      <c r="F253" s="56" t="s">
        <v>7386</v>
      </c>
      <c r="G253" s="56"/>
    </row>
    <row r="254" spans="1:7">
      <c r="A254" s="58" t="s">
        <v>7387</v>
      </c>
      <c r="B254" s="56" t="s">
        <v>7062</v>
      </c>
      <c r="C254" s="56" t="s">
        <v>7062</v>
      </c>
      <c r="D254" s="56" t="s">
        <v>7062</v>
      </c>
      <c r="E254" s="56" t="s">
        <v>7381</v>
      </c>
      <c r="F254" s="56" t="s">
        <v>7388</v>
      </c>
      <c r="G254" s="56"/>
    </row>
    <row r="255" spans="1:7">
      <c r="A255" s="58" t="s">
        <v>7389</v>
      </c>
      <c r="B255" s="56" t="s">
        <v>7062</v>
      </c>
      <c r="C255" s="56" t="s">
        <v>7062</v>
      </c>
      <c r="D255" s="56" t="s">
        <v>7062</v>
      </c>
      <c r="E255" s="56" t="s">
        <v>7381</v>
      </c>
      <c r="F255" s="56" t="s">
        <v>7390</v>
      </c>
      <c r="G255" s="56"/>
    </row>
    <row r="256" spans="1:7">
      <c r="A256" s="58" t="s">
        <v>7391</v>
      </c>
      <c r="B256" s="56" t="s">
        <v>7062</v>
      </c>
      <c r="C256" s="56" t="s">
        <v>7062</v>
      </c>
      <c r="D256" s="56" t="s">
        <v>7062</v>
      </c>
      <c r="E256" s="56" t="s">
        <v>7381</v>
      </c>
      <c r="F256" s="56" t="s">
        <v>7392</v>
      </c>
      <c r="G256" s="56"/>
    </row>
    <row r="257" spans="1:7">
      <c r="A257" s="58" t="s">
        <v>147</v>
      </c>
      <c r="B257" s="56" t="s">
        <v>7062</v>
      </c>
      <c r="C257" s="56" t="s">
        <v>7062</v>
      </c>
      <c r="D257" s="56" t="s">
        <v>7062</v>
      </c>
      <c r="E257" s="56" t="s">
        <v>7381</v>
      </c>
      <c r="F257" s="56" t="s">
        <v>7393</v>
      </c>
      <c r="G257" s="56"/>
    </row>
    <row r="258" spans="1:7">
      <c r="A258" s="62" t="s">
        <v>7394</v>
      </c>
      <c r="B258" s="56" t="s">
        <v>7062</v>
      </c>
      <c r="C258" s="56" t="s">
        <v>7062</v>
      </c>
      <c r="D258" s="56" t="s">
        <v>7062</v>
      </c>
      <c r="E258" s="56" t="s">
        <v>7381</v>
      </c>
      <c r="F258" s="56" t="s">
        <v>7395</v>
      </c>
      <c r="G258" s="56"/>
    </row>
    <row r="259" spans="1:7">
      <c r="A259" s="62" t="s">
        <v>7396</v>
      </c>
      <c r="B259" s="56" t="s">
        <v>7062</v>
      </c>
      <c r="C259" s="56" t="s">
        <v>7062</v>
      </c>
      <c r="D259" s="56" t="s">
        <v>7062</v>
      </c>
      <c r="E259" s="56" t="s">
        <v>7381</v>
      </c>
      <c r="F259" s="56" t="s">
        <v>7397</v>
      </c>
      <c r="G259" s="56"/>
    </row>
    <row r="260" spans="1:7">
      <c r="A260" s="62" t="s">
        <v>7398</v>
      </c>
      <c r="B260" s="56" t="s">
        <v>7062</v>
      </c>
      <c r="C260" s="56" t="s">
        <v>7062</v>
      </c>
      <c r="D260" s="56" t="s">
        <v>7062</v>
      </c>
      <c r="E260" s="56" t="s">
        <v>7381</v>
      </c>
      <c r="F260" s="56" t="s">
        <v>7399</v>
      </c>
      <c r="G260" s="56"/>
    </row>
    <row r="261" spans="1:7">
      <c r="A261" s="62" t="s">
        <v>7400</v>
      </c>
      <c r="B261" s="56" t="s">
        <v>7062</v>
      </c>
      <c r="C261" s="56" t="s">
        <v>7062</v>
      </c>
      <c r="D261" s="56" t="s">
        <v>7062</v>
      </c>
      <c r="E261" s="56" t="s">
        <v>7381</v>
      </c>
      <c r="F261" s="56" t="s">
        <v>7401</v>
      </c>
      <c r="G261" s="56"/>
    </row>
    <row r="262" spans="1:7">
      <c r="A262" s="58" t="s">
        <v>7402</v>
      </c>
      <c r="B262" s="56" t="s">
        <v>7062</v>
      </c>
      <c r="C262" s="56" t="s">
        <v>7062</v>
      </c>
      <c r="D262" s="56" t="s">
        <v>7062</v>
      </c>
      <c r="E262" s="56" t="s">
        <v>7381</v>
      </c>
      <c r="F262" s="56" t="s">
        <v>7403</v>
      </c>
      <c r="G262" s="56"/>
    </row>
    <row r="263" spans="1:7">
      <c r="A263" s="58" t="s">
        <v>7404</v>
      </c>
      <c r="B263" s="56" t="s">
        <v>7062</v>
      </c>
      <c r="C263" s="56" t="s">
        <v>7062</v>
      </c>
      <c r="D263" s="56" t="s">
        <v>7062</v>
      </c>
      <c r="E263" s="56" t="s">
        <v>7381</v>
      </c>
      <c r="F263" s="56" t="s">
        <v>7405</v>
      </c>
      <c r="G263" s="56"/>
    </row>
    <row r="264" spans="1:7">
      <c r="A264" s="58" t="s">
        <v>7406</v>
      </c>
      <c r="B264" s="58" t="s">
        <v>7086</v>
      </c>
      <c r="C264" s="58" t="s">
        <v>7086</v>
      </c>
      <c r="D264" s="58" t="s">
        <v>7086</v>
      </c>
      <c r="E264" s="58" t="s">
        <v>7407</v>
      </c>
      <c r="F264" s="58"/>
      <c r="G264" s="58"/>
    </row>
    <row r="265" spans="1:7">
      <c r="A265" s="62" t="s">
        <v>7408</v>
      </c>
      <c r="B265" s="56" t="s">
        <v>7062</v>
      </c>
      <c r="C265" s="56" t="s">
        <v>7062</v>
      </c>
      <c r="D265" s="56" t="s">
        <v>7062</v>
      </c>
      <c r="E265" s="56" t="s">
        <v>7407</v>
      </c>
      <c r="F265" s="68" t="s">
        <v>7409</v>
      </c>
      <c r="G265" s="68" t="s">
        <v>383</v>
      </c>
    </row>
    <row r="266" spans="1:7">
      <c r="A266" s="58" t="s">
        <v>7410</v>
      </c>
      <c r="B266" s="56" t="s">
        <v>7062</v>
      </c>
      <c r="C266" s="56" t="s">
        <v>7062</v>
      </c>
      <c r="D266" s="56" t="s">
        <v>7062</v>
      </c>
      <c r="E266" s="56" t="s">
        <v>7381</v>
      </c>
      <c r="F266" s="56" t="s">
        <v>7411</v>
      </c>
      <c r="G266" s="56"/>
    </row>
    <row r="267" spans="1:7">
      <c r="A267" s="58" t="s">
        <v>121</v>
      </c>
      <c r="B267" s="56" t="s">
        <v>7062</v>
      </c>
      <c r="C267" s="56" t="s">
        <v>7062</v>
      </c>
      <c r="D267" s="56" t="s">
        <v>7062</v>
      </c>
      <c r="E267" s="56" t="s">
        <v>7381</v>
      </c>
      <c r="F267" s="56" t="s">
        <v>7412</v>
      </c>
      <c r="G267" s="56"/>
    </row>
    <row r="268" spans="1:7">
      <c r="A268" s="58" t="s">
        <v>7413</v>
      </c>
      <c r="B268" s="58" t="s">
        <v>7086</v>
      </c>
      <c r="C268" s="58" t="s">
        <v>7086</v>
      </c>
      <c r="D268" s="58" t="s">
        <v>7086</v>
      </c>
      <c r="E268" s="58" t="s">
        <v>7066</v>
      </c>
      <c r="F268" s="58"/>
      <c r="G268" s="58"/>
    </row>
    <row r="269" spans="1:7">
      <c r="A269" s="58" t="s">
        <v>7414</v>
      </c>
      <c r="B269" s="58"/>
      <c r="C269" s="58"/>
      <c r="D269" s="58"/>
      <c r="E269" s="58" t="s">
        <v>7063</v>
      </c>
      <c r="F269" s="58"/>
      <c r="G269" s="58"/>
    </row>
    <row r="270" spans="1:7">
      <c r="A270" s="58" t="s">
        <v>7415</v>
      </c>
      <c r="B270" s="56" t="s">
        <v>7062</v>
      </c>
      <c r="C270" s="56" t="s">
        <v>7062</v>
      </c>
      <c r="D270" s="56" t="s">
        <v>7062</v>
      </c>
      <c r="E270" s="56" t="s">
        <v>7232</v>
      </c>
      <c r="F270" s="56"/>
      <c r="G270" s="56"/>
    </row>
    <row r="271" spans="1:7">
      <c r="A271" s="58" t="s">
        <v>7086</v>
      </c>
      <c r="B271" s="58"/>
      <c r="C271" s="58"/>
      <c r="D271" s="58"/>
      <c r="E271" s="58" t="s">
        <v>7066</v>
      </c>
      <c r="F271" s="58"/>
      <c r="G271" s="58"/>
    </row>
    <row r="272" spans="1:7">
      <c r="A272" s="58" t="s">
        <v>7416</v>
      </c>
      <c r="B272" s="56" t="s">
        <v>7062</v>
      </c>
      <c r="C272" s="56" t="s">
        <v>7062</v>
      </c>
      <c r="D272" s="56" t="s">
        <v>7062</v>
      </c>
      <c r="E272" s="56" t="s">
        <v>7070</v>
      </c>
      <c r="F272" s="56" t="s">
        <v>7417</v>
      </c>
      <c r="G272" s="58" t="s">
        <v>7418</v>
      </c>
    </row>
    <row r="273" spans="1:7">
      <c r="A273" s="58" t="s">
        <v>7419</v>
      </c>
      <c r="B273" s="56" t="s">
        <v>7062</v>
      </c>
      <c r="C273" s="56" t="s">
        <v>7062</v>
      </c>
      <c r="D273" s="56" t="s">
        <v>7062</v>
      </c>
      <c r="E273" s="56" t="s">
        <v>7070</v>
      </c>
      <c r="F273" s="56" t="s">
        <v>7090</v>
      </c>
      <c r="G273" s="58" t="s">
        <v>7418</v>
      </c>
    </row>
    <row r="274" spans="1:7">
      <c r="A274" s="58" t="s">
        <v>7420</v>
      </c>
      <c r="B274" s="56" t="s">
        <v>7062</v>
      </c>
      <c r="C274" s="56" t="s">
        <v>7062</v>
      </c>
      <c r="D274" s="56" t="s">
        <v>7062</v>
      </c>
      <c r="E274" s="56" t="s">
        <v>7070</v>
      </c>
      <c r="F274" s="56" t="s">
        <v>7250</v>
      </c>
      <c r="G274" s="58" t="s">
        <v>7418</v>
      </c>
    </row>
    <row r="275" spans="1:7">
      <c r="A275" s="58" t="s">
        <v>7421</v>
      </c>
      <c r="B275" s="56" t="s">
        <v>7062</v>
      </c>
      <c r="C275" s="56" t="s">
        <v>7062</v>
      </c>
      <c r="D275" s="56" t="s">
        <v>7062</v>
      </c>
      <c r="E275" s="56" t="s">
        <v>7070</v>
      </c>
      <c r="F275" s="56" t="s">
        <v>7250</v>
      </c>
      <c r="G275" s="58" t="s">
        <v>7418</v>
      </c>
    </row>
    <row r="276" spans="1:7">
      <c r="A276" s="58" t="s">
        <v>7422</v>
      </c>
      <c r="B276" s="56"/>
      <c r="C276" s="56"/>
      <c r="D276" s="56"/>
      <c r="E276" s="56" t="s">
        <v>7423</v>
      </c>
      <c r="F276" s="56"/>
      <c r="G276" s="56"/>
    </row>
    <row r="277" spans="1:7">
      <c r="A277" s="58" t="s">
        <v>7424</v>
      </c>
      <c r="B277" s="56"/>
      <c r="C277" s="56"/>
      <c r="D277" s="56"/>
      <c r="E277" s="56" t="s">
        <v>7425</v>
      </c>
      <c r="F277" s="56"/>
      <c r="G277" s="56"/>
    </row>
    <row r="278" spans="1:7">
      <c r="A278" s="58" t="s">
        <v>7426</v>
      </c>
      <c r="B278" s="58"/>
      <c r="C278" s="58"/>
      <c r="D278" s="58"/>
      <c r="E278" s="56" t="s">
        <v>7427</v>
      </c>
      <c r="F278" s="56"/>
      <c r="G278" s="56"/>
    </row>
    <row r="279" spans="1:7">
      <c r="A279" s="58" t="s">
        <v>7428</v>
      </c>
      <c r="B279" s="58"/>
      <c r="C279" s="58"/>
      <c r="D279" s="58"/>
      <c r="E279" s="58" t="s">
        <v>7225</v>
      </c>
      <c r="F279" s="58"/>
      <c r="G279" s="58"/>
    </row>
    <row r="280" spans="1:7">
      <c r="A280" s="58" t="s">
        <v>7429</v>
      </c>
      <c r="B280" s="56" t="s">
        <v>7062</v>
      </c>
      <c r="C280" s="56" t="s">
        <v>7062</v>
      </c>
      <c r="D280" s="56" t="s">
        <v>7062</v>
      </c>
      <c r="E280" s="56" t="s">
        <v>7225</v>
      </c>
      <c r="F280" s="56"/>
      <c r="G280" s="56"/>
    </row>
    <row r="281" spans="1:7">
      <c r="A281" s="58" t="s">
        <v>7430</v>
      </c>
      <c r="B281" s="56"/>
      <c r="C281" s="56"/>
      <c r="D281" s="56"/>
      <c r="E281" s="56" t="s">
        <v>7431</v>
      </c>
      <c r="F281" s="56"/>
      <c r="G281" s="56"/>
    </row>
    <row r="282" spans="1:7">
      <c r="A282" s="58" t="s">
        <v>7432</v>
      </c>
      <c r="B282" s="58"/>
      <c r="C282" s="58"/>
      <c r="D282" s="58"/>
      <c r="E282" s="58" t="s">
        <v>7219</v>
      </c>
      <c r="F282" s="58" t="s">
        <v>7433</v>
      </c>
      <c r="G282" s="58" t="s">
        <v>7220</v>
      </c>
    </row>
    <row r="283" spans="1:7">
      <c r="A283" s="58" t="s">
        <v>7434</v>
      </c>
      <c r="B283" s="56" t="s">
        <v>7062</v>
      </c>
      <c r="C283" s="56" t="s">
        <v>7062</v>
      </c>
      <c r="D283" s="56" t="s">
        <v>7062</v>
      </c>
      <c r="E283" s="56" t="s">
        <v>7070</v>
      </c>
      <c r="F283" s="56" t="s">
        <v>7435</v>
      </c>
      <c r="G283" s="58" t="s">
        <v>7220</v>
      </c>
    </row>
    <row r="284" spans="1:7">
      <c r="A284" s="58" t="s">
        <v>7436</v>
      </c>
      <c r="B284" s="56" t="s">
        <v>7062</v>
      </c>
      <c r="C284" s="56" t="s">
        <v>7062</v>
      </c>
      <c r="D284" s="56" t="s">
        <v>7062</v>
      </c>
      <c r="E284" s="56" t="s">
        <v>7070</v>
      </c>
      <c r="F284" s="56" t="s">
        <v>7437</v>
      </c>
      <c r="G284" s="58" t="s">
        <v>7220</v>
      </c>
    </row>
    <row r="285" spans="1:7">
      <c r="A285" s="58" t="s">
        <v>7438</v>
      </c>
      <c r="B285" s="56" t="s">
        <v>7062</v>
      </c>
      <c r="C285" s="56" t="s">
        <v>7062</v>
      </c>
      <c r="D285" s="56" t="s">
        <v>7062</v>
      </c>
      <c r="E285" s="56" t="s">
        <v>7070</v>
      </c>
      <c r="F285" s="56" t="s">
        <v>7437</v>
      </c>
      <c r="G285" s="58" t="s">
        <v>7220</v>
      </c>
    </row>
    <row r="286" spans="1:7">
      <c r="A286" s="58" t="s">
        <v>7439</v>
      </c>
      <c r="B286" s="56" t="s">
        <v>7062</v>
      </c>
      <c r="C286" s="56" t="s">
        <v>7062</v>
      </c>
      <c r="D286" s="56" t="s">
        <v>7062</v>
      </c>
      <c r="E286" s="56" t="s">
        <v>7070</v>
      </c>
      <c r="F286" s="56" t="s">
        <v>7440</v>
      </c>
      <c r="G286" s="58" t="s">
        <v>7220</v>
      </c>
    </row>
    <row r="287" spans="1:7">
      <c r="A287" s="58" t="s">
        <v>7441</v>
      </c>
      <c r="B287" s="56" t="s">
        <v>7062</v>
      </c>
      <c r="C287" s="56" t="s">
        <v>7062</v>
      </c>
      <c r="D287" s="56" t="s">
        <v>7062</v>
      </c>
      <c r="E287" s="56" t="s">
        <v>7070</v>
      </c>
      <c r="F287" s="56" t="s">
        <v>7442</v>
      </c>
      <c r="G287" s="58" t="s">
        <v>7220</v>
      </c>
    </row>
    <row r="288" spans="1:7">
      <c r="A288" s="58" t="s">
        <v>7443</v>
      </c>
      <c r="B288" s="56" t="s">
        <v>7062</v>
      </c>
      <c r="C288" s="56" t="s">
        <v>7062</v>
      </c>
      <c r="D288" s="56" t="s">
        <v>7062</v>
      </c>
      <c r="E288" s="56" t="s">
        <v>7070</v>
      </c>
      <c r="F288" s="56" t="s">
        <v>7444</v>
      </c>
      <c r="G288" s="58" t="s">
        <v>7220</v>
      </c>
    </row>
    <row r="289" spans="1:7">
      <c r="A289" s="58" t="s">
        <v>7443</v>
      </c>
      <c r="B289" s="56" t="s">
        <v>7062</v>
      </c>
      <c r="C289" s="56" t="s">
        <v>7062</v>
      </c>
      <c r="D289" s="56" t="s">
        <v>7062</v>
      </c>
      <c r="E289" s="56" t="s">
        <v>7070</v>
      </c>
      <c r="F289" s="56" t="s">
        <v>7440</v>
      </c>
      <c r="G289" s="58" t="s">
        <v>7220</v>
      </c>
    </row>
    <row r="290" spans="1:7">
      <c r="A290" s="69" t="s">
        <v>7445</v>
      </c>
      <c r="B290" s="56"/>
      <c r="C290" s="56"/>
      <c r="D290" s="56"/>
      <c r="E290" s="56"/>
      <c r="F290" s="56" t="s">
        <v>7446</v>
      </c>
      <c r="G290" s="56" t="s">
        <v>7447</v>
      </c>
    </row>
    <row r="291" spans="1:7">
      <c r="A291" s="58" t="s">
        <v>7448</v>
      </c>
      <c r="B291" s="56" t="s">
        <v>7062</v>
      </c>
      <c r="C291" s="56" t="s">
        <v>7062</v>
      </c>
      <c r="D291" s="56" t="s">
        <v>7062</v>
      </c>
      <c r="E291" s="56" t="s">
        <v>7070</v>
      </c>
      <c r="F291" s="56" t="s">
        <v>7449</v>
      </c>
      <c r="G291" s="58" t="s">
        <v>7220</v>
      </c>
    </row>
    <row r="292" spans="1:7">
      <c r="A292" s="58" t="s">
        <v>7450</v>
      </c>
      <c r="B292" s="56" t="s">
        <v>7062</v>
      </c>
      <c r="C292" s="56" t="s">
        <v>7062</v>
      </c>
      <c r="D292" s="56" t="s">
        <v>7062</v>
      </c>
      <c r="E292" s="56" t="s">
        <v>7070</v>
      </c>
      <c r="F292" s="56" t="s">
        <v>7451</v>
      </c>
      <c r="G292" s="58" t="s">
        <v>7220</v>
      </c>
    </row>
    <row r="293" spans="1:7">
      <c r="A293" s="58" t="s">
        <v>7452</v>
      </c>
      <c r="B293" s="56" t="s">
        <v>7062</v>
      </c>
      <c r="C293" s="56" t="s">
        <v>7062</v>
      </c>
      <c r="D293" s="56" t="s">
        <v>7062</v>
      </c>
      <c r="E293" s="56" t="s">
        <v>7070</v>
      </c>
      <c r="F293" s="56" t="s">
        <v>7453</v>
      </c>
      <c r="G293" s="58" t="s">
        <v>7220</v>
      </c>
    </row>
    <row r="294" spans="1:7">
      <c r="A294" s="58" t="s">
        <v>7454</v>
      </c>
      <c r="B294" s="56" t="s">
        <v>7062</v>
      </c>
      <c r="C294" s="56" t="s">
        <v>7062</v>
      </c>
      <c r="D294" s="56" t="s">
        <v>7062</v>
      </c>
      <c r="E294" s="56" t="s">
        <v>7070</v>
      </c>
      <c r="F294" s="56" t="s">
        <v>7455</v>
      </c>
      <c r="G294" s="58" t="s">
        <v>7220</v>
      </c>
    </row>
    <row r="295" spans="1:7">
      <c r="A295" s="58" t="s">
        <v>7456</v>
      </c>
      <c r="B295" s="56" t="s">
        <v>7062</v>
      </c>
      <c r="C295" s="56" t="s">
        <v>7062</v>
      </c>
      <c r="D295" s="56" t="s">
        <v>7062</v>
      </c>
      <c r="E295" s="56" t="s">
        <v>7070</v>
      </c>
      <c r="F295" s="56" t="s">
        <v>7457</v>
      </c>
      <c r="G295" s="58" t="s">
        <v>7220</v>
      </c>
    </row>
    <row r="296" spans="1:7">
      <c r="A296" s="58" t="s">
        <v>7458</v>
      </c>
      <c r="B296" s="58" t="s">
        <v>7086</v>
      </c>
      <c r="C296" s="58" t="s">
        <v>7086</v>
      </c>
      <c r="D296" s="58" t="s">
        <v>7086</v>
      </c>
      <c r="E296" s="58" t="s">
        <v>7087</v>
      </c>
      <c r="F296" s="58"/>
      <c r="G296" s="58"/>
    </row>
    <row r="297" spans="1:7">
      <c r="A297" s="58" t="s">
        <v>7459</v>
      </c>
      <c r="B297" s="58" t="s">
        <v>7086</v>
      </c>
      <c r="C297" s="58" t="s">
        <v>7086</v>
      </c>
      <c r="D297" s="58" t="s">
        <v>7086</v>
      </c>
      <c r="E297" s="58" t="s">
        <v>7087</v>
      </c>
      <c r="F297" s="58"/>
      <c r="G297" s="58"/>
    </row>
    <row r="298" spans="1:7">
      <c r="A298" s="58" t="s">
        <v>7460</v>
      </c>
      <c r="B298" s="58" t="s">
        <v>7086</v>
      </c>
      <c r="C298" s="58" t="s">
        <v>7086</v>
      </c>
      <c r="D298" s="58" t="s">
        <v>7086</v>
      </c>
      <c r="E298" s="58" t="s">
        <v>7070</v>
      </c>
      <c r="F298" s="58"/>
      <c r="G298" s="58"/>
    </row>
    <row r="299" spans="1:7">
      <c r="A299" s="58" t="s">
        <v>7460</v>
      </c>
      <c r="B299" s="58" t="s">
        <v>7086</v>
      </c>
      <c r="C299" s="58" t="s">
        <v>7086</v>
      </c>
      <c r="D299" s="58" t="s">
        <v>7086</v>
      </c>
      <c r="E299" s="58" t="s">
        <v>7070</v>
      </c>
      <c r="F299" s="58"/>
      <c r="G299" s="58"/>
    </row>
    <row r="300" spans="1:7">
      <c r="A300" s="58" t="s">
        <v>7460</v>
      </c>
      <c r="B300" s="58" t="s">
        <v>7086</v>
      </c>
      <c r="C300" s="58" t="s">
        <v>7086</v>
      </c>
      <c r="D300" s="58" t="s">
        <v>7086</v>
      </c>
      <c r="E300" s="58" t="s">
        <v>7070</v>
      </c>
      <c r="F300" s="58"/>
      <c r="G300" s="58"/>
    </row>
    <row r="301" spans="1:7">
      <c r="A301" s="58" t="s">
        <v>7461</v>
      </c>
      <c r="B301" s="56" t="s">
        <v>7062</v>
      </c>
      <c r="C301" s="56" t="s">
        <v>7062</v>
      </c>
      <c r="D301" s="56" t="s">
        <v>7062</v>
      </c>
      <c r="E301" s="56" t="s">
        <v>7068</v>
      </c>
      <c r="F301" s="56"/>
      <c r="G301" s="58"/>
    </row>
    <row r="302" spans="1:7">
      <c r="A302" s="58" t="s">
        <v>7462</v>
      </c>
      <c r="B302" s="56"/>
      <c r="C302" s="56"/>
      <c r="D302" s="56"/>
      <c r="E302" s="56" t="s">
        <v>7128</v>
      </c>
      <c r="F302" s="56"/>
      <c r="G302" s="56"/>
    </row>
    <row r="303" spans="1:7">
      <c r="A303" s="58" t="s">
        <v>7463</v>
      </c>
      <c r="B303" s="58" t="s">
        <v>7062</v>
      </c>
      <c r="C303" s="58" t="s">
        <v>7062</v>
      </c>
      <c r="D303" s="58" t="s">
        <v>7062</v>
      </c>
      <c r="E303" s="56" t="s">
        <v>7128</v>
      </c>
      <c r="F303" s="56"/>
      <c r="G303" s="56"/>
    </row>
    <row r="304" spans="1:7">
      <c r="A304" s="58" t="s">
        <v>7464</v>
      </c>
      <c r="B304" s="56"/>
      <c r="C304" s="56"/>
      <c r="D304" s="56"/>
      <c r="E304" s="56" t="s">
        <v>7128</v>
      </c>
      <c r="F304" s="56"/>
      <c r="G304" s="56"/>
    </row>
    <row r="305" spans="1:7">
      <c r="A305" s="58" t="s">
        <v>7465</v>
      </c>
      <c r="B305" s="56"/>
      <c r="C305" s="56"/>
      <c r="D305" s="56"/>
      <c r="E305" s="56"/>
      <c r="F305" s="56"/>
      <c r="G305" s="58"/>
    </row>
    <row r="306" spans="1:7">
      <c r="A306" s="58" t="s">
        <v>7466</v>
      </c>
      <c r="B306" s="56" t="s">
        <v>7062</v>
      </c>
      <c r="C306" s="56" t="s">
        <v>7062</v>
      </c>
      <c r="D306" s="56" t="s">
        <v>7062</v>
      </c>
      <c r="E306" s="56" t="s">
        <v>7063</v>
      </c>
      <c r="F306" s="68" t="s">
        <v>383</v>
      </c>
      <c r="G306" s="68" t="s">
        <v>383</v>
      </c>
    </row>
    <row r="307" spans="1:7">
      <c r="A307" s="58" t="s">
        <v>7467</v>
      </c>
      <c r="B307" s="58"/>
      <c r="C307" s="58"/>
      <c r="D307" s="58"/>
      <c r="E307" s="58" t="s">
        <v>7328</v>
      </c>
      <c r="F307" s="58"/>
      <c r="G307" s="58"/>
    </row>
    <row r="308" spans="1:7">
      <c r="A308" s="58" t="s">
        <v>7468</v>
      </c>
      <c r="B308" s="58" t="s">
        <v>7062</v>
      </c>
      <c r="C308" s="58" t="s">
        <v>7062</v>
      </c>
      <c r="D308" s="58" t="s">
        <v>7062</v>
      </c>
      <c r="E308" s="58" t="s">
        <v>7063</v>
      </c>
      <c r="F308" s="58"/>
      <c r="G308" s="58"/>
    </row>
    <row r="309" spans="1:7">
      <c r="A309" s="58" t="s">
        <v>7469</v>
      </c>
      <c r="B309" s="58" t="s">
        <v>7062</v>
      </c>
      <c r="C309" s="58" t="s">
        <v>7062</v>
      </c>
      <c r="D309" s="58" t="s">
        <v>7062</v>
      </c>
      <c r="E309" s="58" t="s">
        <v>7128</v>
      </c>
      <c r="F309" s="58"/>
      <c r="G309" s="58"/>
    </row>
    <row r="310" spans="1:7">
      <c r="A310" s="58" t="s">
        <v>7470</v>
      </c>
      <c r="B310" s="58" t="s">
        <v>7086</v>
      </c>
      <c r="C310" s="58" t="s">
        <v>7086</v>
      </c>
      <c r="D310" s="58" t="s">
        <v>7086</v>
      </c>
      <c r="E310" s="58" t="s">
        <v>7128</v>
      </c>
      <c r="F310" s="58"/>
      <c r="G310" s="58"/>
    </row>
    <row r="311" spans="1:7">
      <c r="A311" s="58" t="s">
        <v>7471</v>
      </c>
      <c r="B311" s="56"/>
      <c r="C311" s="56"/>
      <c r="D311" s="56"/>
      <c r="E311" s="56" t="s">
        <v>7472</v>
      </c>
      <c r="F311" s="56"/>
      <c r="G311" s="56"/>
    </row>
    <row r="312" spans="1:7">
      <c r="A312" s="58" t="s">
        <v>7473</v>
      </c>
      <c r="B312" s="58" t="s">
        <v>7086</v>
      </c>
      <c r="C312" s="58" t="s">
        <v>7086</v>
      </c>
      <c r="D312" s="58" t="s">
        <v>7086</v>
      </c>
      <c r="E312" s="58" t="s">
        <v>7128</v>
      </c>
      <c r="F312" s="58"/>
      <c r="G312" s="58"/>
    </row>
    <row r="313" spans="1:7">
      <c r="A313" s="58" t="s">
        <v>7474</v>
      </c>
      <c r="B313" s="58" t="s">
        <v>7475</v>
      </c>
      <c r="C313" s="58" t="s">
        <v>7143</v>
      </c>
      <c r="D313" s="58" t="s">
        <v>7113</v>
      </c>
      <c r="E313" s="58" t="s">
        <v>7476</v>
      </c>
      <c r="F313" s="58"/>
      <c r="G313" s="58"/>
    </row>
    <row r="314" spans="1:7">
      <c r="A314" s="58" t="s">
        <v>7477</v>
      </c>
      <c r="B314" s="56" t="s">
        <v>7062</v>
      </c>
      <c r="C314" s="56" t="s">
        <v>7062</v>
      </c>
      <c r="D314" s="56" t="s">
        <v>7062</v>
      </c>
      <c r="E314" s="56" t="s">
        <v>7070</v>
      </c>
      <c r="F314" s="58"/>
      <c r="G314" s="58"/>
    </row>
    <row r="315" spans="1:7">
      <c r="A315" s="58" t="s">
        <v>7478</v>
      </c>
      <c r="B315" s="58" t="s">
        <v>7086</v>
      </c>
      <c r="C315" s="58" t="s">
        <v>7086</v>
      </c>
      <c r="D315" s="58" t="s">
        <v>7086</v>
      </c>
      <c r="E315" s="58" t="s">
        <v>7128</v>
      </c>
      <c r="F315" s="58"/>
      <c r="G315" s="58"/>
    </row>
    <row r="316" spans="1:7">
      <c r="A316" s="58" t="s">
        <v>7479</v>
      </c>
      <c r="B316" s="58" t="s">
        <v>7086</v>
      </c>
      <c r="C316" s="58" t="s">
        <v>7086</v>
      </c>
      <c r="D316" s="58" t="s">
        <v>7086</v>
      </c>
      <c r="E316" s="58" t="s">
        <v>7480</v>
      </c>
      <c r="F316" s="58"/>
      <c r="G316" s="58"/>
    </row>
    <row r="317" spans="1:7">
      <c r="A317" s="58" t="s">
        <v>7481</v>
      </c>
      <c r="B317" s="58" t="s">
        <v>7086</v>
      </c>
      <c r="C317" s="58" t="s">
        <v>7086</v>
      </c>
      <c r="D317" s="58" t="s">
        <v>7086</v>
      </c>
      <c r="E317" s="58" t="s">
        <v>7480</v>
      </c>
      <c r="F317" s="58"/>
      <c r="G317" s="58"/>
    </row>
    <row r="318" spans="1:7">
      <c r="A318" s="58" t="s">
        <v>7482</v>
      </c>
      <c r="B318" s="58" t="s">
        <v>7086</v>
      </c>
      <c r="C318" s="58" t="s">
        <v>7086</v>
      </c>
      <c r="D318" s="58" t="s">
        <v>7086</v>
      </c>
      <c r="E318" s="58" t="s">
        <v>7480</v>
      </c>
      <c r="F318" s="58"/>
      <c r="G318" s="58"/>
    </row>
    <row r="319" spans="1:7">
      <c r="A319" s="58" t="s">
        <v>7483</v>
      </c>
      <c r="B319" s="58" t="s">
        <v>7086</v>
      </c>
      <c r="C319" s="58" t="s">
        <v>7086</v>
      </c>
      <c r="D319" s="58" t="s">
        <v>7086</v>
      </c>
      <c r="E319" s="58" t="s">
        <v>7128</v>
      </c>
      <c r="F319" s="58"/>
      <c r="G319" s="58"/>
    </row>
    <row r="320" spans="1:7">
      <c r="A320" s="58" t="s">
        <v>7484</v>
      </c>
      <c r="B320" s="58" t="s">
        <v>7086</v>
      </c>
      <c r="C320" s="58" t="s">
        <v>7086</v>
      </c>
      <c r="D320" s="58" t="s">
        <v>7086</v>
      </c>
      <c r="E320" s="58" t="s">
        <v>7066</v>
      </c>
      <c r="F320" s="58"/>
      <c r="G320" s="58"/>
    </row>
    <row r="321" spans="1:7">
      <c r="A321" s="58" t="s">
        <v>7485</v>
      </c>
      <c r="B321" s="58" t="s">
        <v>7086</v>
      </c>
      <c r="C321" s="58" t="s">
        <v>7086</v>
      </c>
      <c r="D321" s="58" t="s">
        <v>7086</v>
      </c>
      <c r="E321" s="58" t="s">
        <v>7066</v>
      </c>
      <c r="F321" s="58"/>
      <c r="G321" s="58"/>
    </row>
    <row r="322" spans="1:7">
      <c r="A322" s="475" t="s">
        <v>8233</v>
      </c>
      <c r="B322" s="58" t="s">
        <v>7086</v>
      </c>
      <c r="C322" s="58" t="s">
        <v>7086</v>
      </c>
      <c r="D322" s="58" t="s">
        <v>7086</v>
      </c>
      <c r="E322" s="58" t="s">
        <v>7066</v>
      </c>
      <c r="F322" s="58"/>
      <c r="G322" s="58"/>
    </row>
    <row r="323" spans="1:7">
      <c r="A323" s="492" t="s">
        <v>8548</v>
      </c>
      <c r="B323" s="58" t="s">
        <v>7086</v>
      </c>
      <c r="C323" s="58" t="s">
        <v>7086</v>
      </c>
      <c r="D323" s="58" t="s">
        <v>7086</v>
      </c>
      <c r="E323" s="58" t="s">
        <v>7066</v>
      </c>
      <c r="F323" s="58"/>
      <c r="G323" s="58"/>
    </row>
    <row r="324" spans="1:7">
      <c r="A324" s="493" t="s">
        <v>8555</v>
      </c>
      <c r="B324" s="58" t="s">
        <v>7086</v>
      </c>
      <c r="C324" s="58" t="s">
        <v>7086</v>
      </c>
      <c r="D324" s="58" t="s">
        <v>7086</v>
      </c>
      <c r="E324" s="58" t="s">
        <v>7066</v>
      </c>
      <c r="F324" s="58"/>
      <c r="G324" s="58"/>
    </row>
    <row r="325" spans="1:7">
      <c r="A325" s="495" t="s">
        <v>8590</v>
      </c>
      <c r="B325" s="495" t="s">
        <v>7136</v>
      </c>
      <c r="C325" s="495" t="s">
        <v>7112</v>
      </c>
      <c r="D325" s="495" t="s">
        <v>7113</v>
      </c>
      <c r="E325" s="495" t="s">
        <v>8591</v>
      </c>
      <c r="F325" s="58"/>
      <c r="G325" s="58"/>
    </row>
    <row r="326" spans="1:7">
      <c r="A326" s="509" t="s">
        <v>8694</v>
      </c>
      <c r="B326" s="514" t="s">
        <v>8972</v>
      </c>
      <c r="C326" s="514" t="s">
        <v>8972</v>
      </c>
      <c r="D326" s="514" t="s">
        <v>8972</v>
      </c>
      <c r="E326" s="514" t="s">
        <v>7066</v>
      </c>
      <c r="F326" s="58"/>
      <c r="G326" s="58"/>
    </row>
    <row r="327" spans="1:7">
      <c r="A327" s="514" t="s">
        <v>8970</v>
      </c>
      <c r="B327" s="514" t="s">
        <v>8972</v>
      </c>
      <c r="C327" s="514" t="s">
        <v>8972</v>
      </c>
      <c r="D327" s="514" t="s">
        <v>8972</v>
      </c>
      <c r="E327" s="514" t="s">
        <v>8973</v>
      </c>
      <c r="F327" s="58"/>
      <c r="G327" s="58"/>
    </row>
    <row r="328" spans="1:7">
      <c r="A328" s="514" t="s">
        <v>8971</v>
      </c>
      <c r="B328" s="514" t="s">
        <v>8972</v>
      </c>
      <c r="C328" s="514" t="s">
        <v>8972</v>
      </c>
      <c r="D328" s="514" t="s">
        <v>8972</v>
      </c>
      <c r="E328" s="514" t="s">
        <v>8973</v>
      </c>
      <c r="F328" s="58"/>
      <c r="G328" s="58"/>
    </row>
  </sheetData>
  <phoneticPr fontId="18" type="noConversion"/>
  <dataValidations count="2">
    <dataValidation type="list" allowBlank="1" showInputMessage="1" showErrorMessage="1" sqref="A190 A33" xr:uid="{E5CC9A7C-B8BA-46BE-A192-A6779880DA90}">
      <formula1>$A$1:$A$310</formula1>
    </dataValidation>
    <dataValidation type="list" allowBlank="1" showInputMessage="1" showErrorMessage="1" sqref="A191:A196" xr:uid="{9DE64DC4-778E-4E8C-9E09-BE1C95D65804}">
      <formula1>$A$1:$A$189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C96C5-6C86-4CB3-AE5B-9BA2AF36DE6D}">
  <sheetPr codeName="Sheet6">
    <tabColor rgb="FF0070C0"/>
  </sheetPr>
  <dimension ref="A1:M2850"/>
  <sheetViews>
    <sheetView zoomScale="85" zoomScaleNormal="85" workbookViewId="0">
      <pane ySplit="1" topLeftCell="A2813" activePane="bottomLeft" state="frozen"/>
      <selection activeCell="A1676" sqref="A1676"/>
      <selection pane="bottomLeft" activeCell="A2850" sqref="A2850"/>
    </sheetView>
  </sheetViews>
  <sheetFormatPr defaultRowHeight="16.5"/>
  <cols>
    <col min="1" max="1" width="28.875" style="580" customWidth="1"/>
    <col min="2" max="2" width="19.875" style="53" customWidth="1"/>
    <col min="3" max="3" width="7.625" style="53" bestFit="1" customWidth="1"/>
    <col min="4" max="4" width="36.875" style="54" customWidth="1"/>
    <col min="5" max="5" width="26" style="54" bestFit="1" customWidth="1"/>
    <col min="6" max="6" width="39.25" style="581" bestFit="1" customWidth="1"/>
    <col min="7" max="7" width="25.25" style="108" customWidth="1"/>
    <col min="8" max="8" width="26.625" style="54" customWidth="1"/>
    <col min="9" max="9" width="20.5" style="583" customWidth="1"/>
    <col min="10" max="10" width="20.5" style="582" customWidth="1"/>
    <col min="11" max="11" width="16.5" style="584" customWidth="1"/>
    <col min="12" max="12" width="28" style="53" customWidth="1"/>
    <col min="13" max="13" width="22.625" style="53" customWidth="1"/>
    <col min="14" max="16384" width="9" style="53"/>
  </cols>
  <sheetData>
    <row r="1" spans="1:13">
      <c r="A1" s="53" t="s">
        <v>52</v>
      </c>
      <c r="B1" s="53" t="s">
        <v>343</v>
      </c>
      <c r="C1" s="53" t="s">
        <v>317</v>
      </c>
      <c r="D1" s="54" t="s">
        <v>344</v>
      </c>
      <c r="E1" s="54" t="s">
        <v>345</v>
      </c>
      <c r="F1" s="581" t="s">
        <v>346</v>
      </c>
      <c r="G1" s="54" t="s">
        <v>347</v>
      </c>
      <c r="H1" s="55" t="s">
        <v>348</v>
      </c>
      <c r="I1" s="582" t="s">
        <v>349</v>
      </c>
      <c r="J1" s="583" t="s">
        <v>350</v>
      </c>
      <c r="K1" s="584" t="s">
        <v>351</v>
      </c>
      <c r="L1" s="53" t="s">
        <v>352</v>
      </c>
      <c r="M1" s="53" t="s">
        <v>353</v>
      </c>
    </row>
    <row r="2" spans="1:13">
      <c r="A2" s="405" t="s">
        <v>177</v>
      </c>
      <c r="B2" s="106" t="s">
        <v>327</v>
      </c>
      <c r="C2" s="132" t="s">
        <v>473</v>
      </c>
      <c r="D2" s="133"/>
      <c r="E2" s="133"/>
      <c r="F2" s="133"/>
      <c r="H2" s="55"/>
      <c r="I2" s="111"/>
      <c r="J2" s="111"/>
      <c r="K2" s="108"/>
      <c r="L2" s="55"/>
      <c r="M2" s="55" t="s">
        <v>7634</v>
      </c>
    </row>
    <row r="3" spans="1:13">
      <c r="A3" s="405" t="s">
        <v>204</v>
      </c>
      <c r="B3" s="106" t="s">
        <v>327</v>
      </c>
      <c r="C3" s="132" t="s">
        <v>473</v>
      </c>
      <c r="D3" s="133"/>
      <c r="E3" s="133"/>
      <c r="F3" s="133"/>
      <c r="H3" s="55"/>
      <c r="I3" s="111"/>
      <c r="J3" s="111"/>
      <c r="K3" s="108"/>
      <c r="L3" s="55"/>
      <c r="M3" s="55" t="s">
        <v>7634</v>
      </c>
    </row>
    <row r="4" spans="1:13">
      <c r="A4" s="405" t="s">
        <v>238</v>
      </c>
      <c r="B4" s="106" t="s">
        <v>327</v>
      </c>
      <c r="C4" s="132" t="s">
        <v>473</v>
      </c>
      <c r="D4" s="133" t="s">
        <v>8447</v>
      </c>
      <c r="E4" s="133" t="s">
        <v>8448</v>
      </c>
      <c r="F4" s="133" t="s">
        <v>8449</v>
      </c>
      <c r="G4" s="585" t="s">
        <v>8450</v>
      </c>
      <c r="H4" s="115" t="s">
        <v>402</v>
      </c>
      <c r="I4" s="111" t="s">
        <v>402</v>
      </c>
      <c r="J4" s="111" t="s">
        <v>402</v>
      </c>
      <c r="K4" s="106" t="s">
        <v>592</v>
      </c>
      <c r="L4" s="55" t="s">
        <v>404</v>
      </c>
      <c r="M4" s="55" t="s">
        <v>383</v>
      </c>
    </row>
    <row r="5" spans="1:13">
      <c r="A5" s="401" t="s">
        <v>8777</v>
      </c>
      <c r="B5" s="106" t="s">
        <v>327</v>
      </c>
      <c r="C5" s="106" t="s">
        <v>473</v>
      </c>
      <c r="D5" s="133" t="s">
        <v>8828</v>
      </c>
      <c r="E5" s="133" t="s">
        <v>8829</v>
      </c>
      <c r="F5" s="133" t="s">
        <v>8830</v>
      </c>
      <c r="G5" s="601" t="s">
        <v>8831</v>
      </c>
      <c r="H5" s="108" t="s">
        <v>402</v>
      </c>
      <c r="I5" s="111" t="s">
        <v>402</v>
      </c>
      <c r="J5" s="111" t="s">
        <v>402</v>
      </c>
      <c r="K5" s="106" t="s">
        <v>403</v>
      </c>
      <c r="L5" s="55" t="s">
        <v>404</v>
      </c>
      <c r="M5" s="55" t="s">
        <v>383</v>
      </c>
    </row>
    <row r="6" spans="1:13">
      <c r="A6" s="510" t="s">
        <v>245</v>
      </c>
      <c r="B6" s="106" t="s">
        <v>327</v>
      </c>
      <c r="C6" s="106" t="s">
        <v>473</v>
      </c>
      <c r="D6" s="109" t="s">
        <v>5276</v>
      </c>
      <c r="E6" s="109" t="s">
        <v>8754</v>
      </c>
      <c r="F6" s="110" t="s">
        <v>8755</v>
      </c>
      <c r="G6" s="112" t="s">
        <v>9223</v>
      </c>
      <c r="H6" s="115" t="s">
        <v>402</v>
      </c>
      <c r="I6" s="111" t="s">
        <v>402</v>
      </c>
      <c r="J6" s="111" t="s">
        <v>402</v>
      </c>
      <c r="K6" s="106" t="s">
        <v>592</v>
      </c>
      <c r="L6" s="55" t="s">
        <v>404</v>
      </c>
      <c r="M6" s="55" t="s">
        <v>383</v>
      </c>
    </row>
    <row r="7" spans="1:13">
      <c r="A7" s="578" t="s">
        <v>199</v>
      </c>
      <c r="B7" s="586" t="s">
        <v>373</v>
      </c>
      <c r="C7" s="586" t="s">
        <v>473</v>
      </c>
      <c r="D7" s="586" t="s">
        <v>5281</v>
      </c>
      <c r="E7" s="586" t="s">
        <v>9071</v>
      </c>
      <c r="F7" s="586" t="s">
        <v>5282</v>
      </c>
      <c r="G7" s="586" t="s">
        <v>377</v>
      </c>
      <c r="H7" s="586" t="s">
        <v>359</v>
      </c>
      <c r="I7" s="587" t="s">
        <v>359</v>
      </c>
      <c r="J7" s="586"/>
      <c r="K7" s="586" t="s">
        <v>2508</v>
      </c>
      <c r="L7" s="586" t="s">
        <v>361</v>
      </c>
      <c r="M7" s="55" t="s">
        <v>7634</v>
      </c>
    </row>
    <row r="8" spans="1:13">
      <c r="A8" s="405" t="s">
        <v>143</v>
      </c>
      <c r="B8" s="106" t="s">
        <v>327</v>
      </c>
      <c r="C8" s="132" t="s">
        <v>473</v>
      </c>
      <c r="D8" s="133"/>
      <c r="E8" s="133"/>
      <c r="F8" s="133"/>
      <c r="H8" s="55"/>
      <c r="I8" s="111"/>
      <c r="J8" s="111"/>
      <c r="K8" s="108"/>
      <c r="L8" s="55"/>
      <c r="M8" s="55" t="s">
        <v>7634</v>
      </c>
    </row>
    <row r="9" spans="1:13">
      <c r="A9" s="405" t="s">
        <v>200</v>
      </c>
      <c r="B9" s="106" t="s">
        <v>327</v>
      </c>
      <c r="C9" s="132" t="s">
        <v>473</v>
      </c>
      <c r="D9" s="133"/>
      <c r="E9" s="133"/>
      <c r="F9" s="133"/>
      <c r="H9" s="55"/>
      <c r="I9" s="111"/>
      <c r="J9" s="111"/>
      <c r="K9" s="108"/>
      <c r="L9" s="55"/>
      <c r="M9" s="55" t="s">
        <v>7634</v>
      </c>
    </row>
    <row r="10" spans="1:13">
      <c r="A10" s="405" t="s">
        <v>202</v>
      </c>
      <c r="B10" s="106" t="s">
        <v>327</v>
      </c>
      <c r="C10" s="132" t="s">
        <v>473</v>
      </c>
      <c r="D10" s="133"/>
      <c r="E10" s="133"/>
      <c r="F10" s="133"/>
      <c r="H10" s="55"/>
      <c r="I10" s="111"/>
      <c r="J10" s="111"/>
      <c r="K10" s="108"/>
      <c r="L10" s="55"/>
      <c r="M10" s="55" t="s">
        <v>7634</v>
      </c>
    </row>
    <row r="11" spans="1:13">
      <c r="A11" s="401" t="s">
        <v>8306</v>
      </c>
      <c r="B11" s="106" t="s">
        <v>327</v>
      </c>
      <c r="C11" s="132" t="s">
        <v>327</v>
      </c>
      <c r="D11" s="133" t="s">
        <v>383</v>
      </c>
      <c r="E11" s="133" t="s">
        <v>8264</v>
      </c>
      <c r="F11" s="133" t="s">
        <v>383</v>
      </c>
      <c r="G11" s="601" t="s">
        <v>8195</v>
      </c>
      <c r="H11" s="108" t="s">
        <v>402</v>
      </c>
      <c r="I11" s="111" t="s">
        <v>402</v>
      </c>
      <c r="J11" s="111" t="s">
        <v>402</v>
      </c>
      <c r="K11" s="106" t="s">
        <v>403</v>
      </c>
      <c r="L11" s="55" t="s">
        <v>404</v>
      </c>
      <c r="M11" s="55" t="s">
        <v>383</v>
      </c>
    </row>
    <row r="12" spans="1:13">
      <c r="A12" s="405" t="s">
        <v>196</v>
      </c>
      <c r="B12" s="106" t="s">
        <v>327</v>
      </c>
      <c r="C12" s="132" t="s">
        <v>473</v>
      </c>
      <c r="D12" s="133"/>
      <c r="E12" s="133"/>
      <c r="F12" s="133"/>
      <c r="H12" s="55"/>
      <c r="I12" s="111"/>
      <c r="J12" s="111"/>
      <c r="K12" s="108"/>
      <c r="L12" s="55"/>
      <c r="M12" s="55" t="s">
        <v>7634</v>
      </c>
    </row>
    <row r="13" spans="1:13">
      <c r="A13" s="405" t="s">
        <v>7580</v>
      </c>
      <c r="B13" s="106" t="s">
        <v>327</v>
      </c>
      <c r="C13" s="132" t="s">
        <v>473</v>
      </c>
      <c r="D13" s="133"/>
      <c r="E13" s="133"/>
      <c r="F13" s="133"/>
      <c r="H13" s="55"/>
      <c r="I13" s="111"/>
      <c r="J13" s="111"/>
      <c r="K13" s="108"/>
      <c r="L13" s="55"/>
      <c r="M13" s="55" t="s">
        <v>7634</v>
      </c>
    </row>
    <row r="14" spans="1:13">
      <c r="A14" s="401" t="s">
        <v>354</v>
      </c>
      <c r="B14" s="106" t="s">
        <v>327</v>
      </c>
      <c r="C14" s="106" t="s">
        <v>473</v>
      </c>
      <c r="D14" s="107" t="s">
        <v>355</v>
      </c>
      <c r="E14" s="107" t="s">
        <v>355</v>
      </c>
      <c r="F14" s="107" t="s">
        <v>356</v>
      </c>
      <c r="G14" s="108" t="s">
        <v>357</v>
      </c>
      <c r="H14" s="54" t="s">
        <v>358</v>
      </c>
      <c r="I14" s="583" t="s">
        <v>359</v>
      </c>
      <c r="J14" s="582" t="s">
        <v>359</v>
      </c>
      <c r="K14" s="584" t="s">
        <v>360</v>
      </c>
      <c r="L14" s="54" t="s">
        <v>361</v>
      </c>
      <c r="M14" s="55" t="s">
        <v>7634</v>
      </c>
    </row>
    <row r="15" spans="1:13">
      <c r="A15" s="405" t="s">
        <v>8005</v>
      </c>
      <c r="B15" s="106" t="s">
        <v>327</v>
      </c>
      <c r="C15" s="132" t="s">
        <v>473</v>
      </c>
      <c r="D15" s="133" t="s">
        <v>7958</v>
      </c>
      <c r="E15" s="133" t="s">
        <v>7957</v>
      </c>
      <c r="F15" s="133" t="s">
        <v>7959</v>
      </c>
      <c r="G15" s="108" t="s">
        <v>7952</v>
      </c>
      <c r="H15" s="55" t="s">
        <v>402</v>
      </c>
      <c r="I15" s="111" t="s">
        <v>359</v>
      </c>
      <c r="J15" s="111" t="s">
        <v>359</v>
      </c>
      <c r="K15" s="106" t="s">
        <v>403</v>
      </c>
      <c r="L15" s="55" t="s">
        <v>404</v>
      </c>
      <c r="M15" s="55" t="s">
        <v>383</v>
      </c>
    </row>
    <row r="16" spans="1:13">
      <c r="A16" s="401" t="s">
        <v>362</v>
      </c>
      <c r="B16" s="106" t="s">
        <v>318</v>
      </c>
      <c r="C16" s="106" t="s">
        <v>7965</v>
      </c>
      <c r="D16" s="109" t="s">
        <v>363</v>
      </c>
      <c r="E16" s="109" t="s">
        <v>364</v>
      </c>
      <c r="F16" s="110" t="s">
        <v>365</v>
      </c>
      <c r="G16" s="55" t="s">
        <v>366</v>
      </c>
      <c r="H16" s="55" t="s">
        <v>367</v>
      </c>
      <c r="I16" s="111" t="s">
        <v>368</v>
      </c>
      <c r="J16" s="111" t="s">
        <v>368</v>
      </c>
      <c r="K16" s="106" t="s">
        <v>369</v>
      </c>
      <c r="L16" s="55" t="s">
        <v>370</v>
      </c>
      <c r="M16" s="55" t="s">
        <v>371</v>
      </c>
    </row>
    <row r="17" spans="1:13">
      <c r="A17" s="405" t="s">
        <v>8304</v>
      </c>
      <c r="B17" s="106" t="s">
        <v>327</v>
      </c>
      <c r="C17" s="132" t="s">
        <v>473</v>
      </c>
      <c r="D17" s="133"/>
      <c r="E17" s="133"/>
      <c r="F17" s="133"/>
      <c r="H17" s="55"/>
      <c r="I17" s="111"/>
      <c r="J17" s="111"/>
      <c r="K17" s="108"/>
      <c r="L17" s="55"/>
      <c r="M17" s="55" t="s">
        <v>7634</v>
      </c>
    </row>
    <row r="18" spans="1:13">
      <c r="A18" s="405" t="s">
        <v>8301</v>
      </c>
      <c r="B18" s="106" t="s">
        <v>327</v>
      </c>
      <c r="C18" s="132" t="s">
        <v>473</v>
      </c>
      <c r="D18" s="133"/>
      <c r="E18" s="133"/>
      <c r="F18" s="133"/>
      <c r="H18" s="55"/>
      <c r="I18" s="111"/>
      <c r="J18" s="111"/>
      <c r="K18" s="108"/>
      <c r="L18" s="55"/>
      <c r="M18" s="55" t="s">
        <v>7634</v>
      </c>
    </row>
    <row r="19" spans="1:13">
      <c r="A19" s="408" t="s">
        <v>372</v>
      </c>
      <c r="B19" s="586" t="s">
        <v>373</v>
      </c>
      <c r="C19" s="586" t="s">
        <v>473</v>
      </c>
      <c r="D19" s="586" t="s">
        <v>374</v>
      </c>
      <c r="E19" s="586" t="s">
        <v>375</v>
      </c>
      <c r="F19" s="586" t="s">
        <v>376</v>
      </c>
      <c r="G19" s="586" t="s">
        <v>377</v>
      </c>
      <c r="H19" s="586" t="s">
        <v>359</v>
      </c>
      <c r="I19" s="587" t="s">
        <v>359</v>
      </c>
      <c r="J19" s="586"/>
      <c r="K19" s="586"/>
      <c r="L19" s="586" t="s">
        <v>361</v>
      </c>
      <c r="M19" s="55" t="s">
        <v>7634</v>
      </c>
    </row>
    <row r="20" spans="1:13">
      <c r="A20" s="401" t="s">
        <v>8013</v>
      </c>
      <c r="B20" s="106" t="s">
        <v>327</v>
      </c>
      <c r="C20" s="106" t="s">
        <v>473</v>
      </c>
      <c r="D20" s="133" t="s">
        <v>8014</v>
      </c>
      <c r="E20" s="133" t="s">
        <v>8015</v>
      </c>
      <c r="F20" s="133" t="s">
        <v>8014</v>
      </c>
      <c r="G20" s="601" t="s">
        <v>8016</v>
      </c>
      <c r="H20" s="108" t="s">
        <v>402</v>
      </c>
      <c r="I20" s="111" t="s">
        <v>402</v>
      </c>
      <c r="J20" s="111" t="s">
        <v>402</v>
      </c>
      <c r="K20" s="106" t="s">
        <v>403</v>
      </c>
      <c r="L20" s="55" t="s">
        <v>404</v>
      </c>
      <c r="M20" s="55" t="s">
        <v>383</v>
      </c>
    </row>
    <row r="21" spans="1:13">
      <c r="A21" s="401" t="s">
        <v>378</v>
      </c>
      <c r="B21" s="106" t="s">
        <v>319</v>
      </c>
      <c r="C21" s="106" t="s">
        <v>7965</v>
      </c>
      <c r="D21" s="109" t="s">
        <v>379</v>
      </c>
      <c r="E21" s="109" t="s">
        <v>380</v>
      </c>
      <c r="F21" s="110" t="s">
        <v>381</v>
      </c>
      <c r="G21" s="112" t="s">
        <v>382</v>
      </c>
      <c r="H21" s="55" t="s">
        <v>367</v>
      </c>
      <c r="I21" s="111" t="s">
        <v>368</v>
      </c>
      <c r="J21" s="111" t="s">
        <v>368</v>
      </c>
      <c r="K21" s="108" t="s">
        <v>369</v>
      </c>
      <c r="L21" s="55" t="s">
        <v>369</v>
      </c>
      <c r="M21" s="55" t="s">
        <v>383</v>
      </c>
    </row>
    <row r="22" spans="1:13">
      <c r="A22" s="404" t="s">
        <v>384</v>
      </c>
      <c r="B22" s="109" t="s">
        <v>385</v>
      </c>
      <c r="C22" s="109" t="s">
        <v>7966</v>
      </c>
      <c r="D22" s="109" t="s">
        <v>386</v>
      </c>
      <c r="E22" s="109" t="s">
        <v>387</v>
      </c>
      <c r="F22" s="110" t="s">
        <v>388</v>
      </c>
      <c r="G22" s="55" t="s">
        <v>389</v>
      </c>
      <c r="H22" s="55" t="s">
        <v>390</v>
      </c>
      <c r="I22" s="111" t="s">
        <v>391</v>
      </c>
      <c r="J22" s="111">
        <v>44989</v>
      </c>
      <c r="K22" s="106" t="s">
        <v>369</v>
      </c>
      <c r="L22" s="55" t="s">
        <v>369</v>
      </c>
      <c r="M22" s="55" t="s">
        <v>7634</v>
      </c>
    </row>
    <row r="23" spans="1:13">
      <c r="A23" s="578" t="s">
        <v>8123</v>
      </c>
      <c r="B23" s="586" t="s">
        <v>323</v>
      </c>
      <c r="C23" s="586" t="s">
        <v>7966</v>
      </c>
      <c r="D23" s="586" t="s">
        <v>8124</v>
      </c>
      <c r="E23" s="109" t="s">
        <v>8075</v>
      </c>
      <c r="F23" s="110" t="s">
        <v>8076</v>
      </c>
      <c r="G23" s="588" t="s">
        <v>8077</v>
      </c>
      <c r="H23" s="55" t="s">
        <v>367</v>
      </c>
      <c r="I23" s="111" t="s">
        <v>368</v>
      </c>
      <c r="J23" s="111" t="s">
        <v>368</v>
      </c>
      <c r="K23" s="108" t="s">
        <v>369</v>
      </c>
      <c r="L23" s="55" t="s">
        <v>369</v>
      </c>
      <c r="M23" s="55" t="s">
        <v>7634</v>
      </c>
    </row>
    <row r="24" spans="1:13">
      <c r="A24" s="401" t="s">
        <v>394</v>
      </c>
      <c r="B24" s="106" t="s">
        <v>337</v>
      </c>
      <c r="C24" s="106" t="s">
        <v>7966</v>
      </c>
      <c r="D24" s="109" t="s">
        <v>395</v>
      </c>
      <c r="E24" s="109" t="s">
        <v>8075</v>
      </c>
      <c r="F24" s="110" t="s">
        <v>8076</v>
      </c>
      <c r="G24" s="588" t="s">
        <v>8077</v>
      </c>
      <c r="H24" s="55" t="s">
        <v>396</v>
      </c>
      <c r="I24" s="111" t="s">
        <v>368</v>
      </c>
      <c r="J24" s="111" t="s">
        <v>368</v>
      </c>
      <c r="K24" s="108" t="s">
        <v>369</v>
      </c>
      <c r="L24" s="55" t="s">
        <v>369</v>
      </c>
      <c r="M24" s="113" t="s">
        <v>383</v>
      </c>
    </row>
    <row r="25" spans="1:13">
      <c r="A25" s="403" t="s">
        <v>397</v>
      </c>
      <c r="B25" s="106" t="s">
        <v>327</v>
      </c>
      <c r="C25" s="106" t="s">
        <v>473</v>
      </c>
      <c r="D25" s="109" t="s">
        <v>398</v>
      </c>
      <c r="E25" s="109" t="s">
        <v>399</v>
      </c>
      <c r="F25" s="109" t="s">
        <v>400</v>
      </c>
      <c r="G25" s="112" t="s">
        <v>401</v>
      </c>
      <c r="H25" s="55" t="s">
        <v>402</v>
      </c>
      <c r="I25" s="111" t="s">
        <v>359</v>
      </c>
      <c r="J25" s="111" t="s">
        <v>359</v>
      </c>
      <c r="K25" s="106" t="s">
        <v>403</v>
      </c>
      <c r="L25" s="55" t="s">
        <v>404</v>
      </c>
      <c r="M25" s="55" t="s">
        <v>405</v>
      </c>
    </row>
    <row r="26" spans="1:13">
      <c r="A26" s="403" t="s">
        <v>406</v>
      </c>
      <c r="B26" s="106" t="s">
        <v>407</v>
      </c>
      <c r="C26" s="106" t="s">
        <v>7966</v>
      </c>
      <c r="D26" s="109" t="s">
        <v>408</v>
      </c>
      <c r="E26" s="109" t="s">
        <v>409</v>
      </c>
      <c r="F26" s="109" t="s">
        <v>383</v>
      </c>
      <c r="G26" s="112" t="s">
        <v>410</v>
      </c>
      <c r="H26" s="55" t="s">
        <v>396</v>
      </c>
      <c r="I26" s="111" t="s">
        <v>368</v>
      </c>
      <c r="J26" s="111" t="s">
        <v>368</v>
      </c>
      <c r="K26" s="108" t="s">
        <v>369</v>
      </c>
      <c r="L26" s="55" t="s">
        <v>369</v>
      </c>
      <c r="M26" s="55" t="s">
        <v>383</v>
      </c>
    </row>
    <row r="27" spans="1:13">
      <c r="A27" s="578" t="s">
        <v>411</v>
      </c>
      <c r="B27" s="586" t="s">
        <v>412</v>
      </c>
      <c r="C27" s="586" t="s">
        <v>7966</v>
      </c>
      <c r="D27" s="586" t="s">
        <v>413</v>
      </c>
      <c r="E27" s="586" t="s">
        <v>414</v>
      </c>
      <c r="F27" s="586" t="s">
        <v>415</v>
      </c>
      <c r="G27" s="586" t="s">
        <v>416</v>
      </c>
      <c r="H27" s="586" t="s">
        <v>417</v>
      </c>
      <c r="I27" s="587" t="s">
        <v>417</v>
      </c>
      <c r="J27" s="586"/>
      <c r="K27" s="586" t="s">
        <v>418</v>
      </c>
      <c r="L27" s="586" t="s">
        <v>418</v>
      </c>
      <c r="M27" s="586" t="s">
        <v>419</v>
      </c>
    </row>
    <row r="28" spans="1:13">
      <c r="A28" s="578" t="s">
        <v>420</v>
      </c>
      <c r="B28" s="586" t="s">
        <v>421</v>
      </c>
      <c r="C28" s="586" t="s">
        <v>7965</v>
      </c>
      <c r="D28" s="586" t="s">
        <v>422</v>
      </c>
      <c r="E28" s="586" t="s">
        <v>423</v>
      </c>
      <c r="F28" s="586" t="s">
        <v>424</v>
      </c>
      <c r="G28" s="586" t="s">
        <v>425</v>
      </c>
      <c r="H28" s="586" t="s">
        <v>417</v>
      </c>
      <c r="I28" s="587" t="s">
        <v>417</v>
      </c>
      <c r="J28" s="586"/>
      <c r="K28" s="586" t="s">
        <v>418</v>
      </c>
      <c r="L28" s="586" t="s">
        <v>418</v>
      </c>
      <c r="M28" s="55" t="s">
        <v>7634</v>
      </c>
    </row>
    <row r="29" spans="1:13">
      <c r="A29" s="401" t="s">
        <v>426</v>
      </c>
      <c r="B29" s="106" t="s">
        <v>318</v>
      </c>
      <c r="C29" s="106" t="s">
        <v>7965</v>
      </c>
      <c r="D29" s="109" t="s">
        <v>383</v>
      </c>
      <c r="E29" s="109" t="s">
        <v>427</v>
      </c>
      <c r="F29" s="110" t="s">
        <v>428</v>
      </c>
      <c r="G29" s="112" t="s">
        <v>429</v>
      </c>
      <c r="H29" s="55" t="s">
        <v>367</v>
      </c>
      <c r="I29" s="111" t="s">
        <v>368</v>
      </c>
      <c r="J29" s="111" t="s">
        <v>368</v>
      </c>
      <c r="K29" s="108" t="s">
        <v>369</v>
      </c>
      <c r="L29" s="55" t="s">
        <v>369</v>
      </c>
      <c r="M29" s="55" t="s">
        <v>383</v>
      </c>
    </row>
    <row r="30" spans="1:13">
      <c r="A30" s="401" t="s">
        <v>430</v>
      </c>
      <c r="B30" s="106" t="s">
        <v>324</v>
      </c>
      <c r="C30" s="106" t="s">
        <v>7965</v>
      </c>
      <c r="D30" s="109" t="s">
        <v>431</v>
      </c>
      <c r="E30" s="109" t="s">
        <v>432</v>
      </c>
      <c r="F30" s="110" t="s">
        <v>433</v>
      </c>
      <c r="G30" s="112" t="s">
        <v>434</v>
      </c>
      <c r="H30" s="55" t="s">
        <v>367</v>
      </c>
      <c r="I30" s="111" t="s">
        <v>368</v>
      </c>
      <c r="J30" s="111" t="s">
        <v>368</v>
      </c>
      <c r="K30" s="108" t="s">
        <v>369</v>
      </c>
      <c r="L30" s="55" t="s">
        <v>369</v>
      </c>
      <c r="M30" s="55" t="s">
        <v>383</v>
      </c>
    </row>
    <row r="31" spans="1:13">
      <c r="A31" s="578" t="s">
        <v>435</v>
      </c>
      <c r="B31" s="586" t="s">
        <v>421</v>
      </c>
      <c r="C31" s="586" t="s">
        <v>7965</v>
      </c>
      <c r="D31" s="586" t="s">
        <v>436</v>
      </c>
      <c r="E31" s="586" t="s">
        <v>437</v>
      </c>
      <c r="F31" s="586" t="s">
        <v>438</v>
      </c>
      <c r="G31" s="586" t="s">
        <v>377</v>
      </c>
      <c r="H31" s="586" t="s">
        <v>359</v>
      </c>
      <c r="I31" s="587" t="s">
        <v>359</v>
      </c>
      <c r="J31" s="586"/>
      <c r="K31" s="586" t="s">
        <v>360</v>
      </c>
      <c r="L31" s="586" t="s">
        <v>393</v>
      </c>
      <c r="M31" s="55" t="s">
        <v>7634</v>
      </c>
    </row>
    <row r="32" spans="1:13">
      <c r="A32" s="405" t="s">
        <v>7581</v>
      </c>
      <c r="B32" s="106" t="s">
        <v>327</v>
      </c>
      <c r="C32" s="132" t="s">
        <v>473</v>
      </c>
      <c r="D32" s="133"/>
      <c r="E32" s="133"/>
      <c r="F32" s="133"/>
      <c r="H32" s="55"/>
      <c r="I32" s="111"/>
      <c r="J32" s="111"/>
      <c r="K32" s="108"/>
      <c r="L32" s="55"/>
      <c r="M32" s="55" t="s">
        <v>7634</v>
      </c>
    </row>
    <row r="33" spans="1:13">
      <c r="A33" s="401" t="s">
        <v>439</v>
      </c>
      <c r="B33" s="106" t="s">
        <v>327</v>
      </c>
      <c r="C33" s="106" t="s">
        <v>473</v>
      </c>
      <c r="D33" s="107" t="s">
        <v>355</v>
      </c>
      <c r="E33" s="107" t="s">
        <v>355</v>
      </c>
      <c r="F33" s="107" t="s">
        <v>355</v>
      </c>
      <c r="G33" s="114" t="s">
        <v>355</v>
      </c>
      <c r="H33" s="115" t="s">
        <v>402</v>
      </c>
      <c r="I33" s="111" t="s">
        <v>402</v>
      </c>
      <c r="J33" s="111" t="s">
        <v>402</v>
      </c>
      <c r="K33" s="106" t="s">
        <v>403</v>
      </c>
      <c r="L33" s="55" t="s">
        <v>404</v>
      </c>
      <c r="M33" s="113" t="s">
        <v>383</v>
      </c>
    </row>
    <row r="34" spans="1:13">
      <c r="A34" s="578" t="s">
        <v>440</v>
      </c>
      <c r="B34" s="107" t="s">
        <v>441</v>
      </c>
      <c r="C34" s="586" t="s">
        <v>7965</v>
      </c>
      <c r="D34" s="586" t="s">
        <v>442</v>
      </c>
      <c r="E34" s="586" t="s">
        <v>443</v>
      </c>
      <c r="F34" s="586" t="s">
        <v>444</v>
      </c>
      <c r="G34" s="586" t="s">
        <v>445</v>
      </c>
      <c r="H34" s="586" t="s">
        <v>446</v>
      </c>
      <c r="I34" s="587" t="s">
        <v>447</v>
      </c>
      <c r="J34" s="586"/>
      <c r="K34" s="586" t="s">
        <v>448</v>
      </c>
      <c r="L34" s="586" t="s">
        <v>449</v>
      </c>
      <c r="M34" s="586" t="s">
        <v>450</v>
      </c>
    </row>
    <row r="35" spans="1:13">
      <c r="A35" s="401" t="s">
        <v>451</v>
      </c>
      <c r="B35" s="107" t="s">
        <v>441</v>
      </c>
      <c r="C35" s="107" t="s">
        <v>7965</v>
      </c>
      <c r="D35" s="109" t="s">
        <v>452</v>
      </c>
      <c r="E35" s="109" t="s">
        <v>453</v>
      </c>
      <c r="F35" s="110" t="s">
        <v>454</v>
      </c>
      <c r="G35" s="55" t="s">
        <v>455</v>
      </c>
      <c r="H35" s="55" t="s">
        <v>390</v>
      </c>
      <c r="I35" s="111" t="s">
        <v>456</v>
      </c>
      <c r="J35" s="116" t="s">
        <v>457</v>
      </c>
      <c r="K35" s="106" t="s">
        <v>458</v>
      </c>
      <c r="L35" s="55" t="s">
        <v>459</v>
      </c>
      <c r="M35" s="55" t="s">
        <v>460</v>
      </c>
    </row>
    <row r="36" spans="1:13">
      <c r="A36" s="406" t="s">
        <v>461</v>
      </c>
      <c r="B36" s="109" t="s">
        <v>385</v>
      </c>
      <c r="C36" s="109" t="s">
        <v>7966</v>
      </c>
      <c r="D36" s="109" t="s">
        <v>462</v>
      </c>
      <c r="E36" s="109" t="s">
        <v>463</v>
      </c>
      <c r="F36" s="110" t="s">
        <v>464</v>
      </c>
      <c r="G36" s="112" t="s">
        <v>465</v>
      </c>
      <c r="H36" s="55" t="s">
        <v>390</v>
      </c>
      <c r="I36" s="111" t="s">
        <v>466</v>
      </c>
      <c r="J36" s="111">
        <v>45572</v>
      </c>
      <c r="K36" s="106" t="s">
        <v>459</v>
      </c>
      <c r="L36" s="106" t="s">
        <v>467</v>
      </c>
      <c r="M36" s="55" t="s">
        <v>467</v>
      </c>
    </row>
    <row r="37" spans="1:13">
      <c r="A37" s="401" t="s">
        <v>468</v>
      </c>
      <c r="B37" s="106" t="s">
        <v>385</v>
      </c>
      <c r="C37" s="106" t="s">
        <v>7966</v>
      </c>
      <c r="D37" s="109" t="s">
        <v>469</v>
      </c>
      <c r="E37" s="109" t="s">
        <v>470</v>
      </c>
      <c r="F37" s="110" t="s">
        <v>471</v>
      </c>
      <c r="G37" s="112" t="s">
        <v>472</v>
      </c>
      <c r="H37" s="55" t="s">
        <v>396</v>
      </c>
      <c r="I37" s="111" t="s">
        <v>368</v>
      </c>
      <c r="J37" s="111" t="s">
        <v>368</v>
      </c>
      <c r="K37" s="108" t="s">
        <v>369</v>
      </c>
      <c r="L37" s="55" t="s">
        <v>369</v>
      </c>
      <c r="M37" s="55" t="s">
        <v>383</v>
      </c>
    </row>
    <row r="38" spans="1:13">
      <c r="A38" s="408" t="s">
        <v>480</v>
      </c>
      <c r="B38" s="586" t="s">
        <v>325</v>
      </c>
      <c r="C38" s="586" t="s">
        <v>7966</v>
      </c>
      <c r="D38" s="586" t="s">
        <v>481</v>
      </c>
      <c r="E38" s="586" t="s">
        <v>482</v>
      </c>
      <c r="F38" s="586"/>
      <c r="G38" s="586" t="s">
        <v>483</v>
      </c>
      <c r="H38" s="586" t="s">
        <v>417</v>
      </c>
      <c r="I38" s="587" t="s">
        <v>417</v>
      </c>
      <c r="J38" s="586"/>
      <c r="K38" s="586" t="s">
        <v>418</v>
      </c>
      <c r="L38" s="586" t="s">
        <v>418</v>
      </c>
      <c r="M38" s="55" t="s">
        <v>7634</v>
      </c>
    </row>
    <row r="39" spans="1:13">
      <c r="A39" s="578" t="s">
        <v>484</v>
      </c>
      <c r="B39" s="586" t="s">
        <v>485</v>
      </c>
      <c r="C39" s="586" t="s">
        <v>7965</v>
      </c>
      <c r="D39" s="586" t="s">
        <v>486</v>
      </c>
      <c r="E39" s="586" t="s">
        <v>487</v>
      </c>
      <c r="F39" s="586" t="s">
        <v>488</v>
      </c>
      <c r="G39" s="586" t="s">
        <v>489</v>
      </c>
      <c r="H39" s="586" t="s">
        <v>417</v>
      </c>
      <c r="I39" s="587" t="s">
        <v>417</v>
      </c>
      <c r="J39" s="586"/>
      <c r="K39" s="586" t="s">
        <v>418</v>
      </c>
      <c r="L39" s="586" t="s">
        <v>418</v>
      </c>
      <c r="M39" s="55" t="s">
        <v>7634</v>
      </c>
    </row>
    <row r="40" spans="1:13">
      <c r="A40" s="401" t="s">
        <v>490</v>
      </c>
      <c r="B40" s="106" t="s">
        <v>327</v>
      </c>
      <c r="C40" s="106" t="s">
        <v>473</v>
      </c>
      <c r="D40" s="107" t="s">
        <v>491</v>
      </c>
      <c r="E40" s="107" t="s">
        <v>492</v>
      </c>
      <c r="F40" s="107" t="s">
        <v>355</v>
      </c>
      <c r="G40" s="589" t="s">
        <v>493</v>
      </c>
      <c r="H40" s="54" t="s">
        <v>359</v>
      </c>
      <c r="I40" s="583" t="s">
        <v>359</v>
      </c>
      <c r="J40" s="582" t="s">
        <v>359</v>
      </c>
      <c r="K40" s="584" t="s">
        <v>360</v>
      </c>
      <c r="L40" s="54" t="s">
        <v>361</v>
      </c>
      <c r="M40" s="55" t="s">
        <v>7634</v>
      </c>
    </row>
    <row r="41" spans="1:13">
      <c r="A41" s="401" t="s">
        <v>494</v>
      </c>
      <c r="B41" s="106" t="s">
        <v>319</v>
      </c>
      <c r="C41" s="106" t="s">
        <v>7965</v>
      </c>
      <c r="D41" s="109" t="s">
        <v>383</v>
      </c>
      <c r="E41" s="109" t="s">
        <v>495</v>
      </c>
      <c r="F41" s="110" t="s">
        <v>496</v>
      </c>
      <c r="G41" s="112" t="s">
        <v>497</v>
      </c>
      <c r="H41" s="55" t="s">
        <v>367</v>
      </c>
      <c r="I41" s="111" t="s">
        <v>368</v>
      </c>
      <c r="J41" s="111" t="s">
        <v>368</v>
      </c>
      <c r="K41" s="108" t="s">
        <v>369</v>
      </c>
      <c r="L41" s="55" t="s">
        <v>369</v>
      </c>
      <c r="M41" s="55" t="s">
        <v>7634</v>
      </c>
    </row>
    <row r="42" spans="1:13">
      <c r="A42" s="401" t="s">
        <v>498</v>
      </c>
      <c r="B42" s="106" t="s">
        <v>499</v>
      </c>
      <c r="C42" s="106" t="s">
        <v>7966</v>
      </c>
      <c r="D42" s="109" t="s">
        <v>500</v>
      </c>
      <c r="E42" s="109" t="s">
        <v>501</v>
      </c>
      <c r="F42" s="110" t="s">
        <v>502</v>
      </c>
      <c r="G42" s="588" t="s">
        <v>503</v>
      </c>
      <c r="H42" s="55" t="s">
        <v>396</v>
      </c>
      <c r="I42" s="111" t="s">
        <v>368</v>
      </c>
      <c r="J42" s="111" t="s">
        <v>368</v>
      </c>
      <c r="K42" s="106" t="s">
        <v>369</v>
      </c>
      <c r="L42" s="55" t="s">
        <v>369</v>
      </c>
      <c r="M42" s="55" t="s">
        <v>504</v>
      </c>
    </row>
    <row r="43" spans="1:13">
      <c r="A43" s="404" t="s">
        <v>505</v>
      </c>
      <c r="B43" s="109" t="s">
        <v>385</v>
      </c>
      <c r="C43" s="109" t="s">
        <v>7966</v>
      </c>
      <c r="D43" s="109" t="s">
        <v>506</v>
      </c>
      <c r="E43" s="109" t="s">
        <v>507</v>
      </c>
      <c r="F43" s="110" t="s">
        <v>508</v>
      </c>
      <c r="G43" s="55" t="s">
        <v>509</v>
      </c>
      <c r="H43" s="55" t="s">
        <v>390</v>
      </c>
      <c r="I43" s="111" t="s">
        <v>510</v>
      </c>
      <c r="J43" s="116" t="s">
        <v>511</v>
      </c>
      <c r="K43" s="106" t="s">
        <v>369</v>
      </c>
      <c r="L43" s="55" t="s">
        <v>369</v>
      </c>
      <c r="M43" s="55" t="s">
        <v>7634</v>
      </c>
    </row>
    <row r="44" spans="1:13">
      <c r="A44" s="401" t="s">
        <v>512</v>
      </c>
      <c r="B44" s="109" t="s">
        <v>320</v>
      </c>
      <c r="C44" s="109" t="s">
        <v>7965</v>
      </c>
      <c r="D44" s="109" t="s">
        <v>513</v>
      </c>
      <c r="E44" s="109" t="s">
        <v>514</v>
      </c>
      <c r="F44" s="110" t="s">
        <v>515</v>
      </c>
      <c r="G44" s="55" t="s">
        <v>516</v>
      </c>
      <c r="H44" s="55" t="s">
        <v>367</v>
      </c>
      <c r="I44" s="111" t="s">
        <v>368</v>
      </c>
      <c r="J44" s="111" t="s">
        <v>368</v>
      </c>
      <c r="K44" s="106" t="s">
        <v>369</v>
      </c>
      <c r="L44" s="55" t="s">
        <v>369</v>
      </c>
      <c r="M44" s="55" t="s">
        <v>7634</v>
      </c>
    </row>
    <row r="45" spans="1:13">
      <c r="A45" s="404" t="s">
        <v>517</v>
      </c>
      <c r="B45" s="109" t="s">
        <v>320</v>
      </c>
      <c r="C45" s="109" t="s">
        <v>7965</v>
      </c>
      <c r="D45" s="109" t="s">
        <v>518</v>
      </c>
      <c r="E45" s="109" t="s">
        <v>519</v>
      </c>
      <c r="F45" s="110" t="s">
        <v>520</v>
      </c>
      <c r="G45" s="55" t="s">
        <v>521</v>
      </c>
      <c r="H45" s="55" t="s">
        <v>367</v>
      </c>
      <c r="I45" s="111" t="s">
        <v>368</v>
      </c>
      <c r="J45" s="111" t="s">
        <v>368</v>
      </c>
      <c r="K45" s="106" t="s">
        <v>522</v>
      </c>
      <c r="L45" s="55" t="s">
        <v>523</v>
      </c>
      <c r="M45" s="55" t="s">
        <v>7963</v>
      </c>
    </row>
    <row r="46" spans="1:13">
      <c r="A46" s="578" t="s">
        <v>524</v>
      </c>
      <c r="B46" s="586" t="s">
        <v>525</v>
      </c>
      <c r="C46" s="586" t="s">
        <v>7965</v>
      </c>
      <c r="D46" s="586" t="s">
        <v>526</v>
      </c>
      <c r="E46" s="586" t="s">
        <v>527</v>
      </c>
      <c r="F46" s="586" t="s">
        <v>528</v>
      </c>
      <c r="G46" s="586" t="s">
        <v>529</v>
      </c>
      <c r="H46" s="586" t="s">
        <v>417</v>
      </c>
      <c r="I46" s="587" t="s">
        <v>417</v>
      </c>
      <c r="J46" s="586"/>
      <c r="K46" s="586" t="s">
        <v>418</v>
      </c>
      <c r="L46" s="586" t="s">
        <v>418</v>
      </c>
      <c r="M46" s="55" t="s">
        <v>7634</v>
      </c>
    </row>
    <row r="47" spans="1:13">
      <c r="A47" s="401" t="s">
        <v>530</v>
      </c>
      <c r="B47" s="106" t="s">
        <v>329</v>
      </c>
      <c r="C47" s="106" t="s">
        <v>7965</v>
      </c>
      <c r="D47" s="109" t="s">
        <v>355</v>
      </c>
      <c r="E47" s="109" t="s">
        <v>355</v>
      </c>
      <c r="F47" s="109" t="s">
        <v>355</v>
      </c>
      <c r="G47" s="112" t="s">
        <v>531</v>
      </c>
      <c r="H47" s="55" t="s">
        <v>367</v>
      </c>
      <c r="I47" s="111" t="s">
        <v>368</v>
      </c>
      <c r="J47" s="111" t="s">
        <v>368</v>
      </c>
      <c r="K47" s="108"/>
      <c r="L47" s="55"/>
      <c r="M47" s="55" t="s">
        <v>7634</v>
      </c>
    </row>
    <row r="48" spans="1:13">
      <c r="A48" s="401" t="s">
        <v>8273</v>
      </c>
      <c r="B48" s="106" t="s">
        <v>320</v>
      </c>
      <c r="C48" s="132" t="s">
        <v>8274</v>
      </c>
      <c r="D48" s="133" t="s">
        <v>8275</v>
      </c>
      <c r="E48" s="133" t="s">
        <v>8276</v>
      </c>
      <c r="F48" s="441" t="s">
        <v>8277</v>
      </c>
      <c r="G48" s="601" t="s">
        <v>8278</v>
      </c>
      <c r="H48" s="108" t="s">
        <v>402</v>
      </c>
      <c r="I48" s="111" t="s">
        <v>402</v>
      </c>
      <c r="J48" s="111" t="s">
        <v>402</v>
      </c>
      <c r="K48" s="106" t="s">
        <v>403</v>
      </c>
      <c r="L48" s="55" t="s">
        <v>404</v>
      </c>
      <c r="M48" s="55" t="s">
        <v>383</v>
      </c>
    </row>
    <row r="49" spans="1:13">
      <c r="A49" s="404" t="s">
        <v>532</v>
      </c>
      <c r="B49" s="106" t="s">
        <v>385</v>
      </c>
      <c r="C49" s="106" t="s">
        <v>7966</v>
      </c>
      <c r="D49" s="109" t="s">
        <v>533</v>
      </c>
      <c r="E49" s="109" t="s">
        <v>534</v>
      </c>
      <c r="F49" s="110" t="s">
        <v>535</v>
      </c>
      <c r="G49" s="112" t="s">
        <v>536</v>
      </c>
      <c r="H49" s="55" t="s">
        <v>390</v>
      </c>
      <c r="I49" s="111" t="s">
        <v>537</v>
      </c>
      <c r="J49" s="111">
        <v>45304</v>
      </c>
      <c r="K49" s="108" t="s">
        <v>369</v>
      </c>
      <c r="L49" s="55" t="s">
        <v>369</v>
      </c>
      <c r="M49" s="55" t="s">
        <v>538</v>
      </c>
    </row>
    <row r="50" spans="1:13">
      <c r="A50" s="578" t="s">
        <v>539</v>
      </c>
      <c r="B50" s="107" t="s">
        <v>441</v>
      </c>
      <c r="C50" s="586" t="s">
        <v>7965</v>
      </c>
      <c r="D50" s="586" t="s">
        <v>540</v>
      </c>
      <c r="E50" s="586" t="s">
        <v>541</v>
      </c>
      <c r="F50" s="586" t="s">
        <v>542</v>
      </c>
      <c r="G50" s="586" t="s">
        <v>543</v>
      </c>
      <c r="H50" s="586" t="s">
        <v>367</v>
      </c>
      <c r="I50" s="587" t="s">
        <v>368</v>
      </c>
      <c r="J50" s="586"/>
      <c r="K50" s="586" t="s">
        <v>368</v>
      </c>
      <c r="L50" s="586" t="s">
        <v>393</v>
      </c>
      <c r="M50" s="55" t="s">
        <v>7634</v>
      </c>
    </row>
    <row r="51" spans="1:13">
      <c r="A51" s="578" t="s">
        <v>544</v>
      </c>
      <c r="B51" s="586" t="s">
        <v>545</v>
      </c>
      <c r="C51" s="586" t="s">
        <v>7965</v>
      </c>
      <c r="D51" s="586" t="s">
        <v>546</v>
      </c>
      <c r="E51" s="586" t="s">
        <v>547</v>
      </c>
      <c r="F51" s="586"/>
      <c r="G51" s="586"/>
      <c r="H51" s="586" t="s">
        <v>417</v>
      </c>
      <c r="I51" s="587" t="s">
        <v>417</v>
      </c>
      <c r="J51" s="586"/>
      <c r="K51" s="586" t="s">
        <v>418</v>
      </c>
      <c r="L51" s="586" t="s">
        <v>418</v>
      </c>
      <c r="M51" s="586" t="s">
        <v>548</v>
      </c>
    </row>
    <row r="52" spans="1:13">
      <c r="A52" s="401" t="s">
        <v>549</v>
      </c>
      <c r="B52" s="106" t="s">
        <v>327</v>
      </c>
      <c r="C52" s="106" t="s">
        <v>473</v>
      </c>
      <c r="D52" s="110" t="s">
        <v>383</v>
      </c>
      <c r="E52" s="109" t="s">
        <v>550</v>
      </c>
      <c r="F52" s="110" t="s">
        <v>383</v>
      </c>
      <c r="G52" s="117" t="s">
        <v>383</v>
      </c>
      <c r="H52" s="55" t="s">
        <v>402</v>
      </c>
      <c r="I52" s="111" t="s">
        <v>359</v>
      </c>
      <c r="J52" s="111" t="s">
        <v>359</v>
      </c>
      <c r="K52" s="106" t="s">
        <v>403</v>
      </c>
      <c r="L52" s="55" t="s">
        <v>404</v>
      </c>
      <c r="M52" s="55" t="s">
        <v>7634</v>
      </c>
    </row>
    <row r="53" spans="1:13">
      <c r="A53" s="406" t="s">
        <v>551</v>
      </c>
      <c r="B53" s="109" t="s">
        <v>334</v>
      </c>
      <c r="C53" s="109" t="s">
        <v>7965</v>
      </c>
      <c r="D53" s="109" t="s">
        <v>552</v>
      </c>
      <c r="E53" s="109" t="s">
        <v>553</v>
      </c>
      <c r="F53" s="110" t="s">
        <v>554</v>
      </c>
      <c r="G53" s="112" t="s">
        <v>555</v>
      </c>
      <c r="H53" s="55" t="s">
        <v>390</v>
      </c>
      <c r="I53" s="116" t="s">
        <v>556</v>
      </c>
      <c r="J53" s="111">
        <v>44819</v>
      </c>
      <c r="K53" s="106" t="s">
        <v>557</v>
      </c>
      <c r="L53" s="55" t="s">
        <v>558</v>
      </c>
      <c r="M53" s="55" t="s">
        <v>559</v>
      </c>
    </row>
    <row r="54" spans="1:13">
      <c r="A54" s="404" t="s">
        <v>560</v>
      </c>
      <c r="B54" s="109" t="s">
        <v>561</v>
      </c>
      <c r="C54" s="109" t="s">
        <v>7966</v>
      </c>
      <c r="D54" s="109" t="s">
        <v>562</v>
      </c>
      <c r="E54" s="109" t="s">
        <v>563</v>
      </c>
      <c r="F54" s="110" t="s">
        <v>564</v>
      </c>
      <c r="G54" s="55"/>
      <c r="H54" s="55" t="s">
        <v>390</v>
      </c>
      <c r="I54" s="116" t="s">
        <v>565</v>
      </c>
      <c r="J54" s="116">
        <v>44805</v>
      </c>
      <c r="K54" s="106" t="s">
        <v>566</v>
      </c>
      <c r="L54" s="55" t="s">
        <v>459</v>
      </c>
      <c r="M54" s="55" t="s">
        <v>8087</v>
      </c>
    </row>
    <row r="55" spans="1:13">
      <c r="A55" s="578" t="s">
        <v>567</v>
      </c>
      <c r="B55" s="586" t="s">
        <v>331</v>
      </c>
      <c r="C55" s="586" t="s">
        <v>7966</v>
      </c>
      <c r="D55" s="586" t="s">
        <v>568</v>
      </c>
      <c r="E55" s="586" t="s">
        <v>569</v>
      </c>
      <c r="F55" s="586" t="s">
        <v>570</v>
      </c>
      <c r="G55" s="586" t="s">
        <v>571</v>
      </c>
      <c r="H55" s="586" t="s">
        <v>417</v>
      </c>
      <c r="I55" s="587" t="s">
        <v>417</v>
      </c>
      <c r="J55" s="586"/>
      <c r="K55" s="586" t="s">
        <v>567</v>
      </c>
      <c r="L55" s="586" t="s">
        <v>449</v>
      </c>
      <c r="M55" s="55" t="s">
        <v>7634</v>
      </c>
    </row>
    <row r="56" spans="1:13">
      <c r="A56" s="401" t="s">
        <v>8266</v>
      </c>
      <c r="B56" s="106" t="s">
        <v>327</v>
      </c>
      <c r="C56" s="132" t="s">
        <v>327</v>
      </c>
      <c r="D56" s="133" t="s">
        <v>8267</v>
      </c>
      <c r="E56" s="133" t="s">
        <v>8268</v>
      </c>
      <c r="F56" s="133" t="s">
        <v>8269</v>
      </c>
      <c r="G56" s="108" t="s">
        <v>8270</v>
      </c>
      <c r="H56" s="108" t="s">
        <v>402</v>
      </c>
      <c r="I56" s="111" t="s">
        <v>402</v>
      </c>
      <c r="J56" s="111" t="s">
        <v>402</v>
      </c>
      <c r="K56" s="106" t="s">
        <v>403</v>
      </c>
      <c r="L56" s="55" t="s">
        <v>404</v>
      </c>
      <c r="M56" s="55" t="s">
        <v>383</v>
      </c>
    </row>
    <row r="57" spans="1:13">
      <c r="A57" s="578" t="s">
        <v>572</v>
      </c>
      <c r="B57" s="586" t="s">
        <v>407</v>
      </c>
      <c r="C57" s="586" t="s">
        <v>7966</v>
      </c>
      <c r="D57" s="109" t="s">
        <v>355</v>
      </c>
      <c r="E57" s="109" t="s">
        <v>355</v>
      </c>
      <c r="F57" s="109" t="s">
        <v>355</v>
      </c>
      <c r="G57" s="586"/>
      <c r="H57" s="586" t="s">
        <v>417</v>
      </c>
      <c r="I57" s="587" t="s">
        <v>417</v>
      </c>
      <c r="J57" s="586"/>
      <c r="K57" s="586" t="s">
        <v>418</v>
      </c>
      <c r="L57" s="586" t="s">
        <v>418</v>
      </c>
      <c r="M57" s="586" t="s">
        <v>573</v>
      </c>
    </row>
    <row r="58" spans="1:13">
      <c r="A58" s="401" t="s">
        <v>574</v>
      </c>
      <c r="B58" s="106" t="s">
        <v>319</v>
      </c>
      <c r="C58" s="106" t="s">
        <v>7965</v>
      </c>
      <c r="D58" s="109" t="s">
        <v>575</v>
      </c>
      <c r="E58" s="109" t="s">
        <v>576</v>
      </c>
      <c r="F58" s="110" t="s">
        <v>383</v>
      </c>
      <c r="G58" s="112" t="s">
        <v>577</v>
      </c>
      <c r="H58" s="55" t="s">
        <v>367</v>
      </c>
      <c r="I58" s="111" t="s">
        <v>368</v>
      </c>
      <c r="J58" s="111" t="s">
        <v>368</v>
      </c>
      <c r="K58" s="108"/>
      <c r="L58" s="55"/>
      <c r="M58" s="55" t="s">
        <v>7634</v>
      </c>
    </row>
    <row r="59" spans="1:13">
      <c r="A59" s="404" t="s">
        <v>578</v>
      </c>
      <c r="B59" s="106" t="s">
        <v>329</v>
      </c>
      <c r="C59" s="106" t="s">
        <v>7965</v>
      </c>
      <c r="D59" s="109" t="s">
        <v>579</v>
      </c>
      <c r="E59" s="109" t="s">
        <v>580</v>
      </c>
      <c r="F59" s="110" t="s">
        <v>581</v>
      </c>
      <c r="G59" s="55" t="s">
        <v>582</v>
      </c>
      <c r="H59" s="55" t="s">
        <v>390</v>
      </c>
      <c r="I59" s="116" t="s">
        <v>583</v>
      </c>
      <c r="J59" s="111">
        <v>45041</v>
      </c>
      <c r="K59" s="106" t="s">
        <v>459</v>
      </c>
      <c r="L59" s="55" t="s">
        <v>584</v>
      </c>
      <c r="M59" s="55" t="s">
        <v>460</v>
      </c>
    </row>
    <row r="60" spans="1:13">
      <c r="A60" s="401" t="s">
        <v>585</v>
      </c>
      <c r="B60" s="106" t="s">
        <v>586</v>
      </c>
      <c r="C60" s="106" t="s">
        <v>7966</v>
      </c>
      <c r="D60" s="109" t="s">
        <v>587</v>
      </c>
      <c r="E60" s="109" t="s">
        <v>588</v>
      </c>
      <c r="F60" s="110" t="s">
        <v>589</v>
      </c>
      <c r="G60" s="55" t="s">
        <v>590</v>
      </c>
      <c r="H60" s="55" t="s">
        <v>396</v>
      </c>
      <c r="I60" s="111" t="s">
        <v>368</v>
      </c>
      <c r="J60" s="111" t="s">
        <v>368</v>
      </c>
      <c r="K60" s="106" t="s">
        <v>591</v>
      </c>
      <c r="L60" s="55" t="s">
        <v>592</v>
      </c>
      <c r="M60" s="55" t="s">
        <v>7634</v>
      </c>
    </row>
    <row r="61" spans="1:13">
      <c r="A61" s="578" t="s">
        <v>593</v>
      </c>
      <c r="B61" s="586" t="s">
        <v>407</v>
      </c>
      <c r="C61" s="586" t="s">
        <v>7966</v>
      </c>
      <c r="D61" s="586" t="s">
        <v>594</v>
      </c>
      <c r="E61" s="586" t="s">
        <v>595</v>
      </c>
      <c r="F61" s="586">
        <v>1</v>
      </c>
      <c r="G61" s="586" t="s">
        <v>596</v>
      </c>
      <c r="H61" s="586" t="s">
        <v>417</v>
      </c>
      <c r="I61" s="587" t="s">
        <v>417</v>
      </c>
      <c r="J61" s="586"/>
      <c r="K61" s="586" t="s">
        <v>418</v>
      </c>
      <c r="L61" s="586" t="s">
        <v>418</v>
      </c>
      <c r="M61" s="55" t="s">
        <v>7634</v>
      </c>
    </row>
    <row r="62" spans="1:13">
      <c r="A62" s="401" t="s">
        <v>597</v>
      </c>
      <c r="B62" s="55" t="s">
        <v>339</v>
      </c>
      <c r="C62" s="55" t="s">
        <v>7966</v>
      </c>
      <c r="D62" s="109" t="s">
        <v>598</v>
      </c>
      <c r="E62" s="109" t="s">
        <v>599</v>
      </c>
      <c r="F62" s="110" t="s">
        <v>600</v>
      </c>
      <c r="G62" s="112" t="s">
        <v>601</v>
      </c>
      <c r="H62" s="55" t="s">
        <v>396</v>
      </c>
      <c r="I62" s="586" t="s">
        <v>602</v>
      </c>
      <c r="J62" s="587" t="s">
        <v>603</v>
      </c>
      <c r="K62" s="106" t="s">
        <v>591</v>
      </c>
      <c r="L62" s="55" t="s">
        <v>604</v>
      </c>
      <c r="M62" s="55" t="s">
        <v>605</v>
      </c>
    </row>
    <row r="63" spans="1:13">
      <c r="A63" s="404" t="s">
        <v>606</v>
      </c>
      <c r="B63" s="109" t="s">
        <v>332</v>
      </c>
      <c r="C63" s="109" t="s">
        <v>7966</v>
      </c>
      <c r="D63" s="109" t="s">
        <v>607</v>
      </c>
      <c r="E63" s="109" t="s">
        <v>608</v>
      </c>
      <c r="F63" s="110" t="s">
        <v>609</v>
      </c>
      <c r="G63" s="55" t="s">
        <v>610</v>
      </c>
      <c r="H63" s="55" t="s">
        <v>390</v>
      </c>
      <c r="I63" s="116" t="s">
        <v>611</v>
      </c>
      <c r="J63" s="111">
        <v>45192</v>
      </c>
      <c r="K63" s="106" t="s">
        <v>591</v>
      </c>
      <c r="L63" s="55" t="s">
        <v>592</v>
      </c>
      <c r="M63" s="55" t="s">
        <v>7634</v>
      </c>
    </row>
    <row r="64" spans="1:13">
      <c r="A64" s="401" t="s">
        <v>612</v>
      </c>
      <c r="B64" s="106" t="s">
        <v>613</v>
      </c>
      <c r="C64" s="106" t="s">
        <v>473</v>
      </c>
      <c r="D64" s="107" t="s">
        <v>614</v>
      </c>
      <c r="E64" s="107" t="s">
        <v>615</v>
      </c>
      <c r="F64" s="107" t="s">
        <v>616</v>
      </c>
      <c r="G64" s="57" t="s">
        <v>617</v>
      </c>
      <c r="H64" s="115" t="s">
        <v>402</v>
      </c>
      <c r="I64" s="111" t="s">
        <v>402</v>
      </c>
      <c r="J64" s="111" t="s">
        <v>402</v>
      </c>
      <c r="K64" s="106" t="s">
        <v>403</v>
      </c>
      <c r="L64" s="55" t="s">
        <v>404</v>
      </c>
      <c r="M64" s="55" t="s">
        <v>355</v>
      </c>
    </row>
    <row r="65" spans="1:13">
      <c r="A65" s="404" t="s">
        <v>618</v>
      </c>
      <c r="B65" s="109" t="s">
        <v>619</v>
      </c>
      <c r="C65" s="109" t="s">
        <v>7966</v>
      </c>
      <c r="D65" s="109" t="s">
        <v>620</v>
      </c>
      <c r="E65" s="109" t="s">
        <v>621</v>
      </c>
      <c r="F65" s="110" t="s">
        <v>622</v>
      </c>
      <c r="G65" s="55" t="s">
        <v>623</v>
      </c>
      <c r="H65" s="55" t="s">
        <v>396</v>
      </c>
      <c r="I65" s="111" t="s">
        <v>368</v>
      </c>
      <c r="J65" s="111" t="s">
        <v>368</v>
      </c>
      <c r="K65" s="106" t="s">
        <v>369</v>
      </c>
      <c r="L65" s="55" t="s">
        <v>369</v>
      </c>
      <c r="M65" s="55" t="s">
        <v>7634</v>
      </c>
    </row>
    <row r="66" spans="1:13">
      <c r="A66" s="401" t="s">
        <v>624</v>
      </c>
      <c r="B66" s="106" t="s">
        <v>320</v>
      </c>
      <c r="C66" s="106" t="s">
        <v>7965</v>
      </c>
      <c r="D66" s="107" t="s">
        <v>625</v>
      </c>
      <c r="E66" s="107" t="s">
        <v>626</v>
      </c>
      <c r="F66" s="118" t="s">
        <v>627</v>
      </c>
      <c r="G66" s="590" t="s">
        <v>628</v>
      </c>
      <c r="H66" s="108" t="s">
        <v>629</v>
      </c>
      <c r="I66" s="119" t="s">
        <v>629</v>
      </c>
      <c r="J66" s="108" t="s">
        <v>629</v>
      </c>
      <c r="K66" s="108" t="s">
        <v>369</v>
      </c>
      <c r="L66" s="108" t="s">
        <v>369</v>
      </c>
      <c r="M66" s="55" t="s">
        <v>355</v>
      </c>
    </row>
    <row r="67" spans="1:13">
      <c r="A67" s="401" t="s">
        <v>6993</v>
      </c>
      <c r="B67" s="106" t="s">
        <v>6988</v>
      </c>
      <c r="C67" s="106" t="s">
        <v>7965</v>
      </c>
      <c r="D67" s="107" t="s">
        <v>6994</v>
      </c>
      <c r="E67" s="107" t="s">
        <v>6995</v>
      </c>
      <c r="F67" s="107" t="s">
        <v>6996</v>
      </c>
      <c r="G67" s="589" t="s">
        <v>6997</v>
      </c>
      <c r="H67" s="55" t="s">
        <v>6992</v>
      </c>
      <c r="I67" s="55" t="s">
        <v>6992</v>
      </c>
      <c r="J67" s="55" t="s">
        <v>6992</v>
      </c>
      <c r="K67" s="108" t="s">
        <v>369</v>
      </c>
      <c r="L67" s="55" t="s">
        <v>369</v>
      </c>
      <c r="M67" s="55" t="s">
        <v>7634</v>
      </c>
    </row>
    <row r="68" spans="1:13" ht="15" customHeight="1">
      <c r="A68" s="401" t="s">
        <v>630</v>
      </c>
      <c r="B68" s="106" t="s">
        <v>326</v>
      </c>
      <c r="C68" s="106" t="s">
        <v>7965</v>
      </c>
      <c r="D68" s="109" t="s">
        <v>631</v>
      </c>
      <c r="E68" s="109" t="s">
        <v>632</v>
      </c>
      <c r="F68" s="110" t="s">
        <v>633</v>
      </c>
      <c r="G68" s="55" t="s">
        <v>634</v>
      </c>
      <c r="H68" s="55" t="s">
        <v>367</v>
      </c>
      <c r="I68" s="111" t="s">
        <v>368</v>
      </c>
      <c r="J68" s="111" t="s">
        <v>368</v>
      </c>
      <c r="K68" s="106" t="s">
        <v>369</v>
      </c>
      <c r="L68" s="55" t="s">
        <v>369</v>
      </c>
      <c r="M68" s="55" t="s">
        <v>7634</v>
      </c>
    </row>
    <row r="69" spans="1:13">
      <c r="A69" s="401" t="s">
        <v>635</v>
      </c>
      <c r="B69" s="106" t="s">
        <v>561</v>
      </c>
      <c r="C69" s="106" t="s">
        <v>7966</v>
      </c>
      <c r="D69" s="109" t="s">
        <v>355</v>
      </c>
      <c r="E69" s="109" t="s">
        <v>355</v>
      </c>
      <c r="F69" s="109" t="s">
        <v>355</v>
      </c>
      <c r="H69" s="55" t="s">
        <v>396</v>
      </c>
      <c r="I69" s="111" t="s">
        <v>368</v>
      </c>
      <c r="J69" s="111" t="s">
        <v>368</v>
      </c>
      <c r="K69" s="108"/>
      <c r="L69" s="55"/>
      <c r="M69" s="55" t="s">
        <v>7634</v>
      </c>
    </row>
    <row r="70" spans="1:13" ht="49.5">
      <c r="A70" s="401" t="s">
        <v>636</v>
      </c>
      <c r="B70" s="106" t="s">
        <v>637</v>
      </c>
      <c r="C70" s="106" t="s">
        <v>7966</v>
      </c>
      <c r="D70" s="120" t="s">
        <v>638</v>
      </c>
      <c r="E70" s="107" t="s">
        <v>639</v>
      </c>
      <c r="F70" s="118" t="s">
        <v>640</v>
      </c>
      <c r="G70" s="57" t="s">
        <v>641</v>
      </c>
      <c r="H70" s="108" t="s">
        <v>629</v>
      </c>
      <c r="I70" s="111" t="s">
        <v>629</v>
      </c>
      <c r="J70" s="111" t="s">
        <v>629</v>
      </c>
      <c r="K70" s="108" t="s">
        <v>369</v>
      </c>
      <c r="L70" s="55" t="s">
        <v>369</v>
      </c>
      <c r="M70" s="55" t="s">
        <v>355</v>
      </c>
    </row>
    <row r="71" spans="1:13">
      <c r="A71" s="404" t="s">
        <v>642</v>
      </c>
      <c r="B71" s="109" t="s">
        <v>328</v>
      </c>
      <c r="C71" s="109" t="s">
        <v>7966</v>
      </c>
      <c r="D71" s="109" t="s">
        <v>643</v>
      </c>
      <c r="E71" s="109" t="s">
        <v>580</v>
      </c>
      <c r="F71" s="110" t="s">
        <v>581</v>
      </c>
      <c r="G71" s="55" t="s">
        <v>582</v>
      </c>
      <c r="H71" s="55" t="s">
        <v>396</v>
      </c>
      <c r="I71" s="111" t="s">
        <v>368</v>
      </c>
      <c r="J71" s="111" t="s">
        <v>368</v>
      </c>
      <c r="K71" s="106" t="s">
        <v>369</v>
      </c>
      <c r="L71" s="55" t="s">
        <v>369</v>
      </c>
      <c r="M71" s="55" t="s">
        <v>7634</v>
      </c>
    </row>
    <row r="72" spans="1:13">
      <c r="A72" s="401" t="s">
        <v>644</v>
      </c>
      <c r="B72" s="106" t="s">
        <v>330</v>
      </c>
      <c r="C72" s="106" t="s">
        <v>7965</v>
      </c>
      <c r="D72" s="109" t="s">
        <v>645</v>
      </c>
      <c r="E72" s="109" t="s">
        <v>646</v>
      </c>
      <c r="F72" s="110" t="s">
        <v>647</v>
      </c>
      <c r="G72" s="55" t="s">
        <v>648</v>
      </c>
      <c r="H72" s="55" t="s">
        <v>367</v>
      </c>
      <c r="I72" s="111" t="s">
        <v>368</v>
      </c>
      <c r="J72" s="111" t="s">
        <v>368</v>
      </c>
      <c r="K72" s="106" t="s">
        <v>369</v>
      </c>
      <c r="L72" s="55" t="s">
        <v>369</v>
      </c>
      <c r="M72" s="55" t="s">
        <v>7634</v>
      </c>
    </row>
    <row r="73" spans="1:13">
      <c r="A73" s="401" t="s">
        <v>649</v>
      </c>
      <c r="B73" s="106" t="s">
        <v>321</v>
      </c>
      <c r="C73" s="106" t="s">
        <v>7965</v>
      </c>
      <c r="D73" s="109" t="s">
        <v>650</v>
      </c>
      <c r="E73" s="109" t="s">
        <v>651</v>
      </c>
      <c r="F73" s="110" t="s">
        <v>652</v>
      </c>
      <c r="G73" s="55" t="s">
        <v>653</v>
      </c>
      <c r="H73" s="55" t="s">
        <v>367</v>
      </c>
      <c r="I73" s="111" t="s">
        <v>368</v>
      </c>
      <c r="J73" s="111" t="s">
        <v>368</v>
      </c>
      <c r="K73" s="106" t="s">
        <v>369</v>
      </c>
      <c r="L73" s="55" t="s">
        <v>369</v>
      </c>
      <c r="M73" s="55" t="s">
        <v>7634</v>
      </c>
    </row>
    <row r="74" spans="1:13">
      <c r="A74" s="401" t="s">
        <v>654</v>
      </c>
      <c r="B74" s="109" t="s">
        <v>327</v>
      </c>
      <c r="C74" s="109" t="s">
        <v>473</v>
      </c>
      <c r="D74" s="109" t="s">
        <v>655</v>
      </c>
      <c r="E74" s="109" t="s">
        <v>8751</v>
      </c>
      <c r="F74" s="110" t="s">
        <v>8752</v>
      </c>
      <c r="G74" s="55" t="s">
        <v>8753</v>
      </c>
      <c r="H74" s="55" t="s">
        <v>377</v>
      </c>
      <c r="I74" s="111" t="s">
        <v>359</v>
      </c>
      <c r="J74" s="111" t="s">
        <v>359</v>
      </c>
      <c r="K74" s="106" t="s">
        <v>657</v>
      </c>
      <c r="L74" s="55" t="s">
        <v>654</v>
      </c>
      <c r="M74" s="55" t="s">
        <v>383</v>
      </c>
    </row>
    <row r="75" spans="1:13">
      <c r="A75" s="401" t="s">
        <v>658</v>
      </c>
      <c r="B75" s="109" t="s">
        <v>659</v>
      </c>
      <c r="C75" s="109" t="s">
        <v>7966</v>
      </c>
      <c r="D75" s="109" t="s">
        <v>660</v>
      </c>
      <c r="E75" s="109" t="s">
        <v>661</v>
      </c>
      <c r="F75" s="110" t="s">
        <v>662</v>
      </c>
      <c r="G75" s="591" t="s">
        <v>663</v>
      </c>
      <c r="H75" s="108" t="s">
        <v>390</v>
      </c>
      <c r="I75" s="116" t="s">
        <v>664</v>
      </c>
      <c r="J75" s="111">
        <v>44835</v>
      </c>
      <c r="K75" s="586" t="s">
        <v>418</v>
      </c>
      <c r="L75" s="586" t="s">
        <v>418</v>
      </c>
      <c r="M75" s="586" t="s">
        <v>355</v>
      </c>
    </row>
    <row r="76" spans="1:13">
      <c r="A76" s="401" t="s">
        <v>665</v>
      </c>
      <c r="B76" s="106" t="s">
        <v>334</v>
      </c>
      <c r="C76" s="106" t="s">
        <v>7965</v>
      </c>
      <c r="D76" s="109" t="s">
        <v>666</v>
      </c>
      <c r="E76" s="109" t="s">
        <v>667</v>
      </c>
      <c r="F76" s="109" t="s">
        <v>383</v>
      </c>
      <c r="G76" s="112" t="s">
        <v>668</v>
      </c>
      <c r="H76" s="55" t="s">
        <v>367</v>
      </c>
      <c r="I76" s="111" t="s">
        <v>368</v>
      </c>
      <c r="J76" s="111" t="s">
        <v>368</v>
      </c>
      <c r="K76" s="108" t="s">
        <v>369</v>
      </c>
      <c r="L76" s="55" t="s">
        <v>369</v>
      </c>
      <c r="M76" s="55" t="s">
        <v>669</v>
      </c>
    </row>
    <row r="77" spans="1:13">
      <c r="A77" s="404" t="s">
        <v>670</v>
      </c>
      <c r="B77" s="109" t="s">
        <v>337</v>
      </c>
      <c r="C77" s="109" t="s">
        <v>7966</v>
      </c>
      <c r="D77" s="109" t="s">
        <v>671</v>
      </c>
      <c r="E77" s="109" t="s">
        <v>672</v>
      </c>
      <c r="F77" s="110" t="s">
        <v>673</v>
      </c>
      <c r="G77" s="55" t="s">
        <v>674</v>
      </c>
      <c r="H77" s="55" t="s">
        <v>390</v>
      </c>
      <c r="I77" s="111" t="s">
        <v>675</v>
      </c>
      <c r="J77" s="116" t="s">
        <v>676</v>
      </c>
      <c r="K77" s="106" t="s">
        <v>677</v>
      </c>
      <c r="L77" s="55" t="s">
        <v>591</v>
      </c>
      <c r="M77" s="55" t="s">
        <v>383</v>
      </c>
    </row>
    <row r="78" spans="1:13">
      <c r="A78" s="401" t="s">
        <v>678</v>
      </c>
      <c r="B78" s="106" t="s">
        <v>586</v>
      </c>
      <c r="C78" s="106" t="s">
        <v>7966</v>
      </c>
      <c r="D78" s="109" t="s">
        <v>679</v>
      </c>
      <c r="E78" s="109" t="s">
        <v>680</v>
      </c>
      <c r="F78" s="110" t="s">
        <v>681</v>
      </c>
      <c r="G78" s="55" t="s">
        <v>682</v>
      </c>
      <c r="H78" s="55" t="s">
        <v>396</v>
      </c>
      <c r="I78" s="111" t="s">
        <v>368</v>
      </c>
      <c r="J78" s="111" t="s">
        <v>368</v>
      </c>
      <c r="K78" s="106" t="s">
        <v>369</v>
      </c>
      <c r="L78" s="55" t="s">
        <v>369</v>
      </c>
      <c r="M78" s="55" t="s">
        <v>7634</v>
      </c>
    </row>
    <row r="79" spans="1:13">
      <c r="A79" s="401" t="s">
        <v>683</v>
      </c>
      <c r="B79" s="106" t="s">
        <v>324</v>
      </c>
      <c r="C79" s="106" t="s">
        <v>7965</v>
      </c>
      <c r="D79" s="109" t="s">
        <v>684</v>
      </c>
      <c r="E79" s="109" t="s">
        <v>685</v>
      </c>
      <c r="F79" s="110" t="s">
        <v>686</v>
      </c>
      <c r="G79" s="55" t="s">
        <v>687</v>
      </c>
      <c r="H79" s="55" t="s">
        <v>367</v>
      </c>
      <c r="I79" s="111" t="s">
        <v>368</v>
      </c>
      <c r="J79" s="111" t="s">
        <v>368</v>
      </c>
      <c r="K79" s="106" t="s">
        <v>369</v>
      </c>
      <c r="L79" s="55" t="s">
        <v>369</v>
      </c>
      <c r="M79" s="55" t="s">
        <v>7634</v>
      </c>
    </row>
    <row r="80" spans="1:13">
      <c r="A80" s="402" t="s">
        <v>688</v>
      </c>
      <c r="B80" s="109" t="s">
        <v>329</v>
      </c>
      <c r="C80" s="109" t="s">
        <v>7965</v>
      </c>
      <c r="D80" s="109" t="s">
        <v>689</v>
      </c>
      <c r="E80" s="109" t="s">
        <v>690</v>
      </c>
      <c r="F80" s="110" t="s">
        <v>691</v>
      </c>
      <c r="G80" s="112" t="s">
        <v>692</v>
      </c>
      <c r="H80" s="55" t="s">
        <v>367</v>
      </c>
      <c r="I80" s="111" t="s">
        <v>368</v>
      </c>
      <c r="J80" s="111" t="s">
        <v>368</v>
      </c>
      <c r="K80" s="106"/>
      <c r="L80" s="55"/>
      <c r="M80" s="55" t="s">
        <v>7634</v>
      </c>
    </row>
    <row r="81" spans="1:13">
      <c r="A81" s="401" t="s">
        <v>693</v>
      </c>
      <c r="B81" s="55" t="s">
        <v>339</v>
      </c>
      <c r="C81" s="55" t="s">
        <v>7966</v>
      </c>
      <c r="D81" s="109" t="s">
        <v>694</v>
      </c>
      <c r="E81" s="109" t="s">
        <v>695</v>
      </c>
      <c r="F81" s="110" t="s">
        <v>696</v>
      </c>
      <c r="G81" s="112" t="s">
        <v>697</v>
      </c>
      <c r="H81" s="55" t="s">
        <v>396</v>
      </c>
      <c r="I81" s="111" t="s">
        <v>368</v>
      </c>
      <c r="J81" s="108" t="s">
        <v>368</v>
      </c>
      <c r="K81" s="108" t="s">
        <v>592</v>
      </c>
      <c r="L81" s="55" t="s">
        <v>591</v>
      </c>
      <c r="M81" s="55" t="s">
        <v>383</v>
      </c>
    </row>
    <row r="82" spans="1:13">
      <c r="A82" s="404" t="s">
        <v>698</v>
      </c>
      <c r="B82" s="109" t="s">
        <v>699</v>
      </c>
      <c r="C82" s="109" t="s">
        <v>7966</v>
      </c>
      <c r="D82" s="109" t="s">
        <v>700</v>
      </c>
      <c r="E82" s="109" t="s">
        <v>701</v>
      </c>
      <c r="F82" s="110" t="s">
        <v>702</v>
      </c>
      <c r="G82" s="55" t="s">
        <v>503</v>
      </c>
      <c r="H82" s="55" t="s">
        <v>390</v>
      </c>
      <c r="I82" s="116" t="s">
        <v>703</v>
      </c>
      <c r="J82" s="111">
        <v>45245</v>
      </c>
      <c r="K82" s="106" t="s">
        <v>592</v>
      </c>
      <c r="L82" s="55" t="s">
        <v>591</v>
      </c>
      <c r="M82" s="55" t="s">
        <v>498</v>
      </c>
    </row>
    <row r="83" spans="1:13">
      <c r="A83" s="401" t="s">
        <v>704</v>
      </c>
      <c r="B83" s="106" t="s">
        <v>320</v>
      </c>
      <c r="C83" s="106" t="s">
        <v>7965</v>
      </c>
      <c r="D83" s="109" t="s">
        <v>705</v>
      </c>
      <c r="E83" s="109" t="s">
        <v>706</v>
      </c>
      <c r="F83" s="109" t="s">
        <v>707</v>
      </c>
      <c r="G83" s="112" t="s">
        <v>708</v>
      </c>
      <c r="H83" s="55" t="s">
        <v>367</v>
      </c>
      <c r="I83" s="111" t="s">
        <v>368</v>
      </c>
      <c r="J83" s="111" t="s">
        <v>368</v>
      </c>
      <c r="K83" s="106" t="s">
        <v>369</v>
      </c>
      <c r="L83" s="55" t="s">
        <v>369</v>
      </c>
      <c r="M83" s="55" t="s">
        <v>709</v>
      </c>
    </row>
    <row r="84" spans="1:13">
      <c r="A84" s="401" t="s">
        <v>710</v>
      </c>
      <c r="B84" s="106" t="s">
        <v>327</v>
      </c>
      <c r="C84" s="106" t="s">
        <v>473</v>
      </c>
      <c r="D84" s="109" t="s">
        <v>711</v>
      </c>
      <c r="E84" s="109" t="s">
        <v>712</v>
      </c>
      <c r="F84" s="109" t="s">
        <v>713</v>
      </c>
      <c r="G84" s="112" t="s">
        <v>714</v>
      </c>
      <c r="H84" s="55" t="s">
        <v>402</v>
      </c>
      <c r="I84" s="111" t="s">
        <v>359</v>
      </c>
      <c r="J84" s="111" t="s">
        <v>359</v>
      </c>
      <c r="K84" s="115" t="s">
        <v>403</v>
      </c>
      <c r="L84" s="55" t="s">
        <v>404</v>
      </c>
      <c r="M84" s="55" t="s">
        <v>383</v>
      </c>
    </row>
    <row r="85" spans="1:13">
      <c r="A85" s="402" t="s">
        <v>715</v>
      </c>
      <c r="B85" s="109" t="s">
        <v>324</v>
      </c>
      <c r="C85" s="109" t="s">
        <v>7965</v>
      </c>
      <c r="D85" s="109" t="s">
        <v>716</v>
      </c>
      <c r="E85" s="109" t="s">
        <v>717</v>
      </c>
      <c r="F85" s="110" t="s">
        <v>718</v>
      </c>
      <c r="G85" s="112" t="s">
        <v>719</v>
      </c>
      <c r="H85" s="55" t="s">
        <v>367</v>
      </c>
      <c r="I85" s="111" t="s">
        <v>368</v>
      </c>
      <c r="J85" s="111" t="s">
        <v>368</v>
      </c>
      <c r="K85" s="106" t="s">
        <v>369</v>
      </c>
      <c r="L85" s="55" t="s">
        <v>369</v>
      </c>
      <c r="M85" s="55" t="s">
        <v>720</v>
      </c>
    </row>
    <row r="86" spans="1:13">
      <c r="A86" s="401" t="s">
        <v>721</v>
      </c>
      <c r="B86" s="109" t="s">
        <v>324</v>
      </c>
      <c r="C86" s="109" t="s">
        <v>7965</v>
      </c>
      <c r="D86" s="109" t="s">
        <v>722</v>
      </c>
      <c r="E86" s="109" t="s">
        <v>723</v>
      </c>
      <c r="F86" s="110" t="s">
        <v>724</v>
      </c>
      <c r="G86" s="55" t="s">
        <v>725</v>
      </c>
      <c r="H86" s="55" t="s">
        <v>367</v>
      </c>
      <c r="I86" s="111" t="s">
        <v>368</v>
      </c>
      <c r="J86" s="116" t="s">
        <v>368</v>
      </c>
      <c r="K86" s="106"/>
      <c r="L86" s="55"/>
      <c r="M86" s="55" t="s">
        <v>7634</v>
      </c>
    </row>
    <row r="87" spans="1:13">
      <c r="A87" s="578" t="s">
        <v>726</v>
      </c>
      <c r="B87" s="586" t="s">
        <v>727</v>
      </c>
      <c r="C87" s="586" t="s">
        <v>7965</v>
      </c>
      <c r="D87" s="586" t="s">
        <v>728</v>
      </c>
      <c r="E87" s="586" t="s">
        <v>729</v>
      </c>
      <c r="F87" s="586" t="s">
        <v>730</v>
      </c>
      <c r="G87" s="586" t="s">
        <v>731</v>
      </c>
      <c r="H87" s="586" t="s">
        <v>417</v>
      </c>
      <c r="I87" s="587" t="s">
        <v>417</v>
      </c>
      <c r="J87" s="586"/>
      <c r="K87" s="586" t="s">
        <v>418</v>
      </c>
      <c r="L87" s="586" t="s">
        <v>418</v>
      </c>
      <c r="M87" s="55" t="s">
        <v>7634</v>
      </c>
    </row>
    <row r="88" spans="1:13">
      <c r="A88" s="401" t="s">
        <v>732</v>
      </c>
      <c r="B88" s="55" t="s">
        <v>733</v>
      </c>
      <c r="C88" s="55" t="s">
        <v>7966</v>
      </c>
      <c r="D88" s="109"/>
      <c r="E88" s="109" t="s">
        <v>734</v>
      </c>
      <c r="F88" s="109"/>
      <c r="G88" s="114" t="s">
        <v>735</v>
      </c>
      <c r="H88" s="55" t="s">
        <v>402</v>
      </c>
      <c r="I88" s="111" t="s">
        <v>359</v>
      </c>
      <c r="J88" s="111" t="s">
        <v>359</v>
      </c>
      <c r="K88" s="106" t="s">
        <v>403</v>
      </c>
      <c r="L88" s="55" t="s">
        <v>404</v>
      </c>
      <c r="M88" s="55" t="s">
        <v>7634</v>
      </c>
    </row>
    <row r="89" spans="1:13">
      <c r="A89" s="401" t="s">
        <v>736</v>
      </c>
      <c r="B89" s="106" t="s">
        <v>737</v>
      </c>
      <c r="C89" s="106" t="s">
        <v>7966</v>
      </c>
      <c r="D89" s="109" t="s">
        <v>8053</v>
      </c>
      <c r="E89" s="109" t="s">
        <v>738</v>
      </c>
      <c r="F89" s="110" t="s">
        <v>739</v>
      </c>
      <c r="G89" s="112" t="s">
        <v>740</v>
      </c>
      <c r="H89" s="55" t="s">
        <v>390</v>
      </c>
      <c r="I89" s="111" t="s">
        <v>741</v>
      </c>
      <c r="J89" s="111">
        <v>45219</v>
      </c>
      <c r="K89" s="106" t="s">
        <v>369</v>
      </c>
      <c r="L89" s="55" t="s">
        <v>369</v>
      </c>
      <c r="M89" s="55" t="s">
        <v>7634</v>
      </c>
    </row>
    <row r="90" spans="1:13">
      <c r="A90" s="401" t="s">
        <v>742</v>
      </c>
      <c r="B90" s="106" t="s">
        <v>499</v>
      </c>
      <c r="C90" s="106" t="s">
        <v>7966</v>
      </c>
      <c r="D90" s="109" t="s">
        <v>743</v>
      </c>
      <c r="E90" s="109" t="s">
        <v>744</v>
      </c>
      <c r="F90" s="110" t="s">
        <v>745</v>
      </c>
      <c r="G90" s="112" t="s">
        <v>746</v>
      </c>
      <c r="H90" s="55" t="s">
        <v>390</v>
      </c>
      <c r="I90" s="116" t="s">
        <v>747</v>
      </c>
      <c r="J90" s="116">
        <v>45311</v>
      </c>
      <c r="K90" s="108"/>
      <c r="L90" s="55"/>
      <c r="M90" s="55" t="s">
        <v>7634</v>
      </c>
    </row>
    <row r="91" spans="1:13">
      <c r="A91" s="401" t="s">
        <v>748</v>
      </c>
      <c r="B91" s="106" t="s">
        <v>327</v>
      </c>
      <c r="C91" s="106" t="s">
        <v>473</v>
      </c>
      <c r="D91" s="109" t="s">
        <v>749</v>
      </c>
      <c r="E91" s="109" t="s">
        <v>750</v>
      </c>
      <c r="F91" s="109" t="s">
        <v>751</v>
      </c>
      <c r="G91" s="112" t="s">
        <v>752</v>
      </c>
      <c r="H91" s="55" t="s">
        <v>402</v>
      </c>
      <c r="I91" s="111" t="s">
        <v>359</v>
      </c>
      <c r="J91" s="111" t="s">
        <v>359</v>
      </c>
      <c r="K91" s="115" t="s">
        <v>403</v>
      </c>
      <c r="L91" s="55" t="s">
        <v>404</v>
      </c>
      <c r="M91" s="55" t="s">
        <v>383</v>
      </c>
    </row>
    <row r="92" spans="1:13">
      <c r="A92" s="401" t="s">
        <v>753</v>
      </c>
      <c r="B92" s="106" t="s">
        <v>754</v>
      </c>
      <c r="C92" s="106" t="s">
        <v>7966</v>
      </c>
      <c r="D92" s="109" t="s">
        <v>755</v>
      </c>
      <c r="E92" s="109" t="s">
        <v>756</v>
      </c>
      <c r="F92" s="110" t="s">
        <v>757</v>
      </c>
      <c r="G92" s="112" t="s">
        <v>758</v>
      </c>
      <c r="H92" s="55" t="s">
        <v>396</v>
      </c>
      <c r="I92" s="111" t="s">
        <v>368</v>
      </c>
      <c r="J92" s="111" t="s">
        <v>368</v>
      </c>
      <c r="K92" s="106" t="s">
        <v>369</v>
      </c>
      <c r="L92" s="55" t="s">
        <v>369</v>
      </c>
      <c r="M92" s="55" t="s">
        <v>7634</v>
      </c>
    </row>
    <row r="93" spans="1:13">
      <c r="A93" s="401" t="s">
        <v>759</v>
      </c>
      <c r="B93" s="106" t="s">
        <v>561</v>
      </c>
      <c r="C93" s="106" t="s">
        <v>7966</v>
      </c>
      <c r="D93" s="109" t="s">
        <v>760</v>
      </c>
      <c r="E93" s="109" t="s">
        <v>761</v>
      </c>
      <c r="F93" s="110" t="s">
        <v>762</v>
      </c>
      <c r="G93" s="112" t="s">
        <v>763</v>
      </c>
      <c r="H93" s="55" t="s">
        <v>396</v>
      </c>
      <c r="I93" s="111" t="s">
        <v>368</v>
      </c>
      <c r="J93" s="111" t="s">
        <v>368</v>
      </c>
      <c r="K93" s="106" t="s">
        <v>369</v>
      </c>
      <c r="L93" s="55" t="s">
        <v>369</v>
      </c>
      <c r="M93" s="55" t="s">
        <v>7634</v>
      </c>
    </row>
    <row r="94" spans="1:13">
      <c r="A94" s="401" t="s">
        <v>768</v>
      </c>
      <c r="B94" s="106" t="s">
        <v>327</v>
      </c>
      <c r="C94" s="106" t="s">
        <v>473</v>
      </c>
      <c r="D94" s="107" t="s">
        <v>769</v>
      </c>
      <c r="E94" s="107" t="s">
        <v>770</v>
      </c>
      <c r="F94" s="107" t="s">
        <v>771</v>
      </c>
      <c r="G94" s="57" t="s">
        <v>772</v>
      </c>
      <c r="H94" s="115" t="s">
        <v>402</v>
      </c>
      <c r="I94" s="111" t="s">
        <v>402</v>
      </c>
      <c r="J94" s="111" t="s">
        <v>402</v>
      </c>
      <c r="K94" s="106" t="s">
        <v>403</v>
      </c>
      <c r="L94" s="55" t="s">
        <v>404</v>
      </c>
      <c r="M94" s="113" t="s">
        <v>383</v>
      </c>
    </row>
    <row r="95" spans="1:13">
      <c r="A95" s="401" t="s">
        <v>773</v>
      </c>
      <c r="B95" s="55" t="s">
        <v>339</v>
      </c>
      <c r="C95" s="55" t="s">
        <v>7966</v>
      </c>
      <c r="D95" s="109" t="s">
        <v>774</v>
      </c>
      <c r="E95" s="109" t="s">
        <v>775</v>
      </c>
      <c r="F95" s="110" t="s">
        <v>776</v>
      </c>
      <c r="G95" s="112" t="s">
        <v>777</v>
      </c>
      <c r="H95" s="55" t="s">
        <v>390</v>
      </c>
      <c r="I95" s="116" t="s">
        <v>778</v>
      </c>
      <c r="J95" s="111">
        <v>45262</v>
      </c>
      <c r="K95" s="106" t="s">
        <v>369</v>
      </c>
      <c r="L95" s="55" t="s">
        <v>369</v>
      </c>
      <c r="M95" s="55" t="s">
        <v>779</v>
      </c>
    </row>
    <row r="96" spans="1:13">
      <c r="A96" s="401" t="s">
        <v>780</v>
      </c>
      <c r="B96" s="106" t="s">
        <v>754</v>
      </c>
      <c r="C96" s="106" t="s">
        <v>7966</v>
      </c>
      <c r="D96" s="109" t="s">
        <v>781</v>
      </c>
      <c r="E96" s="109" t="s">
        <v>782</v>
      </c>
      <c r="F96" s="110" t="s">
        <v>783</v>
      </c>
      <c r="G96" s="588" t="s">
        <v>784</v>
      </c>
      <c r="H96" s="55" t="s">
        <v>396</v>
      </c>
      <c r="I96" s="111" t="s">
        <v>368</v>
      </c>
      <c r="J96" s="111" t="s">
        <v>368</v>
      </c>
      <c r="K96" s="106" t="s">
        <v>369</v>
      </c>
      <c r="L96" s="55" t="s">
        <v>369</v>
      </c>
      <c r="M96" s="55" t="s">
        <v>7634</v>
      </c>
    </row>
    <row r="97" spans="1:13">
      <c r="A97" s="404" t="s">
        <v>785</v>
      </c>
      <c r="B97" s="109" t="s">
        <v>324</v>
      </c>
      <c r="C97" s="109" t="s">
        <v>7965</v>
      </c>
      <c r="D97" s="109" t="s">
        <v>786</v>
      </c>
      <c r="E97" s="109" t="s">
        <v>787</v>
      </c>
      <c r="F97" s="110" t="s">
        <v>788</v>
      </c>
      <c r="G97" s="59" t="s">
        <v>789</v>
      </c>
      <c r="H97" s="55" t="s">
        <v>367</v>
      </c>
      <c r="I97" s="586" t="s">
        <v>790</v>
      </c>
      <c r="J97" s="587" t="s">
        <v>791</v>
      </c>
      <c r="K97" s="106" t="s">
        <v>369</v>
      </c>
      <c r="L97" s="55" t="s">
        <v>369</v>
      </c>
      <c r="M97" s="55" t="s">
        <v>7634</v>
      </c>
    </row>
    <row r="98" spans="1:13" ht="49.5">
      <c r="A98" s="401" t="s">
        <v>792</v>
      </c>
      <c r="B98" s="106" t="s">
        <v>793</v>
      </c>
      <c r="C98" s="106" t="s">
        <v>794</v>
      </c>
      <c r="D98" s="120" t="s">
        <v>795</v>
      </c>
      <c r="E98" s="107" t="s">
        <v>796</v>
      </c>
      <c r="F98" s="118" t="s">
        <v>797</v>
      </c>
      <c r="G98" s="589" t="s">
        <v>798</v>
      </c>
      <c r="H98" s="55" t="s">
        <v>799</v>
      </c>
      <c r="I98" s="55" t="s">
        <v>799</v>
      </c>
      <c r="J98" s="55" t="s">
        <v>799</v>
      </c>
      <c r="K98" s="108" t="s">
        <v>369</v>
      </c>
      <c r="L98" s="55" t="s">
        <v>369</v>
      </c>
      <c r="M98" s="55" t="s">
        <v>7634</v>
      </c>
    </row>
    <row r="99" spans="1:13">
      <c r="A99" s="401" t="s">
        <v>800</v>
      </c>
      <c r="B99" s="106" t="s">
        <v>801</v>
      </c>
      <c r="C99" s="106" t="s">
        <v>7966</v>
      </c>
      <c r="D99" s="109" t="s">
        <v>383</v>
      </c>
      <c r="E99" s="109" t="s">
        <v>802</v>
      </c>
      <c r="F99" s="109" t="s">
        <v>383</v>
      </c>
      <c r="G99" s="112" t="s">
        <v>803</v>
      </c>
      <c r="H99" s="55" t="s">
        <v>396</v>
      </c>
      <c r="I99" s="111" t="s">
        <v>368</v>
      </c>
      <c r="J99" s="111" t="s">
        <v>368</v>
      </c>
      <c r="K99" s="108" t="s">
        <v>369</v>
      </c>
      <c r="L99" s="55" t="s">
        <v>369</v>
      </c>
      <c r="M99" s="55" t="s">
        <v>383</v>
      </c>
    </row>
    <row r="100" spans="1:13">
      <c r="A100" s="402" t="s">
        <v>804</v>
      </c>
      <c r="B100" s="109" t="s">
        <v>336</v>
      </c>
      <c r="C100" s="109" t="s">
        <v>7965</v>
      </c>
      <c r="D100" s="109" t="s">
        <v>805</v>
      </c>
      <c r="E100" s="109" t="s">
        <v>806</v>
      </c>
      <c r="F100" s="110" t="s">
        <v>807</v>
      </c>
      <c r="G100" s="597" t="s">
        <v>808</v>
      </c>
      <c r="H100" s="55" t="s">
        <v>367</v>
      </c>
      <c r="I100" s="111" t="s">
        <v>368</v>
      </c>
      <c r="J100" s="116" t="s">
        <v>368</v>
      </c>
      <c r="K100" s="106" t="s">
        <v>558</v>
      </c>
      <c r="L100" s="55" t="s">
        <v>809</v>
      </c>
      <c r="M100" s="55" t="s">
        <v>7634</v>
      </c>
    </row>
    <row r="101" spans="1:13">
      <c r="A101" s="401" t="s">
        <v>810</v>
      </c>
      <c r="B101" s="106" t="s">
        <v>385</v>
      </c>
      <c r="C101" s="106" t="s">
        <v>7966</v>
      </c>
      <c r="D101" s="109" t="s">
        <v>811</v>
      </c>
      <c r="E101" s="109" t="s">
        <v>812</v>
      </c>
      <c r="F101" s="110" t="s">
        <v>813</v>
      </c>
      <c r="G101" s="112" t="s">
        <v>814</v>
      </c>
      <c r="H101" s="55" t="s">
        <v>396</v>
      </c>
      <c r="I101" s="111" t="s">
        <v>368</v>
      </c>
      <c r="J101" s="111" t="s">
        <v>368</v>
      </c>
      <c r="K101" s="108" t="s">
        <v>369</v>
      </c>
      <c r="L101" s="55" t="s">
        <v>369</v>
      </c>
      <c r="M101" s="55" t="s">
        <v>383</v>
      </c>
    </row>
    <row r="102" spans="1:13">
      <c r="A102" s="401" t="s">
        <v>815</v>
      </c>
      <c r="B102" s="106" t="s">
        <v>816</v>
      </c>
      <c r="C102" s="106" t="s">
        <v>7966</v>
      </c>
      <c r="D102" s="109" t="s">
        <v>383</v>
      </c>
      <c r="E102" s="109" t="s">
        <v>817</v>
      </c>
      <c r="F102" s="110" t="s">
        <v>818</v>
      </c>
      <c r="G102" s="112" t="s">
        <v>819</v>
      </c>
      <c r="H102" s="55" t="s">
        <v>396</v>
      </c>
      <c r="I102" s="111" t="s">
        <v>368</v>
      </c>
      <c r="J102" s="108" t="s">
        <v>368</v>
      </c>
      <c r="K102" s="108" t="s">
        <v>369</v>
      </c>
      <c r="L102" s="55" t="s">
        <v>369</v>
      </c>
      <c r="M102" s="55" t="s">
        <v>820</v>
      </c>
    </row>
    <row r="103" spans="1:13">
      <c r="A103" s="401" t="s">
        <v>821</v>
      </c>
      <c r="B103" s="109" t="s">
        <v>320</v>
      </c>
      <c r="C103" s="109" t="s">
        <v>7965</v>
      </c>
      <c r="D103" s="109" t="s">
        <v>822</v>
      </c>
      <c r="E103" s="109" t="s">
        <v>823</v>
      </c>
      <c r="F103" s="110" t="s">
        <v>824</v>
      </c>
      <c r="G103" s="55" t="s">
        <v>825</v>
      </c>
      <c r="H103" s="55" t="s">
        <v>367</v>
      </c>
      <c r="I103" s="586" t="s">
        <v>826</v>
      </c>
      <c r="J103" s="587" t="s">
        <v>827</v>
      </c>
      <c r="K103" s="106" t="s">
        <v>369</v>
      </c>
      <c r="L103" s="55" t="s">
        <v>369</v>
      </c>
      <c r="M103" s="55" t="s">
        <v>7634</v>
      </c>
    </row>
    <row r="104" spans="1:13" ht="33">
      <c r="A104" s="402" t="s">
        <v>828</v>
      </c>
      <c r="B104" s="109" t="s">
        <v>829</v>
      </c>
      <c r="C104" s="109" t="s">
        <v>7966</v>
      </c>
      <c r="D104" s="121" t="s">
        <v>830</v>
      </c>
      <c r="E104" s="110" t="s">
        <v>831</v>
      </c>
      <c r="F104" s="110" t="s">
        <v>832</v>
      </c>
      <c r="G104" s="122" t="s">
        <v>833</v>
      </c>
      <c r="H104" s="55" t="s">
        <v>396</v>
      </c>
      <c r="I104" s="111" t="s">
        <v>368</v>
      </c>
      <c r="J104" s="111" t="s">
        <v>368</v>
      </c>
      <c r="K104" s="106" t="s">
        <v>369</v>
      </c>
      <c r="L104" s="55" t="s">
        <v>369</v>
      </c>
      <c r="M104" s="55" t="s">
        <v>834</v>
      </c>
    </row>
    <row r="105" spans="1:13">
      <c r="A105" s="401" t="s">
        <v>835</v>
      </c>
      <c r="B105" s="106" t="s">
        <v>341</v>
      </c>
      <c r="C105" s="106" t="s">
        <v>7965</v>
      </c>
      <c r="D105" s="109" t="s">
        <v>836</v>
      </c>
      <c r="E105" s="109" t="s">
        <v>837</v>
      </c>
      <c r="F105" s="109" t="s">
        <v>838</v>
      </c>
      <c r="G105" s="114" t="s">
        <v>839</v>
      </c>
      <c r="H105" s="55" t="s">
        <v>367</v>
      </c>
      <c r="I105" s="111" t="s">
        <v>368</v>
      </c>
      <c r="J105" s="111" t="s">
        <v>368</v>
      </c>
      <c r="K105" s="106" t="s">
        <v>403</v>
      </c>
      <c r="L105" s="55" t="s">
        <v>404</v>
      </c>
      <c r="M105" s="55" t="s">
        <v>7634</v>
      </c>
    </row>
    <row r="106" spans="1:13">
      <c r="A106" s="401" t="s">
        <v>6998</v>
      </c>
      <c r="B106" s="106" t="s">
        <v>6999</v>
      </c>
      <c r="C106" s="106" t="s">
        <v>7966</v>
      </c>
      <c r="D106" s="107" t="s">
        <v>7000</v>
      </c>
      <c r="E106" s="107" t="s">
        <v>7001</v>
      </c>
      <c r="F106" s="107" t="s">
        <v>7002</v>
      </c>
      <c r="G106" s="592" t="s">
        <v>7003</v>
      </c>
      <c r="H106" s="55" t="s">
        <v>7004</v>
      </c>
      <c r="I106" s="55" t="s">
        <v>7004</v>
      </c>
      <c r="J106" s="55" t="s">
        <v>7004</v>
      </c>
      <c r="K106" s="108" t="s">
        <v>369</v>
      </c>
      <c r="L106" s="55" t="s">
        <v>369</v>
      </c>
      <c r="M106" s="55" t="s">
        <v>7634</v>
      </c>
    </row>
    <row r="107" spans="1:13">
      <c r="A107" s="578" t="s">
        <v>840</v>
      </c>
      <c r="B107" s="586" t="s">
        <v>473</v>
      </c>
      <c r="C107" s="586" t="s">
        <v>473</v>
      </c>
      <c r="D107" s="586" t="s">
        <v>841</v>
      </c>
      <c r="E107" s="586" t="s">
        <v>842</v>
      </c>
      <c r="F107" s="586" t="s">
        <v>843</v>
      </c>
      <c r="G107" s="586"/>
      <c r="H107" s="586" t="s">
        <v>359</v>
      </c>
      <c r="I107" s="587" t="s">
        <v>359</v>
      </c>
      <c r="J107" s="586"/>
      <c r="K107" s="586"/>
      <c r="L107" s="586" t="s">
        <v>844</v>
      </c>
      <c r="M107" s="55" t="s">
        <v>7634</v>
      </c>
    </row>
    <row r="108" spans="1:13">
      <c r="A108" s="408" t="s">
        <v>7033</v>
      </c>
      <c r="B108" s="127" t="s">
        <v>327</v>
      </c>
      <c r="C108" s="106" t="s">
        <v>473</v>
      </c>
      <c r="D108" s="107" t="s">
        <v>7034</v>
      </c>
      <c r="E108" s="107" t="s">
        <v>7035</v>
      </c>
      <c r="F108" s="107" t="s">
        <v>7036</v>
      </c>
      <c r="G108" s="60" t="s">
        <v>7037</v>
      </c>
      <c r="H108" s="108" t="s">
        <v>402</v>
      </c>
      <c r="I108" s="111" t="s">
        <v>402</v>
      </c>
      <c r="J108" s="111" t="s">
        <v>402</v>
      </c>
      <c r="K108" s="115" t="s">
        <v>403</v>
      </c>
      <c r="L108" s="55" t="s">
        <v>404</v>
      </c>
      <c r="M108" s="55" t="s">
        <v>7634</v>
      </c>
    </row>
    <row r="109" spans="1:13">
      <c r="A109" s="401" t="s">
        <v>845</v>
      </c>
      <c r="B109" s="106" t="s">
        <v>340</v>
      </c>
      <c r="C109" s="106" t="s">
        <v>7965</v>
      </c>
      <c r="D109" s="109" t="s">
        <v>846</v>
      </c>
      <c r="E109" s="109" t="s">
        <v>847</v>
      </c>
      <c r="F109" s="110" t="s">
        <v>848</v>
      </c>
      <c r="G109" s="112" t="s">
        <v>849</v>
      </c>
      <c r="H109" s="55" t="s">
        <v>367</v>
      </c>
      <c r="I109" s="111" t="s">
        <v>368</v>
      </c>
      <c r="J109" s="111" t="s">
        <v>368</v>
      </c>
      <c r="K109" s="106" t="s">
        <v>369</v>
      </c>
      <c r="L109" s="55" t="s">
        <v>369</v>
      </c>
      <c r="M109" s="55" t="s">
        <v>7634</v>
      </c>
    </row>
    <row r="110" spans="1:13">
      <c r="A110" s="401" t="s">
        <v>850</v>
      </c>
      <c r="B110" s="107" t="s">
        <v>441</v>
      </c>
      <c r="C110" s="107" t="s">
        <v>7965</v>
      </c>
      <c r="D110" s="109" t="s">
        <v>851</v>
      </c>
      <c r="E110" s="109" t="s">
        <v>852</v>
      </c>
      <c r="F110" s="110" t="s">
        <v>853</v>
      </c>
      <c r="G110" s="55" t="s">
        <v>854</v>
      </c>
      <c r="H110" s="55" t="s">
        <v>390</v>
      </c>
      <c r="I110" s="111" t="s">
        <v>855</v>
      </c>
      <c r="J110" s="116" t="s">
        <v>856</v>
      </c>
      <c r="K110" s="106" t="s">
        <v>857</v>
      </c>
      <c r="L110" s="55" t="s">
        <v>459</v>
      </c>
      <c r="M110" s="55" t="s">
        <v>460</v>
      </c>
    </row>
    <row r="111" spans="1:13">
      <c r="A111" s="407" t="s">
        <v>858</v>
      </c>
      <c r="B111" s="109" t="s">
        <v>319</v>
      </c>
      <c r="C111" s="109" t="s">
        <v>7965</v>
      </c>
      <c r="D111" s="55" t="s">
        <v>859</v>
      </c>
      <c r="E111" s="55" t="s">
        <v>860</v>
      </c>
      <c r="F111" s="123" t="s">
        <v>861</v>
      </c>
      <c r="G111" s="55" t="s">
        <v>862</v>
      </c>
      <c r="H111" s="55" t="s">
        <v>367</v>
      </c>
      <c r="I111" s="111" t="s">
        <v>368</v>
      </c>
      <c r="J111" s="119" t="s">
        <v>368</v>
      </c>
      <c r="K111" s="106" t="s">
        <v>369</v>
      </c>
      <c r="L111" s="55" t="s">
        <v>369</v>
      </c>
      <c r="M111" s="55" t="s">
        <v>7634</v>
      </c>
    </row>
    <row r="112" spans="1:13">
      <c r="A112" s="401" t="s">
        <v>8455</v>
      </c>
      <c r="B112" s="106" t="s">
        <v>8460</v>
      </c>
      <c r="C112" s="132" t="s">
        <v>8461</v>
      </c>
      <c r="D112" s="133" t="s">
        <v>8459</v>
      </c>
      <c r="E112" s="133" t="s">
        <v>8456</v>
      </c>
      <c r="F112" s="441" t="s">
        <v>8457</v>
      </c>
      <c r="G112" s="486" t="s">
        <v>8458</v>
      </c>
      <c r="H112" s="108" t="s">
        <v>402</v>
      </c>
      <c r="I112" s="111" t="s">
        <v>402</v>
      </c>
      <c r="J112" s="111" t="s">
        <v>402</v>
      </c>
      <c r="K112" s="106" t="s">
        <v>403</v>
      </c>
      <c r="L112" s="55" t="s">
        <v>404</v>
      </c>
      <c r="M112" s="55" t="s">
        <v>383</v>
      </c>
    </row>
    <row r="113" spans="1:13">
      <c r="A113" s="401" t="s">
        <v>863</v>
      </c>
      <c r="B113" s="109" t="s">
        <v>327</v>
      </c>
      <c r="C113" s="109" t="s">
        <v>473</v>
      </c>
      <c r="D113" s="109" t="s">
        <v>864</v>
      </c>
      <c r="E113" s="109" t="s">
        <v>865</v>
      </c>
      <c r="F113" s="110" t="s">
        <v>866</v>
      </c>
      <c r="G113" s="55" t="s">
        <v>867</v>
      </c>
      <c r="H113" s="55" t="s">
        <v>402</v>
      </c>
      <c r="I113" s="111" t="s">
        <v>359</v>
      </c>
      <c r="J113" s="111" t="s">
        <v>359</v>
      </c>
      <c r="K113" s="106" t="s">
        <v>863</v>
      </c>
      <c r="L113" s="55" t="s">
        <v>369</v>
      </c>
      <c r="M113" s="55" t="s">
        <v>868</v>
      </c>
    </row>
    <row r="114" spans="1:13">
      <c r="A114" s="401" t="s">
        <v>869</v>
      </c>
      <c r="B114" s="106" t="s">
        <v>870</v>
      </c>
      <c r="C114" s="106" t="s">
        <v>7966</v>
      </c>
      <c r="D114" s="107" t="s">
        <v>871</v>
      </c>
      <c r="E114" s="107" t="s">
        <v>872</v>
      </c>
      <c r="F114" s="118" t="s">
        <v>873</v>
      </c>
      <c r="G114" s="57" t="s">
        <v>874</v>
      </c>
      <c r="H114" s="108" t="s">
        <v>799</v>
      </c>
      <c r="I114" s="119" t="s">
        <v>799</v>
      </c>
      <c r="J114" s="108" t="s">
        <v>799</v>
      </c>
      <c r="K114" s="108" t="s">
        <v>875</v>
      </c>
      <c r="L114" s="108" t="s">
        <v>875</v>
      </c>
      <c r="M114" s="55" t="s">
        <v>7634</v>
      </c>
    </row>
    <row r="115" spans="1:13">
      <c r="A115" s="401" t="s">
        <v>876</v>
      </c>
      <c r="B115" s="106" t="s">
        <v>733</v>
      </c>
      <c r="C115" s="106" t="s">
        <v>7966</v>
      </c>
      <c r="D115" s="109" t="s">
        <v>877</v>
      </c>
      <c r="E115" s="109" t="s">
        <v>878</v>
      </c>
      <c r="F115" s="110" t="s">
        <v>879</v>
      </c>
      <c r="G115" s="112" t="s">
        <v>880</v>
      </c>
      <c r="H115" s="55" t="s">
        <v>396</v>
      </c>
      <c r="I115" s="111" t="s">
        <v>368</v>
      </c>
      <c r="J115" s="119" t="s">
        <v>368</v>
      </c>
      <c r="K115" s="106" t="s">
        <v>369</v>
      </c>
      <c r="L115" s="55" t="s">
        <v>369</v>
      </c>
      <c r="M115" s="55" t="s">
        <v>7634</v>
      </c>
    </row>
    <row r="116" spans="1:13">
      <c r="A116" s="401" t="s">
        <v>881</v>
      </c>
      <c r="B116" s="106" t="s">
        <v>882</v>
      </c>
      <c r="C116" s="106" t="s">
        <v>7965</v>
      </c>
      <c r="D116" s="109" t="s">
        <v>883</v>
      </c>
      <c r="E116" s="109" t="s">
        <v>884</v>
      </c>
      <c r="F116" s="110" t="s">
        <v>885</v>
      </c>
      <c r="G116" s="112" t="s">
        <v>886</v>
      </c>
      <c r="H116" s="55" t="s">
        <v>367</v>
      </c>
      <c r="I116" s="111" t="s">
        <v>368</v>
      </c>
      <c r="J116" s="111" t="s">
        <v>368</v>
      </c>
      <c r="K116" s="108"/>
      <c r="L116" s="55"/>
      <c r="M116" s="55" t="s">
        <v>7634</v>
      </c>
    </row>
    <row r="117" spans="1:13">
      <c r="A117" s="404" t="s">
        <v>887</v>
      </c>
      <c r="B117" s="109" t="s">
        <v>385</v>
      </c>
      <c r="C117" s="109" t="s">
        <v>7966</v>
      </c>
      <c r="D117" s="109" t="s">
        <v>888</v>
      </c>
      <c r="E117" s="109" t="s">
        <v>889</v>
      </c>
      <c r="F117" s="110" t="s">
        <v>890</v>
      </c>
      <c r="G117" s="55" t="s">
        <v>891</v>
      </c>
      <c r="H117" s="55" t="s">
        <v>396</v>
      </c>
      <c r="I117" s="111" t="s">
        <v>368</v>
      </c>
      <c r="J117" s="119" t="s">
        <v>368</v>
      </c>
      <c r="K117" s="106" t="s">
        <v>369</v>
      </c>
      <c r="L117" s="55" t="s">
        <v>369</v>
      </c>
      <c r="M117" s="55" t="s">
        <v>7634</v>
      </c>
    </row>
    <row r="118" spans="1:13">
      <c r="A118" s="404" t="s">
        <v>892</v>
      </c>
      <c r="B118" s="109" t="s">
        <v>561</v>
      </c>
      <c r="C118" s="109" t="s">
        <v>7966</v>
      </c>
      <c r="D118" s="109" t="s">
        <v>893</v>
      </c>
      <c r="E118" s="109" t="s">
        <v>894</v>
      </c>
      <c r="F118" s="110" t="s">
        <v>895</v>
      </c>
      <c r="G118" s="55" t="s">
        <v>896</v>
      </c>
      <c r="H118" s="55" t="s">
        <v>390</v>
      </c>
      <c r="I118" s="116" t="s">
        <v>897</v>
      </c>
      <c r="J118" s="116" t="s">
        <v>898</v>
      </c>
      <c r="K118" s="106" t="s">
        <v>369</v>
      </c>
      <c r="L118" s="55" t="s">
        <v>369</v>
      </c>
      <c r="M118" s="55" t="s">
        <v>383</v>
      </c>
    </row>
    <row r="119" spans="1:13">
      <c r="A119" s="404" t="s">
        <v>899</v>
      </c>
      <c r="B119" s="109" t="s">
        <v>385</v>
      </c>
      <c r="C119" s="109" t="s">
        <v>7966</v>
      </c>
      <c r="D119" s="109" t="s">
        <v>900</v>
      </c>
      <c r="E119" s="109" t="s">
        <v>463</v>
      </c>
      <c r="F119" s="110"/>
      <c r="G119" s="55"/>
      <c r="H119" s="55" t="s">
        <v>396</v>
      </c>
      <c r="I119" s="111" t="s">
        <v>368</v>
      </c>
      <c r="J119" s="116" t="s">
        <v>368</v>
      </c>
      <c r="K119" s="106" t="s">
        <v>369</v>
      </c>
      <c r="L119" s="55" t="s">
        <v>369</v>
      </c>
      <c r="M119" s="55" t="s">
        <v>383</v>
      </c>
    </row>
    <row r="120" spans="1:13">
      <c r="A120" s="401" t="s">
        <v>8627</v>
      </c>
      <c r="B120" s="106" t="s">
        <v>8628</v>
      </c>
      <c r="C120" s="132" t="s">
        <v>8629</v>
      </c>
      <c r="D120" s="133" t="s">
        <v>8630</v>
      </c>
      <c r="E120" s="133" t="s">
        <v>8631</v>
      </c>
      <c r="F120" s="441" t="s">
        <v>8632</v>
      </c>
      <c r="G120" s="601" t="s">
        <v>8633</v>
      </c>
      <c r="H120" s="108" t="s">
        <v>402</v>
      </c>
      <c r="I120" s="111" t="s">
        <v>402</v>
      </c>
      <c r="J120" s="111" t="s">
        <v>402</v>
      </c>
      <c r="K120" s="106" t="s">
        <v>403</v>
      </c>
      <c r="L120" s="55" t="s">
        <v>404</v>
      </c>
      <c r="M120" s="55" t="s">
        <v>383</v>
      </c>
    </row>
    <row r="121" spans="1:13">
      <c r="A121" s="401" t="s">
        <v>901</v>
      </c>
      <c r="B121" s="106" t="s">
        <v>322</v>
      </c>
      <c r="C121" s="106" t="s">
        <v>7965</v>
      </c>
      <c r="D121" s="109" t="s">
        <v>902</v>
      </c>
      <c r="E121" s="109" t="s">
        <v>903</v>
      </c>
      <c r="F121" s="110" t="s">
        <v>904</v>
      </c>
      <c r="G121" s="112" t="s">
        <v>905</v>
      </c>
      <c r="H121" s="55" t="s">
        <v>367</v>
      </c>
      <c r="I121" s="111" t="s">
        <v>368</v>
      </c>
      <c r="J121" s="119" t="s">
        <v>368</v>
      </c>
      <c r="K121" s="106" t="s">
        <v>369</v>
      </c>
      <c r="L121" s="55" t="s">
        <v>369</v>
      </c>
      <c r="M121" s="55" t="s">
        <v>7634</v>
      </c>
    </row>
    <row r="122" spans="1:13">
      <c r="A122" s="401" t="s">
        <v>906</v>
      </c>
      <c r="B122" s="106" t="s">
        <v>326</v>
      </c>
      <c r="C122" s="106" t="s">
        <v>7965</v>
      </c>
      <c r="D122" s="109" t="s">
        <v>907</v>
      </c>
      <c r="E122" s="109" t="s">
        <v>908</v>
      </c>
      <c r="F122" s="109" t="s">
        <v>909</v>
      </c>
      <c r="G122" s="588" t="s">
        <v>910</v>
      </c>
      <c r="H122" s="55" t="s">
        <v>367</v>
      </c>
      <c r="I122" s="111" t="s">
        <v>368</v>
      </c>
      <c r="J122" s="111" t="s">
        <v>368</v>
      </c>
      <c r="K122" s="106" t="s">
        <v>592</v>
      </c>
      <c r="L122" s="55" t="s">
        <v>591</v>
      </c>
      <c r="M122" s="113" t="s">
        <v>383</v>
      </c>
    </row>
    <row r="123" spans="1:13">
      <c r="A123" s="401" t="s">
        <v>911</v>
      </c>
      <c r="B123" s="109" t="s">
        <v>912</v>
      </c>
      <c r="C123" s="109" t="s">
        <v>7966</v>
      </c>
      <c r="D123" s="109" t="s">
        <v>913</v>
      </c>
      <c r="E123" s="109" t="s">
        <v>914</v>
      </c>
      <c r="F123" s="110" t="s">
        <v>915</v>
      </c>
      <c r="G123" s="55"/>
      <c r="H123" s="55" t="s">
        <v>390</v>
      </c>
      <c r="I123" s="111" t="s">
        <v>916</v>
      </c>
      <c r="J123" s="116" t="s">
        <v>917</v>
      </c>
      <c r="K123" s="106" t="s">
        <v>369</v>
      </c>
      <c r="L123" s="55" t="s">
        <v>369</v>
      </c>
      <c r="M123" s="55" t="s">
        <v>7634</v>
      </c>
    </row>
    <row r="124" spans="1:13">
      <c r="A124" s="404" t="s">
        <v>918</v>
      </c>
      <c r="B124" s="106" t="s">
        <v>324</v>
      </c>
      <c r="C124" s="106" t="s">
        <v>7965</v>
      </c>
      <c r="D124" s="109" t="s">
        <v>919</v>
      </c>
      <c r="E124" s="109" t="s">
        <v>920</v>
      </c>
      <c r="F124" s="110" t="s">
        <v>921</v>
      </c>
      <c r="G124" s="55" t="s">
        <v>922</v>
      </c>
      <c r="H124" s="55" t="s">
        <v>367</v>
      </c>
      <c r="I124" s="111" t="s">
        <v>368</v>
      </c>
      <c r="J124" s="119" t="s">
        <v>368</v>
      </c>
      <c r="K124" s="106" t="s">
        <v>369</v>
      </c>
      <c r="L124" s="55" t="s">
        <v>923</v>
      </c>
      <c r="M124" s="113" t="s">
        <v>383</v>
      </c>
    </row>
    <row r="125" spans="1:13">
      <c r="A125" s="401" t="s">
        <v>8639</v>
      </c>
      <c r="B125" s="106" t="s">
        <v>8640</v>
      </c>
      <c r="C125" s="132" t="s">
        <v>8641</v>
      </c>
      <c r="D125" s="133" t="s">
        <v>8642</v>
      </c>
      <c r="E125" s="133" t="s">
        <v>8643</v>
      </c>
      <c r="F125" s="133" t="s">
        <v>8642</v>
      </c>
      <c r="G125" s="601" t="s">
        <v>8644</v>
      </c>
      <c r="H125" s="108" t="s">
        <v>402</v>
      </c>
      <c r="I125" s="111" t="s">
        <v>402</v>
      </c>
      <c r="J125" s="111" t="s">
        <v>402</v>
      </c>
      <c r="K125" s="106" t="s">
        <v>403</v>
      </c>
      <c r="L125" s="55" t="s">
        <v>404</v>
      </c>
      <c r="M125" s="55" t="s">
        <v>383</v>
      </c>
    </row>
    <row r="126" spans="1:13" ht="49.5">
      <c r="A126" s="401" t="s">
        <v>924</v>
      </c>
      <c r="B126" s="106" t="s">
        <v>342</v>
      </c>
      <c r="C126" s="106" t="s">
        <v>7965</v>
      </c>
      <c r="D126" s="120" t="s">
        <v>925</v>
      </c>
      <c r="E126" s="107" t="s">
        <v>926</v>
      </c>
      <c r="F126" s="118" t="s">
        <v>927</v>
      </c>
      <c r="G126" s="600" t="s">
        <v>928</v>
      </c>
      <c r="H126" s="108" t="s">
        <v>799</v>
      </c>
      <c r="I126" s="111" t="s">
        <v>799</v>
      </c>
      <c r="J126" s="111" t="s">
        <v>799</v>
      </c>
      <c r="K126" s="106" t="s">
        <v>875</v>
      </c>
      <c r="L126" s="55" t="s">
        <v>875</v>
      </c>
      <c r="M126" s="55" t="s">
        <v>7634</v>
      </c>
    </row>
    <row r="127" spans="1:13">
      <c r="A127" s="578" t="s">
        <v>929</v>
      </c>
      <c r="B127" s="586" t="s">
        <v>338</v>
      </c>
      <c r="C127" s="586" t="s">
        <v>7966</v>
      </c>
      <c r="D127" s="586" t="s">
        <v>930</v>
      </c>
      <c r="E127" s="586" t="s">
        <v>931</v>
      </c>
      <c r="F127" s="586" t="s">
        <v>932</v>
      </c>
      <c r="G127" s="586" t="s">
        <v>933</v>
      </c>
      <c r="H127" s="586" t="s">
        <v>934</v>
      </c>
      <c r="I127" s="587" t="s">
        <v>935</v>
      </c>
      <c r="J127" s="586"/>
      <c r="K127" s="586" t="s">
        <v>418</v>
      </c>
      <c r="L127" s="586" t="s">
        <v>418</v>
      </c>
      <c r="M127" s="55" t="s">
        <v>7634</v>
      </c>
    </row>
    <row r="128" spans="1:13">
      <c r="A128" s="401" t="s">
        <v>936</v>
      </c>
      <c r="B128" s="106" t="s">
        <v>937</v>
      </c>
      <c r="C128" s="106" t="s">
        <v>7966</v>
      </c>
      <c r="D128" s="109" t="s">
        <v>938</v>
      </c>
      <c r="E128" s="109" t="s">
        <v>939</v>
      </c>
      <c r="F128" s="110" t="s">
        <v>940</v>
      </c>
      <c r="G128" s="112" t="s">
        <v>941</v>
      </c>
      <c r="H128" s="55" t="s">
        <v>396</v>
      </c>
      <c r="I128" s="111" t="s">
        <v>368</v>
      </c>
      <c r="J128" s="116" t="s">
        <v>368</v>
      </c>
      <c r="K128" s="106" t="s">
        <v>369</v>
      </c>
      <c r="L128" s="55" t="s">
        <v>369</v>
      </c>
      <c r="M128" s="55" t="s">
        <v>7634</v>
      </c>
    </row>
    <row r="129" spans="1:13">
      <c r="A129" s="401" t="s">
        <v>942</v>
      </c>
      <c r="B129" s="107" t="s">
        <v>441</v>
      </c>
      <c r="C129" s="107" t="s">
        <v>7965</v>
      </c>
      <c r="D129" s="109" t="s">
        <v>943</v>
      </c>
      <c r="E129" s="109" t="s">
        <v>944</v>
      </c>
      <c r="F129" s="110" t="s">
        <v>945</v>
      </c>
      <c r="G129" s="112" t="s">
        <v>946</v>
      </c>
      <c r="H129" s="55" t="s">
        <v>367</v>
      </c>
      <c r="I129" s="111" t="s">
        <v>368</v>
      </c>
      <c r="J129" s="119" t="s">
        <v>368</v>
      </c>
      <c r="K129" s="106" t="s">
        <v>947</v>
      </c>
      <c r="L129" s="55" t="s">
        <v>591</v>
      </c>
      <c r="M129" s="55" t="s">
        <v>7634</v>
      </c>
    </row>
    <row r="130" spans="1:13">
      <c r="A130" s="401" t="s">
        <v>948</v>
      </c>
      <c r="B130" s="106" t="s">
        <v>330</v>
      </c>
      <c r="C130" s="106" t="s">
        <v>7965</v>
      </c>
      <c r="D130" s="109" t="s">
        <v>949</v>
      </c>
      <c r="E130" s="109" t="s">
        <v>950</v>
      </c>
      <c r="F130" s="109" t="s">
        <v>951</v>
      </c>
      <c r="G130" s="112" t="s">
        <v>952</v>
      </c>
      <c r="H130" s="55" t="s">
        <v>367</v>
      </c>
      <c r="I130" s="111" t="s">
        <v>368</v>
      </c>
      <c r="J130" s="119" t="s">
        <v>368</v>
      </c>
      <c r="K130" s="106" t="s">
        <v>369</v>
      </c>
      <c r="L130" s="55" t="s">
        <v>369</v>
      </c>
      <c r="M130" s="113" t="s">
        <v>383</v>
      </c>
    </row>
    <row r="131" spans="1:13">
      <c r="A131" s="401" t="s">
        <v>953</v>
      </c>
      <c r="B131" s="106" t="s">
        <v>954</v>
      </c>
      <c r="C131" s="106" t="s">
        <v>7966</v>
      </c>
      <c r="D131" s="109"/>
      <c r="E131" s="109" t="s">
        <v>955</v>
      </c>
      <c r="F131" s="110" t="s">
        <v>956</v>
      </c>
      <c r="G131" s="112" t="s">
        <v>957</v>
      </c>
      <c r="H131" s="55" t="s">
        <v>396</v>
      </c>
      <c r="I131" s="111" t="s">
        <v>368</v>
      </c>
      <c r="J131" s="111" t="s">
        <v>368</v>
      </c>
      <c r="K131" s="106"/>
      <c r="L131" s="55"/>
      <c r="M131" s="55" t="s">
        <v>7634</v>
      </c>
    </row>
    <row r="132" spans="1:13">
      <c r="A132" s="578" t="s">
        <v>154</v>
      </c>
      <c r="B132" s="586" t="s">
        <v>958</v>
      </c>
      <c r="C132" s="586" t="s">
        <v>7965</v>
      </c>
      <c r="D132" s="586" t="s">
        <v>959</v>
      </c>
      <c r="E132" s="586" t="s">
        <v>960</v>
      </c>
      <c r="F132" s="586" t="s">
        <v>961</v>
      </c>
      <c r="G132" s="586"/>
      <c r="H132" s="586"/>
      <c r="I132" s="587"/>
      <c r="J132" s="586"/>
      <c r="K132" s="586"/>
      <c r="L132" s="586"/>
      <c r="M132" s="55" t="s">
        <v>7634</v>
      </c>
    </row>
    <row r="133" spans="1:13">
      <c r="A133" s="401" t="s">
        <v>962</v>
      </c>
      <c r="B133" s="106" t="s">
        <v>407</v>
      </c>
      <c r="C133" s="106" t="s">
        <v>7966</v>
      </c>
      <c r="D133" s="109" t="s">
        <v>963</v>
      </c>
      <c r="E133" s="109" t="s">
        <v>964</v>
      </c>
      <c r="F133" s="109" t="s">
        <v>965</v>
      </c>
      <c r="G133" s="114" t="s">
        <v>966</v>
      </c>
      <c r="H133" s="55" t="s">
        <v>396</v>
      </c>
      <c r="I133" s="111" t="s">
        <v>368</v>
      </c>
      <c r="J133" s="111" t="s">
        <v>368</v>
      </c>
      <c r="K133" s="106" t="s">
        <v>403</v>
      </c>
      <c r="L133" s="55" t="s">
        <v>404</v>
      </c>
      <c r="M133" s="55" t="s">
        <v>7634</v>
      </c>
    </row>
    <row r="134" spans="1:13">
      <c r="A134" s="401" t="s">
        <v>8088</v>
      </c>
      <c r="B134" s="106" t="s">
        <v>8089</v>
      </c>
      <c r="C134" s="132" t="s">
        <v>8090</v>
      </c>
      <c r="D134" s="133" t="s">
        <v>8091</v>
      </c>
      <c r="E134" s="133" t="s">
        <v>8092</v>
      </c>
      <c r="F134" s="441" t="s">
        <v>8093</v>
      </c>
      <c r="G134" s="601" t="s">
        <v>8094</v>
      </c>
      <c r="H134" s="55" t="s">
        <v>8095</v>
      </c>
      <c r="I134" s="55" t="s">
        <v>8095</v>
      </c>
      <c r="J134" s="55" t="s">
        <v>8095</v>
      </c>
      <c r="K134" s="108" t="s">
        <v>8096</v>
      </c>
      <c r="L134" s="55" t="s">
        <v>8097</v>
      </c>
      <c r="M134" s="55" t="s">
        <v>8098</v>
      </c>
    </row>
    <row r="135" spans="1:13">
      <c r="A135" s="401" t="s">
        <v>153</v>
      </c>
      <c r="B135" s="109" t="s">
        <v>659</v>
      </c>
      <c r="C135" s="109" t="s">
        <v>7966</v>
      </c>
      <c r="D135" s="109" t="s">
        <v>967</v>
      </c>
      <c r="E135" s="109" t="s">
        <v>968</v>
      </c>
      <c r="F135" s="110" t="s">
        <v>969</v>
      </c>
      <c r="G135" s="612" t="s">
        <v>970</v>
      </c>
      <c r="H135" s="55" t="s">
        <v>390</v>
      </c>
      <c r="I135" s="111" t="s">
        <v>971</v>
      </c>
      <c r="J135" s="111">
        <v>45444</v>
      </c>
      <c r="K135" s="106"/>
      <c r="L135" s="55"/>
      <c r="M135" s="55" t="s">
        <v>7634</v>
      </c>
    </row>
    <row r="136" spans="1:13">
      <c r="A136" s="401" t="s">
        <v>972</v>
      </c>
      <c r="B136" s="106" t="s">
        <v>324</v>
      </c>
      <c r="C136" s="106" t="s">
        <v>7965</v>
      </c>
      <c r="D136" s="109" t="s">
        <v>973</v>
      </c>
      <c r="E136" s="109" t="s">
        <v>974</v>
      </c>
      <c r="F136" s="110" t="s">
        <v>975</v>
      </c>
      <c r="G136" s="112" t="s">
        <v>976</v>
      </c>
      <c r="H136" s="55" t="s">
        <v>367</v>
      </c>
      <c r="I136" s="111" t="s">
        <v>368</v>
      </c>
      <c r="J136" s="111" t="s">
        <v>368</v>
      </c>
      <c r="K136" s="108" t="s">
        <v>977</v>
      </c>
      <c r="L136" s="55" t="s">
        <v>978</v>
      </c>
      <c r="M136" s="55" t="s">
        <v>383</v>
      </c>
    </row>
    <row r="137" spans="1:13">
      <c r="A137" s="401" t="s">
        <v>6969</v>
      </c>
      <c r="B137" s="106" t="s">
        <v>327</v>
      </c>
      <c r="C137" s="106" t="s">
        <v>473</v>
      </c>
      <c r="D137" s="120" t="s">
        <v>355</v>
      </c>
      <c r="E137" s="107" t="s">
        <v>6970</v>
      </c>
      <c r="F137" s="107" t="s">
        <v>6971</v>
      </c>
      <c r="G137" s="589" t="s">
        <v>6972</v>
      </c>
      <c r="H137" s="108" t="s">
        <v>402</v>
      </c>
      <c r="I137" s="111" t="s">
        <v>402</v>
      </c>
      <c r="J137" s="111" t="s">
        <v>402</v>
      </c>
      <c r="K137" s="106" t="s">
        <v>403</v>
      </c>
      <c r="L137" s="55" t="s">
        <v>404</v>
      </c>
      <c r="M137" s="55" t="s">
        <v>7634</v>
      </c>
    </row>
    <row r="138" spans="1:13">
      <c r="A138" s="401" t="s">
        <v>979</v>
      </c>
      <c r="B138" s="106" t="s">
        <v>329</v>
      </c>
      <c r="C138" s="106" t="s">
        <v>7965</v>
      </c>
      <c r="D138" s="109" t="s">
        <v>980</v>
      </c>
      <c r="E138" s="109" t="s">
        <v>981</v>
      </c>
      <c r="F138" s="109"/>
      <c r="G138" s="112" t="s">
        <v>982</v>
      </c>
      <c r="H138" s="55" t="s">
        <v>367</v>
      </c>
      <c r="I138" s="111" t="s">
        <v>368</v>
      </c>
      <c r="J138" s="111" t="s">
        <v>368</v>
      </c>
      <c r="K138" s="115" t="s">
        <v>403</v>
      </c>
      <c r="L138" s="55" t="s">
        <v>591</v>
      </c>
      <c r="M138" s="113" t="s">
        <v>383</v>
      </c>
    </row>
    <row r="139" spans="1:13">
      <c r="A139" s="401" t="s">
        <v>8569</v>
      </c>
      <c r="B139" s="106" t="s">
        <v>8570</v>
      </c>
      <c r="C139" s="132" t="s">
        <v>8571</v>
      </c>
      <c r="D139" s="133" t="s">
        <v>8572</v>
      </c>
      <c r="E139" s="133" t="s">
        <v>8573</v>
      </c>
      <c r="F139" s="441" t="s">
        <v>8574</v>
      </c>
      <c r="G139" s="601" t="s">
        <v>8575</v>
      </c>
      <c r="H139" s="108" t="s">
        <v>8576</v>
      </c>
      <c r="I139" s="108" t="s">
        <v>8576</v>
      </c>
      <c r="J139" s="108" t="s">
        <v>8576</v>
      </c>
      <c r="K139" s="106" t="s">
        <v>403</v>
      </c>
      <c r="L139" s="55" t="s">
        <v>404</v>
      </c>
      <c r="M139" s="55" t="s">
        <v>383</v>
      </c>
    </row>
    <row r="140" spans="1:13">
      <c r="A140" s="401" t="s">
        <v>983</v>
      </c>
      <c r="B140" s="106" t="s">
        <v>984</v>
      </c>
      <c r="C140" s="106" t="s">
        <v>473</v>
      </c>
      <c r="D140" s="107" t="s">
        <v>985</v>
      </c>
      <c r="E140" s="107" t="s">
        <v>986</v>
      </c>
      <c r="F140" s="107" t="s">
        <v>987</v>
      </c>
      <c r="G140" s="57" t="s">
        <v>988</v>
      </c>
      <c r="H140" s="108" t="s">
        <v>402</v>
      </c>
      <c r="I140" s="111" t="s">
        <v>402</v>
      </c>
      <c r="J140" s="111" t="s">
        <v>402</v>
      </c>
      <c r="K140" s="115" t="s">
        <v>403</v>
      </c>
      <c r="L140" s="55" t="s">
        <v>404</v>
      </c>
      <c r="M140" s="55" t="s">
        <v>355</v>
      </c>
    </row>
    <row r="141" spans="1:13">
      <c r="A141" s="401" t="s">
        <v>989</v>
      </c>
      <c r="B141" s="106" t="s">
        <v>327</v>
      </c>
      <c r="C141" s="106" t="s">
        <v>473</v>
      </c>
      <c r="D141" s="109" t="s">
        <v>355</v>
      </c>
      <c r="E141" s="109" t="s">
        <v>355</v>
      </c>
      <c r="F141" s="109" t="s">
        <v>355</v>
      </c>
      <c r="G141" s="55"/>
      <c r="H141" s="55" t="s">
        <v>402</v>
      </c>
      <c r="I141" s="111" t="s">
        <v>359</v>
      </c>
      <c r="J141" s="111" t="s">
        <v>359</v>
      </c>
      <c r="K141" s="106"/>
      <c r="L141" s="55"/>
      <c r="M141" s="55" t="s">
        <v>7634</v>
      </c>
    </row>
    <row r="142" spans="1:13">
      <c r="A142" s="401" t="s">
        <v>990</v>
      </c>
      <c r="B142" s="106" t="s">
        <v>385</v>
      </c>
      <c r="C142" s="106" t="s">
        <v>7966</v>
      </c>
      <c r="D142" s="109" t="s">
        <v>991</v>
      </c>
      <c r="E142" s="109" t="s">
        <v>992</v>
      </c>
      <c r="F142" s="110" t="s">
        <v>993</v>
      </c>
      <c r="G142" s="55" t="s">
        <v>994</v>
      </c>
      <c r="H142" s="115" t="s">
        <v>390</v>
      </c>
      <c r="I142" s="116" t="s">
        <v>995</v>
      </c>
      <c r="J142" s="116" t="s">
        <v>996</v>
      </c>
      <c r="K142" s="106" t="s">
        <v>369</v>
      </c>
      <c r="L142" s="55" t="s">
        <v>369</v>
      </c>
      <c r="M142" s="55" t="s">
        <v>383</v>
      </c>
    </row>
    <row r="143" spans="1:13">
      <c r="A143" s="401" t="s">
        <v>997</v>
      </c>
      <c r="B143" s="106" t="s">
        <v>320</v>
      </c>
      <c r="C143" s="106" t="s">
        <v>7965</v>
      </c>
      <c r="D143" s="109" t="s">
        <v>383</v>
      </c>
      <c r="E143" s="109" t="s">
        <v>998</v>
      </c>
      <c r="F143" s="109" t="s">
        <v>383</v>
      </c>
      <c r="G143" s="55" t="s">
        <v>383</v>
      </c>
      <c r="H143" s="55" t="s">
        <v>367</v>
      </c>
      <c r="I143" s="111" t="s">
        <v>368</v>
      </c>
      <c r="J143" s="111" t="s">
        <v>368</v>
      </c>
      <c r="K143" s="106" t="s">
        <v>592</v>
      </c>
      <c r="L143" s="55" t="s">
        <v>591</v>
      </c>
      <c r="M143" s="55" t="s">
        <v>999</v>
      </c>
    </row>
    <row r="144" spans="1:13">
      <c r="A144" s="401" t="s">
        <v>1000</v>
      </c>
      <c r="B144" s="109" t="s">
        <v>333</v>
      </c>
      <c r="C144" s="109" t="s">
        <v>7966</v>
      </c>
      <c r="D144" s="109" t="s">
        <v>1001</v>
      </c>
      <c r="E144" s="109" t="s">
        <v>1002</v>
      </c>
      <c r="F144" s="110" t="s">
        <v>1003</v>
      </c>
      <c r="G144" s="55" t="s">
        <v>1004</v>
      </c>
      <c r="H144" s="55" t="s">
        <v>390</v>
      </c>
      <c r="I144" s="111" t="s">
        <v>1005</v>
      </c>
      <c r="J144" s="116" t="s">
        <v>1006</v>
      </c>
      <c r="K144" s="106"/>
      <c r="L144" s="55"/>
      <c r="M144" s="55" t="s">
        <v>7634</v>
      </c>
    </row>
    <row r="145" spans="1:13">
      <c r="A145" s="401" t="s">
        <v>1007</v>
      </c>
      <c r="B145" s="124" t="s">
        <v>407</v>
      </c>
      <c r="C145" s="124" t="s">
        <v>7966</v>
      </c>
      <c r="D145" s="109" t="s">
        <v>1008</v>
      </c>
      <c r="E145" s="109" t="s">
        <v>1009</v>
      </c>
      <c r="F145" s="110" t="s">
        <v>1010</v>
      </c>
      <c r="G145" s="590" t="s">
        <v>1011</v>
      </c>
      <c r="H145" s="115" t="s">
        <v>390</v>
      </c>
      <c r="I145" s="116" t="s">
        <v>1012</v>
      </c>
      <c r="J145" s="111">
        <v>45184</v>
      </c>
      <c r="K145" s="115" t="s">
        <v>1013</v>
      </c>
      <c r="L145" s="55" t="s">
        <v>1014</v>
      </c>
      <c r="M145" s="55" t="s">
        <v>1015</v>
      </c>
    </row>
    <row r="146" spans="1:13">
      <c r="A146" s="401" t="s">
        <v>1016</v>
      </c>
      <c r="B146" s="109" t="s">
        <v>407</v>
      </c>
      <c r="C146" s="109" t="s">
        <v>7966</v>
      </c>
      <c r="D146" s="109" t="s">
        <v>1017</v>
      </c>
      <c r="E146" s="109" t="s">
        <v>1018</v>
      </c>
      <c r="F146" s="110" t="s">
        <v>1019</v>
      </c>
      <c r="G146" s="55" t="s">
        <v>1020</v>
      </c>
      <c r="H146" s="55" t="s">
        <v>396</v>
      </c>
      <c r="I146" s="111" t="s">
        <v>368</v>
      </c>
      <c r="J146" s="116" t="s">
        <v>368</v>
      </c>
      <c r="K146" s="106"/>
      <c r="L146" s="55"/>
      <c r="M146" s="55" t="s">
        <v>7634</v>
      </c>
    </row>
    <row r="147" spans="1:13">
      <c r="A147" s="405" t="s">
        <v>7582</v>
      </c>
      <c r="B147" s="106" t="s">
        <v>327</v>
      </c>
      <c r="C147" s="132" t="s">
        <v>473</v>
      </c>
      <c r="D147" s="133"/>
      <c r="E147" s="133"/>
      <c r="F147" s="133"/>
      <c r="H147" s="55"/>
      <c r="I147" s="111"/>
      <c r="J147" s="111"/>
      <c r="K147" s="108"/>
      <c r="L147" s="55"/>
      <c r="M147" s="55" t="s">
        <v>7634</v>
      </c>
    </row>
    <row r="148" spans="1:13">
      <c r="A148" s="401" t="s">
        <v>1021</v>
      </c>
      <c r="B148" s="106" t="s">
        <v>327</v>
      </c>
      <c r="C148" s="106" t="s">
        <v>473</v>
      </c>
      <c r="D148" s="109" t="s">
        <v>383</v>
      </c>
      <c r="E148" s="109" t="s">
        <v>383</v>
      </c>
      <c r="F148" s="109" t="s">
        <v>383</v>
      </c>
      <c r="G148" s="114" t="s">
        <v>383</v>
      </c>
      <c r="H148" s="55" t="s">
        <v>402</v>
      </c>
      <c r="I148" s="111" t="s">
        <v>359</v>
      </c>
      <c r="J148" s="111" t="s">
        <v>359</v>
      </c>
      <c r="K148" s="115" t="s">
        <v>403</v>
      </c>
      <c r="L148" s="55" t="s">
        <v>591</v>
      </c>
      <c r="M148" s="113" t="s">
        <v>1022</v>
      </c>
    </row>
    <row r="149" spans="1:13" ht="33">
      <c r="A149" s="401" t="s">
        <v>6987</v>
      </c>
      <c r="B149" s="106" t="s">
        <v>6988</v>
      </c>
      <c r="C149" s="106" t="s">
        <v>7965</v>
      </c>
      <c r="D149" s="120" t="s">
        <v>6989</v>
      </c>
      <c r="E149" s="107" t="s">
        <v>6990</v>
      </c>
      <c r="F149" s="107">
        <v>56232487614</v>
      </c>
      <c r="G149" s="589" t="s">
        <v>6991</v>
      </c>
      <c r="H149" s="55" t="s">
        <v>6992</v>
      </c>
      <c r="I149" s="55" t="s">
        <v>6992</v>
      </c>
      <c r="J149" s="55" t="s">
        <v>6992</v>
      </c>
      <c r="K149" s="108" t="s">
        <v>369</v>
      </c>
      <c r="L149" s="55" t="s">
        <v>369</v>
      </c>
      <c r="M149" s="55" t="s">
        <v>7634</v>
      </c>
    </row>
    <row r="150" spans="1:13">
      <c r="A150" s="401" t="s">
        <v>1023</v>
      </c>
      <c r="B150" s="106" t="s">
        <v>324</v>
      </c>
      <c r="C150" s="106" t="s">
        <v>7965</v>
      </c>
      <c r="D150" s="109" t="s">
        <v>1024</v>
      </c>
      <c r="E150" s="109" t="s">
        <v>1025</v>
      </c>
      <c r="F150" s="110" t="s">
        <v>1026</v>
      </c>
      <c r="G150" s="112" t="s">
        <v>1027</v>
      </c>
      <c r="H150" s="55" t="s">
        <v>367</v>
      </c>
      <c r="I150" s="111" t="s">
        <v>368</v>
      </c>
      <c r="J150" s="111" t="s">
        <v>368</v>
      </c>
      <c r="K150" s="108" t="s">
        <v>369</v>
      </c>
      <c r="L150" s="55" t="s">
        <v>369</v>
      </c>
      <c r="M150" s="55" t="s">
        <v>383</v>
      </c>
    </row>
    <row r="151" spans="1:13">
      <c r="A151" s="401" t="s">
        <v>1028</v>
      </c>
      <c r="B151" s="109" t="s">
        <v>324</v>
      </c>
      <c r="C151" s="109" t="s">
        <v>7965</v>
      </c>
      <c r="D151" s="109" t="s">
        <v>355</v>
      </c>
      <c r="E151" s="109" t="s">
        <v>355</v>
      </c>
      <c r="F151" s="109" t="s">
        <v>355</v>
      </c>
      <c r="G151" s="60"/>
      <c r="H151" s="55" t="s">
        <v>367</v>
      </c>
      <c r="I151" s="111" t="s">
        <v>368</v>
      </c>
      <c r="J151" s="111" t="s">
        <v>368</v>
      </c>
      <c r="K151" s="108"/>
      <c r="L151" s="55"/>
      <c r="M151" s="55" t="s">
        <v>7634</v>
      </c>
    </row>
    <row r="152" spans="1:13">
      <c r="A152" s="401" t="s">
        <v>1029</v>
      </c>
      <c r="B152" s="106" t="s">
        <v>327</v>
      </c>
      <c r="C152" s="106" t="s">
        <v>473</v>
      </c>
      <c r="D152" s="109" t="s">
        <v>1030</v>
      </c>
      <c r="E152" s="109" t="s">
        <v>1031</v>
      </c>
      <c r="F152" s="110" t="s">
        <v>1032</v>
      </c>
      <c r="G152" s="112" t="s">
        <v>1033</v>
      </c>
      <c r="H152" s="55" t="s">
        <v>402</v>
      </c>
      <c r="I152" s="111" t="s">
        <v>359</v>
      </c>
      <c r="J152" s="111" t="s">
        <v>359</v>
      </c>
      <c r="K152" s="106" t="s">
        <v>592</v>
      </c>
      <c r="L152" s="55" t="s">
        <v>404</v>
      </c>
      <c r="M152" s="55" t="s">
        <v>383</v>
      </c>
    </row>
    <row r="153" spans="1:13">
      <c r="A153" s="401" t="s">
        <v>1034</v>
      </c>
      <c r="B153" s="109" t="s">
        <v>407</v>
      </c>
      <c r="C153" s="109" t="s">
        <v>7966</v>
      </c>
      <c r="D153" s="109" t="s">
        <v>1035</v>
      </c>
      <c r="E153" s="109" t="s">
        <v>1036</v>
      </c>
      <c r="F153" s="110" t="s">
        <v>1037</v>
      </c>
      <c r="G153" s="112" t="s">
        <v>1011</v>
      </c>
      <c r="H153" s="55" t="s">
        <v>396</v>
      </c>
      <c r="I153" s="111" t="s">
        <v>368</v>
      </c>
      <c r="J153" s="111" t="s">
        <v>368</v>
      </c>
      <c r="K153" s="106" t="s">
        <v>1034</v>
      </c>
      <c r="L153" s="55" t="s">
        <v>1038</v>
      </c>
      <c r="M153" s="55" t="s">
        <v>1039</v>
      </c>
    </row>
    <row r="154" spans="1:13">
      <c r="A154" s="401" t="s">
        <v>1040</v>
      </c>
      <c r="B154" s="106" t="s">
        <v>327</v>
      </c>
      <c r="C154" s="106" t="s">
        <v>473</v>
      </c>
      <c r="D154" s="107" t="s">
        <v>1041</v>
      </c>
      <c r="E154" s="107" t="s">
        <v>1042</v>
      </c>
      <c r="F154" s="107" t="s">
        <v>1043</v>
      </c>
      <c r="G154" s="590" t="s">
        <v>1044</v>
      </c>
      <c r="H154" s="115" t="s">
        <v>402</v>
      </c>
      <c r="I154" s="111" t="s">
        <v>402</v>
      </c>
      <c r="J154" s="111" t="s">
        <v>402</v>
      </c>
      <c r="K154" s="106" t="s">
        <v>403</v>
      </c>
      <c r="L154" s="55" t="s">
        <v>404</v>
      </c>
      <c r="M154" s="113" t="s">
        <v>383</v>
      </c>
    </row>
    <row r="155" spans="1:13">
      <c r="A155" s="401" t="s">
        <v>1045</v>
      </c>
      <c r="B155" s="109" t="s">
        <v>407</v>
      </c>
      <c r="C155" s="109" t="s">
        <v>7966</v>
      </c>
      <c r="D155" s="109" t="s">
        <v>355</v>
      </c>
      <c r="E155" s="109" t="s">
        <v>355</v>
      </c>
      <c r="F155" s="109" t="s">
        <v>355</v>
      </c>
      <c r="G155" s="55"/>
      <c r="H155" s="55" t="s">
        <v>396</v>
      </c>
      <c r="I155" s="111" t="s">
        <v>368</v>
      </c>
      <c r="J155" s="111" t="s">
        <v>368</v>
      </c>
      <c r="K155" s="106"/>
      <c r="L155" s="55"/>
      <c r="M155" s="55" t="s">
        <v>7634</v>
      </c>
    </row>
    <row r="156" spans="1:13">
      <c r="A156" s="401" t="s">
        <v>1046</v>
      </c>
      <c r="B156" s="106" t="s">
        <v>327</v>
      </c>
      <c r="C156" s="106" t="s">
        <v>473</v>
      </c>
      <c r="D156" s="110" t="s">
        <v>383</v>
      </c>
      <c r="E156" s="109" t="s">
        <v>1047</v>
      </c>
      <c r="F156" s="110" t="s">
        <v>383</v>
      </c>
      <c r="G156" s="112" t="s">
        <v>1048</v>
      </c>
      <c r="H156" s="55" t="s">
        <v>402</v>
      </c>
      <c r="I156" s="111" t="s">
        <v>359</v>
      </c>
      <c r="J156" s="111" t="s">
        <v>359</v>
      </c>
      <c r="K156" s="115" t="s">
        <v>403</v>
      </c>
      <c r="L156" s="55" t="s">
        <v>404</v>
      </c>
      <c r="M156" s="55" t="s">
        <v>7634</v>
      </c>
    </row>
    <row r="157" spans="1:13">
      <c r="A157" s="401" t="s">
        <v>1049</v>
      </c>
      <c r="B157" s="109" t="s">
        <v>727</v>
      </c>
      <c r="C157" s="109" t="s">
        <v>7965</v>
      </c>
      <c r="D157" s="109" t="s">
        <v>1050</v>
      </c>
      <c r="E157" s="109" t="s">
        <v>1051</v>
      </c>
      <c r="F157" s="110" t="s">
        <v>1052</v>
      </c>
      <c r="G157" s="55" t="s">
        <v>1053</v>
      </c>
      <c r="H157" s="55" t="s">
        <v>390</v>
      </c>
      <c r="I157" s="116" t="s">
        <v>1054</v>
      </c>
      <c r="J157" s="116" t="s">
        <v>1055</v>
      </c>
      <c r="K157" s="106" t="s">
        <v>1056</v>
      </c>
      <c r="L157" s="55" t="s">
        <v>591</v>
      </c>
      <c r="M157" s="55" t="s">
        <v>1057</v>
      </c>
    </row>
    <row r="158" spans="1:13">
      <c r="A158" s="401" t="s">
        <v>1058</v>
      </c>
      <c r="B158" s="106" t="s">
        <v>1059</v>
      </c>
      <c r="C158" s="106" t="s">
        <v>473</v>
      </c>
      <c r="D158" s="109" t="s">
        <v>355</v>
      </c>
      <c r="E158" s="109" t="s">
        <v>355</v>
      </c>
      <c r="F158" s="109" t="s">
        <v>355</v>
      </c>
      <c r="G158" s="112" t="s">
        <v>1060</v>
      </c>
      <c r="H158" s="55" t="s">
        <v>402</v>
      </c>
      <c r="I158" s="111" t="s">
        <v>359</v>
      </c>
      <c r="J158" s="111" t="s">
        <v>359</v>
      </c>
      <c r="K158" s="106" t="s">
        <v>403</v>
      </c>
      <c r="L158" s="55" t="s">
        <v>404</v>
      </c>
      <c r="M158" s="55" t="s">
        <v>7634</v>
      </c>
    </row>
    <row r="159" spans="1:13">
      <c r="A159" s="401" t="s">
        <v>1061</v>
      </c>
      <c r="B159" s="106" t="s">
        <v>327</v>
      </c>
      <c r="C159" s="106" t="s">
        <v>473</v>
      </c>
      <c r="D159" s="109" t="s">
        <v>1062</v>
      </c>
      <c r="E159" s="109" t="s">
        <v>1063</v>
      </c>
      <c r="F159" s="109" t="s">
        <v>1064</v>
      </c>
      <c r="G159" s="112" t="s">
        <v>1065</v>
      </c>
      <c r="H159" s="55" t="s">
        <v>402</v>
      </c>
      <c r="I159" s="111" t="s">
        <v>359</v>
      </c>
      <c r="J159" s="111" t="s">
        <v>359</v>
      </c>
      <c r="K159" s="115" t="s">
        <v>403</v>
      </c>
      <c r="L159" s="55" t="s">
        <v>404</v>
      </c>
      <c r="M159" s="113" t="s">
        <v>383</v>
      </c>
    </row>
    <row r="160" spans="1:13">
      <c r="A160" s="401" t="s">
        <v>7043</v>
      </c>
      <c r="B160" s="106" t="s">
        <v>7044</v>
      </c>
      <c r="C160" s="106" t="s">
        <v>7965</v>
      </c>
      <c r="D160" s="107" t="s">
        <v>7045</v>
      </c>
      <c r="E160" s="107" t="s">
        <v>7046</v>
      </c>
      <c r="F160" s="107">
        <v>945654279</v>
      </c>
      <c r="G160" s="589" t="s">
        <v>7047</v>
      </c>
      <c r="H160" s="55" t="s">
        <v>6992</v>
      </c>
      <c r="I160" s="55" t="s">
        <v>6992</v>
      </c>
      <c r="J160" s="55" t="s">
        <v>6992</v>
      </c>
      <c r="K160" s="108" t="s">
        <v>369</v>
      </c>
      <c r="L160" s="55" t="s">
        <v>369</v>
      </c>
      <c r="M160" s="55" t="s">
        <v>7634</v>
      </c>
    </row>
    <row r="161" spans="1:13" ht="49.5">
      <c r="A161" s="401" t="s">
        <v>1066</v>
      </c>
      <c r="B161" s="106" t="s">
        <v>385</v>
      </c>
      <c r="C161" s="106" t="s">
        <v>7966</v>
      </c>
      <c r="D161" s="120" t="s">
        <v>1067</v>
      </c>
      <c r="E161" s="107" t="s">
        <v>1068</v>
      </c>
      <c r="F161" s="107" t="s">
        <v>1069</v>
      </c>
      <c r="G161" s="57" t="s">
        <v>1070</v>
      </c>
      <c r="H161" s="115" t="s">
        <v>402</v>
      </c>
      <c r="I161" s="111" t="s">
        <v>402</v>
      </c>
      <c r="J161" s="111" t="s">
        <v>402</v>
      </c>
      <c r="K161" s="106" t="s">
        <v>403</v>
      </c>
      <c r="L161" s="55" t="s">
        <v>404</v>
      </c>
      <c r="M161" s="113" t="s">
        <v>383</v>
      </c>
    </row>
    <row r="162" spans="1:13">
      <c r="A162" s="401" t="s">
        <v>1071</v>
      </c>
      <c r="B162" s="106" t="s">
        <v>326</v>
      </c>
      <c r="C162" s="106" t="s">
        <v>7965</v>
      </c>
      <c r="D162" s="109" t="s">
        <v>383</v>
      </c>
      <c r="E162" s="109" t="s">
        <v>1072</v>
      </c>
      <c r="F162" s="109" t="s">
        <v>1073</v>
      </c>
      <c r="G162" s="112" t="s">
        <v>1074</v>
      </c>
      <c r="H162" s="55" t="s">
        <v>367</v>
      </c>
      <c r="I162" s="111" t="s">
        <v>368</v>
      </c>
      <c r="J162" s="111" t="s">
        <v>368</v>
      </c>
      <c r="K162" s="115" t="s">
        <v>369</v>
      </c>
      <c r="L162" s="55" t="s">
        <v>369</v>
      </c>
      <c r="M162" s="113" t="s">
        <v>1075</v>
      </c>
    </row>
    <row r="163" spans="1:13" ht="33">
      <c r="A163" s="401" t="s">
        <v>1076</v>
      </c>
      <c r="B163" s="106" t="s">
        <v>637</v>
      </c>
      <c r="C163" s="106" t="s">
        <v>7966</v>
      </c>
      <c r="D163" s="120" t="s">
        <v>1077</v>
      </c>
      <c r="E163" s="107" t="s">
        <v>1078</v>
      </c>
      <c r="F163" s="118" t="s">
        <v>1079</v>
      </c>
      <c r="G163" s="590" t="s">
        <v>1080</v>
      </c>
      <c r="H163" s="108" t="s">
        <v>629</v>
      </c>
      <c r="I163" s="111" t="s">
        <v>629</v>
      </c>
      <c r="J163" s="111" t="s">
        <v>629</v>
      </c>
      <c r="K163" s="108" t="s">
        <v>1081</v>
      </c>
      <c r="L163" s="55" t="s">
        <v>1081</v>
      </c>
      <c r="M163" s="55" t="s">
        <v>355</v>
      </c>
    </row>
    <row r="164" spans="1:13">
      <c r="A164" s="401" t="s">
        <v>1082</v>
      </c>
      <c r="B164" s="106" t="s">
        <v>407</v>
      </c>
      <c r="C164" s="106" t="s">
        <v>7966</v>
      </c>
      <c r="D164" s="109" t="s">
        <v>383</v>
      </c>
      <c r="E164" s="109" t="s">
        <v>383</v>
      </c>
      <c r="F164" s="109" t="s">
        <v>383</v>
      </c>
      <c r="G164" s="114" t="s">
        <v>383</v>
      </c>
      <c r="H164" s="55" t="s">
        <v>396</v>
      </c>
      <c r="I164" s="111" t="s">
        <v>368</v>
      </c>
      <c r="J164" s="111" t="s">
        <v>368</v>
      </c>
      <c r="K164" s="115" t="s">
        <v>403</v>
      </c>
      <c r="L164" s="55" t="s">
        <v>591</v>
      </c>
      <c r="M164" s="113" t="s">
        <v>1022</v>
      </c>
    </row>
    <row r="165" spans="1:13">
      <c r="A165" s="401" t="s">
        <v>1083</v>
      </c>
      <c r="B165" s="106" t="s">
        <v>499</v>
      </c>
      <c r="C165" s="106" t="s">
        <v>7966</v>
      </c>
      <c r="D165" s="109" t="s">
        <v>1084</v>
      </c>
      <c r="E165" s="109" t="s">
        <v>1085</v>
      </c>
      <c r="F165" s="110" t="s">
        <v>1086</v>
      </c>
      <c r="G165" s="112" t="s">
        <v>1087</v>
      </c>
      <c r="H165" s="55" t="s">
        <v>396</v>
      </c>
      <c r="I165" s="111" t="s">
        <v>368</v>
      </c>
      <c r="J165" s="111" t="s">
        <v>368</v>
      </c>
      <c r="K165" s="106" t="s">
        <v>369</v>
      </c>
      <c r="L165" s="55" t="s">
        <v>369</v>
      </c>
      <c r="M165" s="55" t="s">
        <v>7634</v>
      </c>
    </row>
    <row r="166" spans="1:13">
      <c r="A166" s="402" t="s">
        <v>1088</v>
      </c>
      <c r="B166" s="109" t="s">
        <v>407</v>
      </c>
      <c r="C166" s="109" t="s">
        <v>7966</v>
      </c>
      <c r="D166" s="109" t="s">
        <v>355</v>
      </c>
      <c r="E166" s="109" t="s">
        <v>355</v>
      </c>
      <c r="F166" s="109" t="s">
        <v>355</v>
      </c>
      <c r="G166" s="55"/>
      <c r="H166" s="55" t="s">
        <v>396</v>
      </c>
      <c r="I166" s="111" t="s">
        <v>368</v>
      </c>
      <c r="J166" s="111" t="s">
        <v>368</v>
      </c>
      <c r="K166" s="106"/>
      <c r="L166" s="55"/>
      <c r="M166" s="55" t="s">
        <v>7634</v>
      </c>
    </row>
    <row r="167" spans="1:13">
      <c r="A167" s="401" t="s">
        <v>8529</v>
      </c>
      <c r="B167" s="106" t="s">
        <v>8530</v>
      </c>
      <c r="C167" s="132"/>
      <c r="D167" s="133" t="s">
        <v>8531</v>
      </c>
      <c r="E167" s="133" t="s">
        <v>8532</v>
      </c>
      <c r="F167" s="441" t="s">
        <v>8533</v>
      </c>
      <c r="G167" s="601" t="s">
        <v>8534</v>
      </c>
      <c r="H167" s="55" t="s">
        <v>8095</v>
      </c>
      <c r="I167" s="111" t="s">
        <v>8095</v>
      </c>
      <c r="J167" s="111" t="s">
        <v>8095</v>
      </c>
      <c r="K167" s="106" t="s">
        <v>403</v>
      </c>
      <c r="L167" s="55" t="s">
        <v>404</v>
      </c>
      <c r="M167" s="55" t="s">
        <v>9263</v>
      </c>
    </row>
    <row r="168" spans="1:13">
      <c r="A168" s="401" t="s">
        <v>1089</v>
      </c>
      <c r="B168" s="106" t="s">
        <v>330</v>
      </c>
      <c r="C168" s="106" t="s">
        <v>7965</v>
      </c>
      <c r="D168" s="109" t="s">
        <v>1090</v>
      </c>
      <c r="E168" s="109" t="s">
        <v>1091</v>
      </c>
      <c r="F168" s="110" t="s">
        <v>1092</v>
      </c>
      <c r="G168" s="112" t="s">
        <v>1093</v>
      </c>
      <c r="H168" s="55" t="s">
        <v>367</v>
      </c>
      <c r="I168" s="111" t="s">
        <v>368</v>
      </c>
      <c r="J168" s="111" t="s">
        <v>368</v>
      </c>
      <c r="K168" s="106" t="s">
        <v>369</v>
      </c>
      <c r="L168" s="55" t="s">
        <v>369</v>
      </c>
      <c r="M168" s="55" t="s">
        <v>9263</v>
      </c>
    </row>
    <row r="169" spans="1:13">
      <c r="A169" s="401" t="s">
        <v>150</v>
      </c>
      <c r="B169" s="106" t="s">
        <v>7585</v>
      </c>
      <c r="C169" s="132" t="s">
        <v>7965</v>
      </c>
      <c r="D169" s="133"/>
      <c r="E169" s="133"/>
      <c r="F169" s="133"/>
      <c r="H169" s="55"/>
      <c r="I169" s="111"/>
      <c r="J169" s="111"/>
      <c r="K169" s="108"/>
      <c r="L169" s="55"/>
      <c r="M169" s="55" t="s">
        <v>7634</v>
      </c>
    </row>
    <row r="170" spans="1:13">
      <c r="A170" s="404" t="s">
        <v>1094</v>
      </c>
      <c r="B170" s="109" t="s">
        <v>337</v>
      </c>
      <c r="C170" s="109" t="s">
        <v>7966</v>
      </c>
      <c r="D170" s="109" t="s">
        <v>1095</v>
      </c>
      <c r="E170" s="109" t="s">
        <v>806</v>
      </c>
      <c r="F170" s="110" t="s">
        <v>807</v>
      </c>
      <c r="G170" s="55" t="s">
        <v>808</v>
      </c>
      <c r="H170" s="115" t="s">
        <v>390</v>
      </c>
      <c r="I170" s="116" t="s">
        <v>1096</v>
      </c>
      <c r="J170" s="116" t="s">
        <v>1097</v>
      </c>
      <c r="K170" s="106" t="s">
        <v>592</v>
      </c>
      <c r="L170" s="55" t="s">
        <v>1098</v>
      </c>
      <c r="M170" s="55" t="s">
        <v>383</v>
      </c>
    </row>
    <row r="171" spans="1:13">
      <c r="A171" s="401" t="s">
        <v>1099</v>
      </c>
      <c r="B171" s="106" t="s">
        <v>733</v>
      </c>
      <c r="C171" s="106" t="s">
        <v>7966</v>
      </c>
      <c r="D171" s="109" t="s">
        <v>1100</v>
      </c>
      <c r="E171" s="109" t="s">
        <v>1101</v>
      </c>
      <c r="F171" s="110"/>
      <c r="G171" s="112" t="s">
        <v>1102</v>
      </c>
      <c r="H171" s="55" t="s">
        <v>396</v>
      </c>
      <c r="I171" s="111" t="s">
        <v>368</v>
      </c>
      <c r="J171" s="111" t="s">
        <v>368</v>
      </c>
      <c r="K171" s="108"/>
      <c r="L171" s="55"/>
      <c r="M171" s="55" t="s">
        <v>7634</v>
      </c>
    </row>
    <row r="172" spans="1:13">
      <c r="A172" s="578" t="s">
        <v>1103</v>
      </c>
      <c r="B172" s="586" t="s">
        <v>325</v>
      </c>
      <c r="C172" s="586" t="s">
        <v>7966</v>
      </c>
      <c r="D172" s="586" t="s">
        <v>1104</v>
      </c>
      <c r="E172" s="586" t="s">
        <v>1105</v>
      </c>
      <c r="F172" s="586" t="s">
        <v>1106</v>
      </c>
      <c r="G172" s="586"/>
      <c r="H172" s="586"/>
      <c r="I172" s="587"/>
      <c r="J172" s="586"/>
      <c r="K172" s="586" t="s">
        <v>360</v>
      </c>
      <c r="L172" s="586" t="s">
        <v>393</v>
      </c>
      <c r="M172" s="55" t="s">
        <v>7634</v>
      </c>
    </row>
    <row r="173" spans="1:13">
      <c r="A173" s="401" t="s">
        <v>1107</v>
      </c>
      <c r="B173" s="106" t="s">
        <v>327</v>
      </c>
      <c r="C173" s="106" t="s">
        <v>473</v>
      </c>
      <c r="D173" s="109" t="s">
        <v>1108</v>
      </c>
      <c r="E173" s="109" t="s">
        <v>1109</v>
      </c>
      <c r="F173" s="110" t="s">
        <v>1110</v>
      </c>
      <c r="G173" s="112" t="s">
        <v>1111</v>
      </c>
      <c r="H173" s="55" t="s">
        <v>402</v>
      </c>
      <c r="I173" s="111" t="s">
        <v>359</v>
      </c>
      <c r="J173" s="111" t="s">
        <v>359</v>
      </c>
      <c r="K173" s="106" t="s">
        <v>592</v>
      </c>
      <c r="L173" s="55" t="s">
        <v>591</v>
      </c>
      <c r="M173" s="55" t="s">
        <v>1112</v>
      </c>
    </row>
    <row r="174" spans="1:13">
      <c r="A174" s="578" t="s">
        <v>1113</v>
      </c>
      <c r="B174" s="586" t="s">
        <v>421</v>
      </c>
      <c r="C174" s="586" t="s">
        <v>7965</v>
      </c>
      <c r="D174" s="586" t="s">
        <v>1114</v>
      </c>
      <c r="E174" s="586" t="s">
        <v>1115</v>
      </c>
      <c r="F174" s="586" t="s">
        <v>1116</v>
      </c>
      <c r="G174" s="586" t="s">
        <v>1117</v>
      </c>
      <c r="H174" s="586"/>
      <c r="I174" s="587"/>
      <c r="J174" s="586"/>
      <c r="K174" s="586"/>
      <c r="L174" s="586" t="s">
        <v>393</v>
      </c>
      <c r="M174" s="55" t="s">
        <v>7634</v>
      </c>
    </row>
    <row r="175" spans="1:13">
      <c r="A175" s="401" t="s">
        <v>1118</v>
      </c>
      <c r="B175" s="109" t="s">
        <v>324</v>
      </c>
      <c r="C175" s="109" t="s">
        <v>7965</v>
      </c>
      <c r="D175" s="109" t="s">
        <v>1119</v>
      </c>
      <c r="E175" s="109" t="s">
        <v>1120</v>
      </c>
      <c r="F175" s="110" t="s">
        <v>1121</v>
      </c>
      <c r="G175" s="590" t="s">
        <v>1122</v>
      </c>
      <c r="H175" s="55" t="s">
        <v>367</v>
      </c>
      <c r="I175" s="111" t="s">
        <v>368</v>
      </c>
      <c r="J175" s="111" t="s">
        <v>368</v>
      </c>
      <c r="K175" s="106" t="s">
        <v>1123</v>
      </c>
      <c r="L175" s="55" t="s">
        <v>1124</v>
      </c>
      <c r="M175" s="55" t="s">
        <v>1125</v>
      </c>
    </row>
    <row r="176" spans="1:13">
      <c r="A176" s="401" t="s">
        <v>1126</v>
      </c>
      <c r="B176" s="106" t="s">
        <v>335</v>
      </c>
      <c r="C176" s="106" t="s">
        <v>7965</v>
      </c>
      <c r="D176" s="109"/>
      <c r="E176" s="109" t="s">
        <v>1127</v>
      </c>
      <c r="F176" s="109" t="s">
        <v>383</v>
      </c>
      <c r="G176" s="55" t="s">
        <v>1128</v>
      </c>
      <c r="H176" s="55" t="s">
        <v>367</v>
      </c>
      <c r="I176" s="111" t="s">
        <v>368</v>
      </c>
      <c r="J176" s="111" t="s">
        <v>368</v>
      </c>
      <c r="K176" s="106" t="s">
        <v>592</v>
      </c>
      <c r="L176" s="55" t="s">
        <v>591</v>
      </c>
      <c r="M176" s="55" t="s">
        <v>383</v>
      </c>
    </row>
    <row r="177" spans="1:13">
      <c r="A177" s="401" t="s">
        <v>1129</v>
      </c>
      <c r="B177" s="106" t="s">
        <v>320</v>
      </c>
      <c r="C177" s="106" t="s">
        <v>7965</v>
      </c>
      <c r="D177" s="125" t="s">
        <v>1130</v>
      </c>
      <c r="E177" s="126" t="s">
        <v>1131</v>
      </c>
      <c r="F177" s="109" t="s">
        <v>1132</v>
      </c>
      <c r="G177" s="590" t="s">
        <v>1133</v>
      </c>
      <c r="H177" s="115" t="s">
        <v>402</v>
      </c>
      <c r="I177" s="111" t="s">
        <v>402</v>
      </c>
      <c r="J177" s="111" t="s">
        <v>402</v>
      </c>
      <c r="K177" s="106"/>
      <c r="L177" s="55"/>
      <c r="M177" s="55" t="s">
        <v>7634</v>
      </c>
    </row>
    <row r="178" spans="1:13">
      <c r="A178" s="401" t="s">
        <v>1134</v>
      </c>
      <c r="B178" s="106" t="s">
        <v>327</v>
      </c>
      <c r="C178" s="106" t="s">
        <v>473</v>
      </c>
      <c r="D178" s="109" t="s">
        <v>383</v>
      </c>
      <c r="E178" s="109" t="s">
        <v>383</v>
      </c>
      <c r="F178" s="109" t="s">
        <v>383</v>
      </c>
      <c r="G178" s="114" t="s">
        <v>383</v>
      </c>
      <c r="H178" s="115" t="s">
        <v>402</v>
      </c>
      <c r="I178" s="111" t="s">
        <v>402</v>
      </c>
      <c r="J178" s="111" t="s">
        <v>402</v>
      </c>
      <c r="K178" s="106" t="s">
        <v>403</v>
      </c>
      <c r="L178" s="55" t="s">
        <v>404</v>
      </c>
      <c r="M178" s="55" t="s">
        <v>383</v>
      </c>
    </row>
    <row r="179" spans="1:13">
      <c r="A179" s="401" t="s">
        <v>1135</v>
      </c>
      <c r="B179" s="106" t="s">
        <v>1136</v>
      </c>
      <c r="C179" s="106" t="s">
        <v>7965</v>
      </c>
      <c r="D179" s="107" t="s">
        <v>355</v>
      </c>
      <c r="E179" s="107" t="s">
        <v>1137</v>
      </c>
      <c r="F179" s="107" t="s">
        <v>355</v>
      </c>
      <c r="G179" s="589" t="s">
        <v>1138</v>
      </c>
      <c r="H179" s="55" t="s">
        <v>799</v>
      </c>
      <c r="I179" s="55" t="s">
        <v>799</v>
      </c>
      <c r="J179" s="55" t="s">
        <v>799</v>
      </c>
      <c r="K179" s="108" t="s">
        <v>369</v>
      </c>
      <c r="L179" s="55" t="s">
        <v>369</v>
      </c>
      <c r="M179" s="55" t="s">
        <v>7634</v>
      </c>
    </row>
    <row r="180" spans="1:13">
      <c r="A180" s="408" t="s">
        <v>1139</v>
      </c>
      <c r="B180" s="106" t="s">
        <v>327</v>
      </c>
      <c r="C180" s="106" t="s">
        <v>473</v>
      </c>
      <c r="D180" s="107" t="s">
        <v>1140</v>
      </c>
      <c r="E180" s="109" t="s">
        <v>355</v>
      </c>
      <c r="F180" s="109" t="s">
        <v>355</v>
      </c>
      <c r="G180" s="114"/>
      <c r="H180" s="108" t="s">
        <v>402</v>
      </c>
      <c r="I180" s="111" t="s">
        <v>402</v>
      </c>
      <c r="J180" s="111" t="s">
        <v>402</v>
      </c>
      <c r="K180" s="106" t="s">
        <v>403</v>
      </c>
      <c r="L180" s="55" t="s">
        <v>404</v>
      </c>
      <c r="M180" s="55" t="s">
        <v>7634</v>
      </c>
    </row>
    <row r="181" spans="1:13">
      <c r="A181" s="408" t="s">
        <v>1141</v>
      </c>
      <c r="B181" s="106" t="s">
        <v>327</v>
      </c>
      <c r="C181" s="106" t="s">
        <v>473</v>
      </c>
      <c r="D181" s="107" t="s">
        <v>1142</v>
      </c>
      <c r="E181" s="109" t="s">
        <v>355</v>
      </c>
      <c r="F181" s="109" t="s">
        <v>355</v>
      </c>
      <c r="G181" s="114"/>
      <c r="H181" s="108" t="s">
        <v>402</v>
      </c>
      <c r="I181" s="111" t="s">
        <v>402</v>
      </c>
      <c r="J181" s="111" t="s">
        <v>402</v>
      </c>
      <c r="K181" s="106" t="s">
        <v>403</v>
      </c>
      <c r="L181" s="55" t="s">
        <v>404</v>
      </c>
      <c r="M181" s="55" t="s">
        <v>7634</v>
      </c>
    </row>
    <row r="182" spans="1:13">
      <c r="A182" s="408" t="s">
        <v>1143</v>
      </c>
      <c r="B182" s="106" t="s">
        <v>327</v>
      </c>
      <c r="C182" s="106" t="s">
        <v>473</v>
      </c>
      <c r="D182" s="107" t="s">
        <v>1144</v>
      </c>
      <c r="E182" s="109" t="s">
        <v>355</v>
      </c>
      <c r="F182" s="109" t="s">
        <v>355</v>
      </c>
      <c r="G182" s="114"/>
      <c r="H182" s="108" t="s">
        <v>402</v>
      </c>
      <c r="I182" s="111" t="s">
        <v>402</v>
      </c>
      <c r="J182" s="111" t="s">
        <v>402</v>
      </c>
      <c r="K182" s="106" t="s">
        <v>403</v>
      </c>
      <c r="L182" s="55" t="s">
        <v>404</v>
      </c>
      <c r="M182" s="55" t="s">
        <v>7634</v>
      </c>
    </row>
    <row r="183" spans="1:13">
      <c r="A183" s="408" t="s">
        <v>1145</v>
      </c>
      <c r="B183" s="106" t="s">
        <v>327</v>
      </c>
      <c r="C183" s="106" t="s">
        <v>473</v>
      </c>
      <c r="D183" s="107" t="s">
        <v>1146</v>
      </c>
      <c r="E183" s="109" t="s">
        <v>355</v>
      </c>
      <c r="F183" s="109" t="s">
        <v>355</v>
      </c>
      <c r="G183" s="114"/>
      <c r="H183" s="108" t="s">
        <v>402</v>
      </c>
      <c r="I183" s="111" t="s">
        <v>402</v>
      </c>
      <c r="J183" s="111" t="s">
        <v>402</v>
      </c>
      <c r="K183" s="106" t="s">
        <v>403</v>
      </c>
      <c r="L183" s="55" t="s">
        <v>404</v>
      </c>
      <c r="M183" s="55" t="s">
        <v>7634</v>
      </c>
    </row>
    <row r="184" spans="1:13">
      <c r="A184" s="408" t="s">
        <v>1147</v>
      </c>
      <c r="B184" s="106" t="s">
        <v>327</v>
      </c>
      <c r="C184" s="106" t="s">
        <v>473</v>
      </c>
      <c r="D184" s="107" t="s">
        <v>1148</v>
      </c>
      <c r="E184" s="109" t="s">
        <v>355</v>
      </c>
      <c r="F184" s="109" t="s">
        <v>355</v>
      </c>
      <c r="G184" s="114"/>
      <c r="H184" s="108" t="s">
        <v>402</v>
      </c>
      <c r="I184" s="111" t="s">
        <v>402</v>
      </c>
      <c r="J184" s="111" t="s">
        <v>402</v>
      </c>
      <c r="K184" s="106" t="s">
        <v>403</v>
      </c>
      <c r="L184" s="55" t="s">
        <v>404</v>
      </c>
      <c r="M184" s="55" t="s">
        <v>7634</v>
      </c>
    </row>
    <row r="185" spans="1:13">
      <c r="A185" s="408" t="s">
        <v>1149</v>
      </c>
      <c r="B185" s="106" t="s">
        <v>327</v>
      </c>
      <c r="C185" s="106" t="s">
        <v>473</v>
      </c>
      <c r="D185" s="107" t="s">
        <v>1150</v>
      </c>
      <c r="E185" s="109" t="s">
        <v>355</v>
      </c>
      <c r="F185" s="109" t="s">
        <v>355</v>
      </c>
      <c r="G185" s="114"/>
      <c r="H185" s="108" t="s">
        <v>402</v>
      </c>
      <c r="I185" s="111" t="s">
        <v>402</v>
      </c>
      <c r="J185" s="111" t="s">
        <v>402</v>
      </c>
      <c r="K185" s="106" t="s">
        <v>403</v>
      </c>
      <c r="L185" s="55" t="s">
        <v>404</v>
      </c>
      <c r="M185" s="55" t="s">
        <v>7634</v>
      </c>
    </row>
    <row r="186" spans="1:13">
      <c r="A186" s="408" t="s">
        <v>1151</v>
      </c>
      <c r="B186" s="106" t="s">
        <v>327</v>
      </c>
      <c r="C186" s="106" t="s">
        <v>473</v>
      </c>
      <c r="D186" s="107" t="s">
        <v>1152</v>
      </c>
      <c r="E186" s="109" t="s">
        <v>355</v>
      </c>
      <c r="F186" s="109" t="s">
        <v>355</v>
      </c>
      <c r="G186" s="114"/>
      <c r="H186" s="108" t="s">
        <v>402</v>
      </c>
      <c r="I186" s="111" t="s">
        <v>402</v>
      </c>
      <c r="J186" s="111" t="s">
        <v>402</v>
      </c>
      <c r="K186" s="106" t="s">
        <v>403</v>
      </c>
      <c r="L186" s="55" t="s">
        <v>404</v>
      </c>
      <c r="M186" s="55" t="s">
        <v>7634</v>
      </c>
    </row>
    <row r="187" spans="1:13">
      <c r="A187" s="408" t="s">
        <v>1153</v>
      </c>
      <c r="B187" s="106" t="s">
        <v>327</v>
      </c>
      <c r="C187" s="106" t="s">
        <v>473</v>
      </c>
      <c r="D187" s="107" t="s">
        <v>1154</v>
      </c>
      <c r="E187" s="109" t="s">
        <v>355</v>
      </c>
      <c r="F187" s="109" t="s">
        <v>355</v>
      </c>
      <c r="G187" s="114"/>
      <c r="H187" s="108" t="s">
        <v>402</v>
      </c>
      <c r="I187" s="111" t="s">
        <v>402</v>
      </c>
      <c r="J187" s="111" t="s">
        <v>402</v>
      </c>
      <c r="K187" s="106" t="s">
        <v>403</v>
      </c>
      <c r="L187" s="55" t="s">
        <v>404</v>
      </c>
      <c r="M187" s="55" t="s">
        <v>7634</v>
      </c>
    </row>
    <row r="188" spans="1:13">
      <c r="A188" s="408" t="s">
        <v>1155</v>
      </c>
      <c r="B188" s="106" t="s">
        <v>327</v>
      </c>
      <c r="C188" s="106" t="s">
        <v>473</v>
      </c>
      <c r="D188" s="107" t="s">
        <v>1156</v>
      </c>
      <c r="E188" s="109" t="s">
        <v>355</v>
      </c>
      <c r="F188" s="109" t="s">
        <v>355</v>
      </c>
      <c r="G188" s="114"/>
      <c r="H188" s="108" t="s">
        <v>402</v>
      </c>
      <c r="I188" s="111" t="s">
        <v>402</v>
      </c>
      <c r="J188" s="111" t="s">
        <v>402</v>
      </c>
      <c r="K188" s="106" t="s">
        <v>403</v>
      </c>
      <c r="L188" s="55" t="s">
        <v>404</v>
      </c>
      <c r="M188" s="55" t="s">
        <v>7634</v>
      </c>
    </row>
    <row r="189" spans="1:13">
      <c r="A189" s="408" t="s">
        <v>1157</v>
      </c>
      <c r="B189" s="106" t="s">
        <v>327</v>
      </c>
      <c r="C189" s="106" t="s">
        <v>473</v>
      </c>
      <c r="D189" s="107" t="s">
        <v>1158</v>
      </c>
      <c r="E189" s="109" t="s">
        <v>355</v>
      </c>
      <c r="F189" s="109" t="s">
        <v>355</v>
      </c>
      <c r="G189" s="114"/>
      <c r="H189" s="108" t="s">
        <v>402</v>
      </c>
      <c r="I189" s="111" t="s">
        <v>402</v>
      </c>
      <c r="J189" s="111" t="s">
        <v>402</v>
      </c>
      <c r="K189" s="106" t="s">
        <v>403</v>
      </c>
      <c r="L189" s="55" t="s">
        <v>404</v>
      </c>
      <c r="M189" s="55" t="s">
        <v>7634</v>
      </c>
    </row>
    <row r="190" spans="1:13">
      <c r="A190" s="408" t="s">
        <v>1159</v>
      </c>
      <c r="B190" s="106" t="s">
        <v>327</v>
      </c>
      <c r="C190" s="106" t="s">
        <v>473</v>
      </c>
      <c r="D190" s="107" t="s">
        <v>1160</v>
      </c>
      <c r="E190" s="109" t="s">
        <v>355</v>
      </c>
      <c r="F190" s="109" t="s">
        <v>355</v>
      </c>
      <c r="G190" s="114"/>
      <c r="H190" s="108" t="s">
        <v>402</v>
      </c>
      <c r="I190" s="111" t="s">
        <v>402</v>
      </c>
      <c r="J190" s="111" t="s">
        <v>402</v>
      </c>
      <c r="K190" s="106" t="s">
        <v>403</v>
      </c>
      <c r="L190" s="55" t="s">
        <v>404</v>
      </c>
      <c r="M190" s="55" t="s">
        <v>7634</v>
      </c>
    </row>
    <row r="191" spans="1:13">
      <c r="A191" s="408" t="s">
        <v>1161</v>
      </c>
      <c r="B191" s="106" t="s">
        <v>327</v>
      </c>
      <c r="C191" s="106" t="s">
        <v>473</v>
      </c>
      <c r="D191" s="107" t="s">
        <v>1162</v>
      </c>
      <c r="E191" s="109" t="s">
        <v>355</v>
      </c>
      <c r="F191" s="109" t="s">
        <v>355</v>
      </c>
      <c r="G191" s="114"/>
      <c r="H191" s="108" t="s">
        <v>402</v>
      </c>
      <c r="I191" s="111" t="s">
        <v>402</v>
      </c>
      <c r="J191" s="111" t="s">
        <v>402</v>
      </c>
      <c r="K191" s="106" t="s">
        <v>403</v>
      </c>
      <c r="L191" s="55" t="s">
        <v>404</v>
      </c>
      <c r="M191" s="55" t="s">
        <v>7634</v>
      </c>
    </row>
    <row r="192" spans="1:13">
      <c r="A192" s="408" t="s">
        <v>1163</v>
      </c>
      <c r="B192" s="106" t="s">
        <v>327</v>
      </c>
      <c r="C192" s="106" t="s">
        <v>473</v>
      </c>
      <c r="D192" s="107" t="s">
        <v>1164</v>
      </c>
      <c r="E192" s="109" t="s">
        <v>355</v>
      </c>
      <c r="F192" s="109" t="s">
        <v>355</v>
      </c>
      <c r="G192" s="114"/>
      <c r="H192" s="108" t="s">
        <v>402</v>
      </c>
      <c r="I192" s="111" t="s">
        <v>402</v>
      </c>
      <c r="J192" s="111" t="s">
        <v>402</v>
      </c>
      <c r="K192" s="106" t="s">
        <v>403</v>
      </c>
      <c r="L192" s="55" t="s">
        <v>404</v>
      </c>
      <c r="M192" s="55" t="s">
        <v>7634</v>
      </c>
    </row>
    <row r="193" spans="1:13">
      <c r="A193" s="408" t="s">
        <v>1165</v>
      </c>
      <c r="B193" s="106" t="s">
        <v>327</v>
      </c>
      <c r="C193" s="106" t="s">
        <v>473</v>
      </c>
      <c r="D193" s="107" t="s">
        <v>1166</v>
      </c>
      <c r="E193" s="109" t="s">
        <v>355</v>
      </c>
      <c r="F193" s="109" t="s">
        <v>355</v>
      </c>
      <c r="G193" s="114"/>
      <c r="H193" s="108" t="s">
        <v>402</v>
      </c>
      <c r="I193" s="111" t="s">
        <v>402</v>
      </c>
      <c r="J193" s="111" t="s">
        <v>402</v>
      </c>
      <c r="K193" s="106" t="s">
        <v>403</v>
      </c>
      <c r="L193" s="55" t="s">
        <v>404</v>
      </c>
      <c r="M193" s="55" t="s">
        <v>7634</v>
      </c>
    </row>
    <row r="194" spans="1:13">
      <c r="A194" s="408" t="s">
        <v>1167</v>
      </c>
      <c r="B194" s="106" t="s">
        <v>327</v>
      </c>
      <c r="C194" s="106" t="s">
        <v>473</v>
      </c>
      <c r="D194" s="107" t="s">
        <v>1168</v>
      </c>
      <c r="E194" s="109" t="s">
        <v>355</v>
      </c>
      <c r="F194" s="109" t="s">
        <v>355</v>
      </c>
      <c r="G194" s="114"/>
      <c r="H194" s="108" t="s">
        <v>402</v>
      </c>
      <c r="I194" s="111" t="s">
        <v>402</v>
      </c>
      <c r="J194" s="111" t="s">
        <v>402</v>
      </c>
      <c r="K194" s="106" t="s">
        <v>403</v>
      </c>
      <c r="L194" s="55" t="s">
        <v>404</v>
      </c>
      <c r="M194" s="55" t="s">
        <v>7634</v>
      </c>
    </row>
    <row r="195" spans="1:13">
      <c r="A195" s="401" t="s">
        <v>1169</v>
      </c>
      <c r="B195" s="106" t="s">
        <v>327</v>
      </c>
      <c r="C195" s="106" t="s">
        <v>473</v>
      </c>
      <c r="D195" s="109" t="s">
        <v>1170</v>
      </c>
      <c r="E195" s="109" t="s">
        <v>1171</v>
      </c>
      <c r="F195" s="109" t="s">
        <v>1172</v>
      </c>
      <c r="G195" s="117" t="s">
        <v>383</v>
      </c>
      <c r="H195" s="115" t="s">
        <v>402</v>
      </c>
      <c r="I195" s="111" t="s">
        <v>402</v>
      </c>
      <c r="J195" s="111" t="s">
        <v>402</v>
      </c>
      <c r="K195" s="106" t="s">
        <v>403</v>
      </c>
      <c r="L195" s="55" t="s">
        <v>404</v>
      </c>
      <c r="M195" s="55" t="s">
        <v>1173</v>
      </c>
    </row>
    <row r="196" spans="1:13">
      <c r="A196" s="408" t="s">
        <v>1174</v>
      </c>
      <c r="B196" s="106" t="s">
        <v>327</v>
      </c>
      <c r="C196" s="106" t="s">
        <v>473</v>
      </c>
      <c r="D196" s="107" t="s">
        <v>1175</v>
      </c>
      <c r="E196" s="109" t="s">
        <v>355</v>
      </c>
      <c r="F196" s="109" t="s">
        <v>355</v>
      </c>
      <c r="G196" s="114"/>
      <c r="H196" s="108" t="s">
        <v>402</v>
      </c>
      <c r="I196" s="111" t="s">
        <v>402</v>
      </c>
      <c r="J196" s="111" t="s">
        <v>402</v>
      </c>
      <c r="K196" s="106" t="s">
        <v>403</v>
      </c>
      <c r="L196" s="55" t="s">
        <v>404</v>
      </c>
      <c r="M196" s="55" t="s">
        <v>7634</v>
      </c>
    </row>
    <row r="197" spans="1:13">
      <c r="A197" s="401" t="s">
        <v>1176</v>
      </c>
      <c r="B197" s="106" t="s">
        <v>984</v>
      </c>
      <c r="C197" s="106" t="s">
        <v>473</v>
      </c>
      <c r="D197" s="109" t="s">
        <v>1177</v>
      </c>
      <c r="E197" s="109" t="s">
        <v>1178</v>
      </c>
      <c r="F197" s="109" t="s">
        <v>1179</v>
      </c>
      <c r="G197" s="112" t="s">
        <v>1180</v>
      </c>
      <c r="H197" s="115" t="s">
        <v>402</v>
      </c>
      <c r="I197" s="111" t="s">
        <v>402</v>
      </c>
      <c r="J197" s="111" t="s">
        <v>402</v>
      </c>
      <c r="K197" s="108" t="s">
        <v>592</v>
      </c>
      <c r="L197" s="55"/>
      <c r="M197" s="55" t="s">
        <v>7634</v>
      </c>
    </row>
    <row r="198" spans="1:13">
      <c r="A198" s="401" t="s">
        <v>1181</v>
      </c>
      <c r="B198" s="106" t="s">
        <v>327</v>
      </c>
      <c r="C198" s="106" t="s">
        <v>473</v>
      </c>
      <c r="D198" s="128" t="s">
        <v>1182</v>
      </c>
      <c r="E198" s="109" t="s">
        <v>1183</v>
      </c>
      <c r="F198" s="109" t="s">
        <v>1184</v>
      </c>
      <c r="G198" s="117" t="s">
        <v>383</v>
      </c>
      <c r="H198" s="115" t="s">
        <v>402</v>
      </c>
      <c r="I198" s="111" t="s">
        <v>402</v>
      </c>
      <c r="J198" s="111" t="s">
        <v>402</v>
      </c>
      <c r="K198" s="106" t="s">
        <v>403</v>
      </c>
      <c r="L198" s="55" t="s">
        <v>404</v>
      </c>
      <c r="M198" s="55" t="s">
        <v>1173</v>
      </c>
    </row>
    <row r="199" spans="1:13">
      <c r="A199" s="408" t="s">
        <v>1185</v>
      </c>
      <c r="B199" s="106" t="s">
        <v>327</v>
      </c>
      <c r="C199" s="106" t="s">
        <v>473</v>
      </c>
      <c r="D199" s="107" t="s">
        <v>1186</v>
      </c>
      <c r="E199" s="109" t="s">
        <v>355</v>
      </c>
      <c r="F199" s="109" t="s">
        <v>355</v>
      </c>
      <c r="G199" s="114"/>
      <c r="H199" s="108" t="s">
        <v>402</v>
      </c>
      <c r="I199" s="111" t="s">
        <v>402</v>
      </c>
      <c r="J199" s="111" t="s">
        <v>402</v>
      </c>
      <c r="K199" s="106" t="s">
        <v>403</v>
      </c>
      <c r="L199" s="55" t="s">
        <v>404</v>
      </c>
      <c r="M199" s="55" t="s">
        <v>7634</v>
      </c>
    </row>
    <row r="200" spans="1:13">
      <c r="A200" s="408" t="s">
        <v>1187</v>
      </c>
      <c r="B200" s="106" t="s">
        <v>327</v>
      </c>
      <c r="C200" s="106" t="s">
        <v>473</v>
      </c>
      <c r="D200" s="107" t="s">
        <v>1188</v>
      </c>
      <c r="E200" s="109" t="s">
        <v>355</v>
      </c>
      <c r="F200" s="109" t="s">
        <v>355</v>
      </c>
      <c r="G200" s="114"/>
      <c r="H200" s="108" t="s">
        <v>402</v>
      </c>
      <c r="I200" s="111" t="s">
        <v>402</v>
      </c>
      <c r="J200" s="111" t="s">
        <v>402</v>
      </c>
      <c r="K200" s="106" t="s">
        <v>403</v>
      </c>
      <c r="L200" s="55" t="s">
        <v>404</v>
      </c>
      <c r="M200" s="55" t="s">
        <v>7634</v>
      </c>
    </row>
    <row r="201" spans="1:13">
      <c r="A201" s="408" t="s">
        <v>1189</v>
      </c>
      <c r="B201" s="106" t="s">
        <v>327</v>
      </c>
      <c r="C201" s="106" t="s">
        <v>473</v>
      </c>
      <c r="D201" s="107" t="s">
        <v>1190</v>
      </c>
      <c r="E201" s="109" t="s">
        <v>355</v>
      </c>
      <c r="F201" s="109" t="s">
        <v>355</v>
      </c>
      <c r="G201" s="114"/>
      <c r="H201" s="108" t="s">
        <v>402</v>
      </c>
      <c r="I201" s="111" t="s">
        <v>402</v>
      </c>
      <c r="J201" s="111" t="s">
        <v>402</v>
      </c>
      <c r="K201" s="106" t="s">
        <v>403</v>
      </c>
      <c r="L201" s="55" t="s">
        <v>404</v>
      </c>
      <c r="M201" s="55" t="s">
        <v>7634</v>
      </c>
    </row>
    <row r="202" spans="1:13">
      <c r="A202" s="408" t="s">
        <v>1191</v>
      </c>
      <c r="B202" s="106" t="s">
        <v>327</v>
      </c>
      <c r="C202" s="106" t="s">
        <v>473</v>
      </c>
      <c r="D202" s="107" t="s">
        <v>1192</v>
      </c>
      <c r="E202" s="109" t="s">
        <v>355</v>
      </c>
      <c r="F202" s="109" t="s">
        <v>355</v>
      </c>
      <c r="G202" s="114"/>
      <c r="H202" s="108" t="s">
        <v>402</v>
      </c>
      <c r="I202" s="111" t="s">
        <v>402</v>
      </c>
      <c r="J202" s="111" t="s">
        <v>402</v>
      </c>
      <c r="K202" s="106" t="s">
        <v>403</v>
      </c>
      <c r="L202" s="55" t="s">
        <v>404</v>
      </c>
      <c r="M202" s="55" t="s">
        <v>7634</v>
      </c>
    </row>
    <row r="203" spans="1:13">
      <c r="A203" s="408" t="s">
        <v>1193</v>
      </c>
      <c r="B203" s="106" t="s">
        <v>327</v>
      </c>
      <c r="C203" s="106" t="s">
        <v>473</v>
      </c>
      <c r="D203" s="107" t="s">
        <v>1194</v>
      </c>
      <c r="E203" s="109" t="s">
        <v>355</v>
      </c>
      <c r="F203" s="109" t="s">
        <v>355</v>
      </c>
      <c r="G203" s="114"/>
      <c r="H203" s="108" t="s">
        <v>402</v>
      </c>
      <c r="I203" s="111" t="s">
        <v>402</v>
      </c>
      <c r="J203" s="111" t="s">
        <v>402</v>
      </c>
      <c r="K203" s="106" t="s">
        <v>403</v>
      </c>
      <c r="L203" s="55" t="s">
        <v>404</v>
      </c>
      <c r="M203" s="55" t="s">
        <v>7634</v>
      </c>
    </row>
    <row r="204" spans="1:13">
      <c r="A204" s="401" t="s">
        <v>1195</v>
      </c>
      <c r="B204" s="106" t="s">
        <v>327</v>
      </c>
      <c r="C204" s="106" t="s">
        <v>473</v>
      </c>
      <c r="D204" s="109" t="s">
        <v>1196</v>
      </c>
      <c r="E204" s="109" t="s">
        <v>1197</v>
      </c>
      <c r="F204" s="109" t="s">
        <v>1198</v>
      </c>
      <c r="G204" s="590" t="s">
        <v>1199</v>
      </c>
      <c r="H204" s="115" t="s">
        <v>402</v>
      </c>
      <c r="I204" s="111" t="s">
        <v>402</v>
      </c>
      <c r="J204" s="111" t="s">
        <v>402</v>
      </c>
      <c r="K204" s="106" t="s">
        <v>403</v>
      </c>
      <c r="L204" s="55" t="s">
        <v>1200</v>
      </c>
      <c r="M204" s="113" t="s">
        <v>1173</v>
      </c>
    </row>
    <row r="205" spans="1:13">
      <c r="A205" s="408" t="s">
        <v>1201</v>
      </c>
      <c r="B205" s="106" t="s">
        <v>327</v>
      </c>
      <c r="C205" s="106" t="s">
        <v>473</v>
      </c>
      <c r="D205" s="107" t="s">
        <v>1202</v>
      </c>
      <c r="E205" s="109" t="s">
        <v>355</v>
      </c>
      <c r="F205" s="109" t="s">
        <v>355</v>
      </c>
      <c r="G205" s="114"/>
      <c r="H205" s="108" t="s">
        <v>402</v>
      </c>
      <c r="I205" s="111" t="s">
        <v>402</v>
      </c>
      <c r="J205" s="111" t="s">
        <v>402</v>
      </c>
      <c r="K205" s="106" t="s">
        <v>403</v>
      </c>
      <c r="L205" s="55" t="s">
        <v>404</v>
      </c>
      <c r="M205" s="55" t="s">
        <v>7634</v>
      </c>
    </row>
    <row r="206" spans="1:13">
      <c r="A206" s="408" t="s">
        <v>1203</v>
      </c>
      <c r="B206" s="106" t="s">
        <v>327</v>
      </c>
      <c r="C206" s="106" t="s">
        <v>473</v>
      </c>
      <c r="D206" s="107" t="s">
        <v>1204</v>
      </c>
      <c r="E206" s="109" t="s">
        <v>355</v>
      </c>
      <c r="F206" s="109" t="s">
        <v>355</v>
      </c>
      <c r="G206" s="114"/>
      <c r="H206" s="108" t="s">
        <v>402</v>
      </c>
      <c r="I206" s="111" t="s">
        <v>402</v>
      </c>
      <c r="J206" s="111" t="s">
        <v>402</v>
      </c>
      <c r="K206" s="106" t="s">
        <v>403</v>
      </c>
      <c r="L206" s="55" t="s">
        <v>404</v>
      </c>
      <c r="M206" s="55" t="s">
        <v>7634</v>
      </c>
    </row>
    <row r="207" spans="1:13">
      <c r="A207" s="408" t="s">
        <v>1205</v>
      </c>
      <c r="B207" s="106" t="s">
        <v>327</v>
      </c>
      <c r="C207" s="106" t="s">
        <v>473</v>
      </c>
      <c r="D207" s="107" t="s">
        <v>1206</v>
      </c>
      <c r="E207" s="109" t="s">
        <v>355</v>
      </c>
      <c r="F207" s="109" t="s">
        <v>355</v>
      </c>
      <c r="G207" s="114"/>
      <c r="H207" s="108" t="s">
        <v>402</v>
      </c>
      <c r="I207" s="111" t="s">
        <v>402</v>
      </c>
      <c r="J207" s="111" t="s">
        <v>402</v>
      </c>
      <c r="K207" s="106" t="s">
        <v>403</v>
      </c>
      <c r="L207" s="55" t="s">
        <v>404</v>
      </c>
      <c r="M207" s="55" t="s">
        <v>7634</v>
      </c>
    </row>
    <row r="208" spans="1:13">
      <c r="A208" s="408" t="s">
        <v>1207</v>
      </c>
      <c r="B208" s="106" t="s">
        <v>327</v>
      </c>
      <c r="C208" s="106" t="s">
        <v>473</v>
      </c>
      <c r="D208" s="107" t="s">
        <v>1208</v>
      </c>
      <c r="E208" s="109" t="s">
        <v>355</v>
      </c>
      <c r="F208" s="109" t="s">
        <v>355</v>
      </c>
      <c r="G208" s="114"/>
      <c r="H208" s="108" t="s">
        <v>402</v>
      </c>
      <c r="I208" s="111" t="s">
        <v>402</v>
      </c>
      <c r="J208" s="111" t="s">
        <v>402</v>
      </c>
      <c r="K208" s="106" t="s">
        <v>403</v>
      </c>
      <c r="L208" s="55" t="s">
        <v>404</v>
      </c>
      <c r="M208" s="55" t="s">
        <v>7634</v>
      </c>
    </row>
    <row r="209" spans="1:13">
      <c r="A209" s="408" t="s">
        <v>1209</v>
      </c>
      <c r="B209" s="106" t="s">
        <v>327</v>
      </c>
      <c r="C209" s="106" t="s">
        <v>473</v>
      </c>
      <c r="D209" s="107" t="s">
        <v>1210</v>
      </c>
      <c r="E209" s="109" t="s">
        <v>355</v>
      </c>
      <c r="F209" s="109" t="s">
        <v>355</v>
      </c>
      <c r="G209" s="114"/>
      <c r="H209" s="108" t="s">
        <v>402</v>
      </c>
      <c r="I209" s="111" t="s">
        <v>402</v>
      </c>
      <c r="J209" s="111" t="s">
        <v>402</v>
      </c>
      <c r="K209" s="106" t="s">
        <v>403</v>
      </c>
      <c r="L209" s="55" t="s">
        <v>404</v>
      </c>
      <c r="M209" s="55" t="s">
        <v>7634</v>
      </c>
    </row>
    <row r="210" spans="1:13">
      <c r="A210" s="408" t="s">
        <v>1211</v>
      </c>
      <c r="B210" s="106" t="s">
        <v>327</v>
      </c>
      <c r="C210" s="106" t="s">
        <v>473</v>
      </c>
      <c r="D210" s="107" t="s">
        <v>1212</v>
      </c>
      <c r="E210" s="109" t="s">
        <v>355</v>
      </c>
      <c r="F210" s="109" t="s">
        <v>355</v>
      </c>
      <c r="G210" s="114"/>
      <c r="H210" s="108" t="s">
        <v>402</v>
      </c>
      <c r="I210" s="111" t="s">
        <v>402</v>
      </c>
      <c r="J210" s="111" t="s">
        <v>402</v>
      </c>
      <c r="K210" s="106" t="s">
        <v>403</v>
      </c>
      <c r="L210" s="55" t="s">
        <v>404</v>
      </c>
      <c r="M210" s="55" t="s">
        <v>7634</v>
      </c>
    </row>
    <row r="211" spans="1:13">
      <c r="A211" s="408" t="s">
        <v>1213</v>
      </c>
      <c r="B211" s="106" t="s">
        <v>327</v>
      </c>
      <c r="C211" s="106" t="s">
        <v>473</v>
      </c>
      <c r="D211" s="107" t="s">
        <v>1214</v>
      </c>
      <c r="E211" s="109" t="s">
        <v>355</v>
      </c>
      <c r="F211" s="109" t="s">
        <v>355</v>
      </c>
      <c r="G211" s="114"/>
      <c r="H211" s="108" t="s">
        <v>402</v>
      </c>
      <c r="I211" s="111" t="s">
        <v>402</v>
      </c>
      <c r="J211" s="111" t="s">
        <v>402</v>
      </c>
      <c r="K211" s="106" t="s">
        <v>403</v>
      </c>
      <c r="L211" s="55" t="s">
        <v>404</v>
      </c>
      <c r="M211" s="55" t="s">
        <v>7634</v>
      </c>
    </row>
    <row r="212" spans="1:13">
      <c r="A212" s="408" t="s">
        <v>1215</v>
      </c>
      <c r="B212" s="106" t="s">
        <v>327</v>
      </c>
      <c r="C212" s="106" t="s">
        <v>473</v>
      </c>
      <c r="D212" s="107" t="s">
        <v>1216</v>
      </c>
      <c r="E212" s="109" t="s">
        <v>355</v>
      </c>
      <c r="F212" s="109" t="s">
        <v>355</v>
      </c>
      <c r="G212" s="114"/>
      <c r="H212" s="108" t="s">
        <v>402</v>
      </c>
      <c r="I212" s="111" t="s">
        <v>402</v>
      </c>
      <c r="J212" s="111" t="s">
        <v>402</v>
      </c>
      <c r="K212" s="106" t="s">
        <v>403</v>
      </c>
      <c r="L212" s="55" t="s">
        <v>404</v>
      </c>
      <c r="M212" s="55" t="s">
        <v>7634</v>
      </c>
    </row>
    <row r="213" spans="1:13">
      <c r="A213" s="408" t="s">
        <v>1217</v>
      </c>
      <c r="B213" s="106" t="s">
        <v>327</v>
      </c>
      <c r="C213" s="106" t="s">
        <v>473</v>
      </c>
      <c r="D213" s="107" t="s">
        <v>1218</v>
      </c>
      <c r="E213" s="109" t="s">
        <v>355</v>
      </c>
      <c r="F213" s="109" t="s">
        <v>355</v>
      </c>
      <c r="G213" s="114"/>
      <c r="H213" s="108" t="s">
        <v>402</v>
      </c>
      <c r="I213" s="111" t="s">
        <v>402</v>
      </c>
      <c r="J213" s="111" t="s">
        <v>402</v>
      </c>
      <c r="K213" s="106" t="s">
        <v>403</v>
      </c>
      <c r="L213" s="55" t="s">
        <v>404</v>
      </c>
      <c r="M213" s="55" t="s">
        <v>7634</v>
      </c>
    </row>
    <row r="214" spans="1:13">
      <c r="A214" s="408" t="s">
        <v>1219</v>
      </c>
      <c r="B214" s="106" t="s">
        <v>327</v>
      </c>
      <c r="C214" s="106" t="s">
        <v>473</v>
      </c>
      <c r="D214" s="107" t="s">
        <v>1220</v>
      </c>
      <c r="E214" s="109" t="s">
        <v>355</v>
      </c>
      <c r="F214" s="109" t="s">
        <v>355</v>
      </c>
      <c r="G214" s="114"/>
      <c r="H214" s="108" t="s">
        <v>402</v>
      </c>
      <c r="I214" s="111" t="s">
        <v>402</v>
      </c>
      <c r="J214" s="111" t="s">
        <v>402</v>
      </c>
      <c r="K214" s="106" t="s">
        <v>403</v>
      </c>
      <c r="L214" s="55" t="s">
        <v>404</v>
      </c>
      <c r="M214" s="55" t="s">
        <v>7634</v>
      </c>
    </row>
    <row r="215" spans="1:13">
      <c r="A215" s="408" t="s">
        <v>1221</v>
      </c>
      <c r="B215" s="106" t="s">
        <v>327</v>
      </c>
      <c r="C215" s="106" t="s">
        <v>473</v>
      </c>
      <c r="D215" s="107" t="s">
        <v>1222</v>
      </c>
      <c r="E215" s="109" t="s">
        <v>355</v>
      </c>
      <c r="F215" s="109" t="s">
        <v>355</v>
      </c>
      <c r="G215" s="114"/>
      <c r="H215" s="108" t="s">
        <v>402</v>
      </c>
      <c r="I215" s="111" t="s">
        <v>402</v>
      </c>
      <c r="J215" s="111" t="s">
        <v>402</v>
      </c>
      <c r="K215" s="106" t="s">
        <v>403</v>
      </c>
      <c r="L215" s="55" t="s">
        <v>404</v>
      </c>
      <c r="M215" s="55" t="s">
        <v>7634</v>
      </c>
    </row>
    <row r="216" spans="1:13">
      <c r="A216" s="578" t="s">
        <v>1223</v>
      </c>
      <c r="B216" s="586" t="s">
        <v>473</v>
      </c>
      <c r="C216" s="586" t="s">
        <v>473</v>
      </c>
      <c r="D216" s="586" t="s">
        <v>1224</v>
      </c>
      <c r="E216" s="586" t="s">
        <v>1225</v>
      </c>
      <c r="F216" s="586" t="s">
        <v>1226</v>
      </c>
      <c r="G216" s="586" t="s">
        <v>377</v>
      </c>
      <c r="H216" s="586" t="s">
        <v>359</v>
      </c>
      <c r="I216" s="587" t="s">
        <v>359</v>
      </c>
      <c r="J216" s="586"/>
      <c r="K216" s="586" t="s">
        <v>360</v>
      </c>
      <c r="L216" s="586" t="s">
        <v>361</v>
      </c>
      <c r="M216" s="55" t="s">
        <v>7634</v>
      </c>
    </row>
    <row r="217" spans="1:13">
      <c r="A217" s="408" t="s">
        <v>1227</v>
      </c>
      <c r="B217" s="106" t="s">
        <v>327</v>
      </c>
      <c r="C217" s="106" t="s">
        <v>473</v>
      </c>
      <c r="D217" s="107" t="s">
        <v>1228</v>
      </c>
      <c r="E217" s="109" t="s">
        <v>355</v>
      </c>
      <c r="F217" s="109" t="s">
        <v>355</v>
      </c>
      <c r="G217" s="114"/>
      <c r="H217" s="108" t="s">
        <v>402</v>
      </c>
      <c r="I217" s="111" t="s">
        <v>402</v>
      </c>
      <c r="J217" s="111" t="s">
        <v>402</v>
      </c>
      <c r="K217" s="106" t="s">
        <v>403</v>
      </c>
      <c r="L217" s="55" t="s">
        <v>404</v>
      </c>
      <c r="M217" s="55" t="s">
        <v>7634</v>
      </c>
    </row>
    <row r="218" spans="1:13" ht="28.5" customHeight="1">
      <c r="A218" s="408" t="s">
        <v>1229</v>
      </c>
      <c r="B218" s="106" t="s">
        <v>327</v>
      </c>
      <c r="C218" s="106" t="s">
        <v>473</v>
      </c>
      <c r="D218" s="107" t="s">
        <v>1230</v>
      </c>
      <c r="E218" s="109" t="s">
        <v>355</v>
      </c>
      <c r="F218" s="109" t="s">
        <v>355</v>
      </c>
      <c r="G218" s="114"/>
      <c r="H218" s="108" t="s">
        <v>402</v>
      </c>
      <c r="I218" s="111" t="s">
        <v>402</v>
      </c>
      <c r="J218" s="111" t="s">
        <v>402</v>
      </c>
      <c r="K218" s="106" t="s">
        <v>403</v>
      </c>
      <c r="L218" s="55" t="s">
        <v>404</v>
      </c>
      <c r="M218" s="55" t="s">
        <v>7634</v>
      </c>
    </row>
    <row r="219" spans="1:13">
      <c r="A219" s="408" t="s">
        <v>1231</v>
      </c>
      <c r="B219" s="106" t="s">
        <v>327</v>
      </c>
      <c r="C219" s="106" t="s">
        <v>473</v>
      </c>
      <c r="D219" s="107" t="s">
        <v>1232</v>
      </c>
      <c r="E219" s="109" t="s">
        <v>355</v>
      </c>
      <c r="F219" s="109" t="s">
        <v>355</v>
      </c>
      <c r="G219" s="114"/>
      <c r="H219" s="108" t="s">
        <v>402</v>
      </c>
      <c r="I219" s="111" t="s">
        <v>402</v>
      </c>
      <c r="J219" s="111" t="s">
        <v>402</v>
      </c>
      <c r="K219" s="106" t="s">
        <v>403</v>
      </c>
      <c r="L219" s="55" t="s">
        <v>404</v>
      </c>
      <c r="M219" s="55" t="s">
        <v>7634</v>
      </c>
    </row>
    <row r="220" spans="1:13">
      <c r="A220" s="408" t="s">
        <v>1233</v>
      </c>
      <c r="B220" s="106" t="s">
        <v>327</v>
      </c>
      <c r="C220" s="106" t="s">
        <v>473</v>
      </c>
      <c r="D220" s="107" t="s">
        <v>1234</v>
      </c>
      <c r="E220" s="109" t="s">
        <v>355</v>
      </c>
      <c r="F220" s="109" t="s">
        <v>355</v>
      </c>
      <c r="G220" s="114"/>
      <c r="H220" s="108" t="s">
        <v>402</v>
      </c>
      <c r="I220" s="111" t="s">
        <v>402</v>
      </c>
      <c r="J220" s="111" t="s">
        <v>402</v>
      </c>
      <c r="K220" s="106" t="s">
        <v>403</v>
      </c>
      <c r="L220" s="55" t="s">
        <v>404</v>
      </c>
      <c r="M220" s="55" t="s">
        <v>7634</v>
      </c>
    </row>
    <row r="221" spans="1:13">
      <c r="A221" s="408" t="s">
        <v>1235</v>
      </c>
      <c r="B221" s="106" t="s">
        <v>327</v>
      </c>
      <c r="C221" s="106" t="s">
        <v>473</v>
      </c>
      <c r="D221" s="107" t="s">
        <v>1236</v>
      </c>
      <c r="E221" s="109" t="s">
        <v>355</v>
      </c>
      <c r="F221" s="109" t="s">
        <v>355</v>
      </c>
      <c r="G221" s="114"/>
      <c r="H221" s="108" t="s">
        <v>402</v>
      </c>
      <c r="I221" s="111" t="s">
        <v>402</v>
      </c>
      <c r="J221" s="111" t="s">
        <v>402</v>
      </c>
      <c r="K221" s="106" t="s">
        <v>403</v>
      </c>
      <c r="L221" s="55" t="s">
        <v>404</v>
      </c>
      <c r="M221" s="55" t="s">
        <v>7634</v>
      </c>
    </row>
    <row r="222" spans="1:13">
      <c r="A222" s="401" t="s">
        <v>1237</v>
      </c>
      <c r="B222" s="106" t="s">
        <v>327</v>
      </c>
      <c r="C222" s="106" t="s">
        <v>473</v>
      </c>
      <c r="D222" s="109" t="s">
        <v>1238</v>
      </c>
      <c r="E222" s="109" t="s">
        <v>1239</v>
      </c>
      <c r="F222" s="109" t="s">
        <v>1240</v>
      </c>
      <c r="G222" s="117" t="s">
        <v>383</v>
      </c>
      <c r="H222" s="115" t="s">
        <v>402</v>
      </c>
      <c r="I222" s="111" t="s">
        <v>402</v>
      </c>
      <c r="J222" s="111" t="s">
        <v>402</v>
      </c>
      <c r="K222" s="115" t="s">
        <v>403</v>
      </c>
      <c r="L222" s="55" t="s">
        <v>404</v>
      </c>
      <c r="M222" s="113" t="s">
        <v>1173</v>
      </c>
    </row>
    <row r="223" spans="1:13">
      <c r="A223" s="401" t="s">
        <v>1241</v>
      </c>
      <c r="B223" s="106" t="s">
        <v>327</v>
      </c>
      <c r="C223" s="106" t="s">
        <v>473</v>
      </c>
      <c r="D223" s="109" t="s">
        <v>1242</v>
      </c>
      <c r="E223" s="109" t="s">
        <v>1243</v>
      </c>
      <c r="F223" s="110" t="s">
        <v>383</v>
      </c>
      <c r="G223" s="112" t="s">
        <v>1244</v>
      </c>
      <c r="H223" s="115" t="s">
        <v>402</v>
      </c>
      <c r="I223" s="111" t="s">
        <v>402</v>
      </c>
      <c r="J223" s="111" t="s">
        <v>402</v>
      </c>
      <c r="K223" s="106" t="s">
        <v>403</v>
      </c>
      <c r="L223" s="55" t="s">
        <v>404</v>
      </c>
      <c r="M223" s="113" t="s">
        <v>383</v>
      </c>
    </row>
    <row r="224" spans="1:13">
      <c r="A224" s="408" t="s">
        <v>1245</v>
      </c>
      <c r="B224" s="106" t="s">
        <v>327</v>
      </c>
      <c r="C224" s="106" t="s">
        <v>473</v>
      </c>
      <c r="D224" s="107" t="s">
        <v>1246</v>
      </c>
      <c r="E224" s="109" t="s">
        <v>355</v>
      </c>
      <c r="F224" s="109" t="s">
        <v>355</v>
      </c>
      <c r="G224" s="114"/>
      <c r="H224" s="108" t="s">
        <v>402</v>
      </c>
      <c r="I224" s="111" t="s">
        <v>402</v>
      </c>
      <c r="J224" s="111" t="s">
        <v>402</v>
      </c>
      <c r="K224" s="106" t="s">
        <v>403</v>
      </c>
      <c r="L224" s="55" t="s">
        <v>404</v>
      </c>
      <c r="M224" s="55" t="s">
        <v>7634</v>
      </c>
    </row>
    <row r="225" spans="1:13">
      <c r="A225" s="408" t="s">
        <v>1247</v>
      </c>
      <c r="B225" s="106" t="s">
        <v>327</v>
      </c>
      <c r="C225" s="106" t="s">
        <v>473</v>
      </c>
      <c r="D225" s="107" t="s">
        <v>1248</v>
      </c>
      <c r="E225" s="109" t="s">
        <v>355</v>
      </c>
      <c r="F225" s="109" t="s">
        <v>355</v>
      </c>
      <c r="G225" s="114"/>
      <c r="H225" s="108" t="s">
        <v>402</v>
      </c>
      <c r="I225" s="111" t="s">
        <v>402</v>
      </c>
      <c r="J225" s="111" t="s">
        <v>402</v>
      </c>
      <c r="K225" s="106" t="s">
        <v>403</v>
      </c>
      <c r="L225" s="55" t="s">
        <v>404</v>
      </c>
      <c r="M225" s="55" t="s">
        <v>7634</v>
      </c>
    </row>
    <row r="226" spans="1:13">
      <c r="A226" s="401" t="s">
        <v>1249</v>
      </c>
      <c r="B226" s="106" t="s">
        <v>327</v>
      </c>
      <c r="C226" s="106" t="s">
        <v>473</v>
      </c>
      <c r="D226" s="109" t="s">
        <v>1250</v>
      </c>
      <c r="E226" s="109" t="s">
        <v>1251</v>
      </c>
      <c r="F226" s="109" t="s">
        <v>1252</v>
      </c>
      <c r="G226" s="112" t="s">
        <v>1253</v>
      </c>
      <c r="H226" s="115" t="s">
        <v>402</v>
      </c>
      <c r="I226" s="111" t="s">
        <v>402</v>
      </c>
      <c r="J226" s="111" t="s">
        <v>402</v>
      </c>
      <c r="K226" s="106" t="s">
        <v>1254</v>
      </c>
      <c r="L226" s="55" t="s">
        <v>404</v>
      </c>
      <c r="M226" s="55" t="s">
        <v>383</v>
      </c>
    </row>
    <row r="227" spans="1:13">
      <c r="A227" s="408" t="s">
        <v>1255</v>
      </c>
      <c r="B227" s="106" t="s">
        <v>327</v>
      </c>
      <c r="C227" s="106" t="s">
        <v>473</v>
      </c>
      <c r="D227" s="107" t="s">
        <v>1256</v>
      </c>
      <c r="E227" s="109" t="s">
        <v>355</v>
      </c>
      <c r="F227" s="109" t="s">
        <v>355</v>
      </c>
      <c r="G227" s="114"/>
      <c r="H227" s="108" t="s">
        <v>402</v>
      </c>
      <c r="I227" s="111" t="s">
        <v>402</v>
      </c>
      <c r="J227" s="111" t="s">
        <v>402</v>
      </c>
      <c r="K227" s="106" t="s">
        <v>403</v>
      </c>
      <c r="L227" s="55" t="s">
        <v>404</v>
      </c>
      <c r="M227" s="55" t="s">
        <v>7634</v>
      </c>
    </row>
    <row r="228" spans="1:13">
      <c r="A228" s="408" t="s">
        <v>1257</v>
      </c>
      <c r="B228" s="106" t="s">
        <v>327</v>
      </c>
      <c r="C228" s="106" t="s">
        <v>473</v>
      </c>
      <c r="D228" s="107" t="s">
        <v>1258</v>
      </c>
      <c r="E228" s="109" t="s">
        <v>355</v>
      </c>
      <c r="F228" s="109" t="s">
        <v>355</v>
      </c>
      <c r="G228" s="114"/>
      <c r="H228" s="108" t="s">
        <v>402</v>
      </c>
      <c r="I228" s="111" t="s">
        <v>402</v>
      </c>
      <c r="J228" s="111" t="s">
        <v>402</v>
      </c>
      <c r="K228" s="106" t="s">
        <v>403</v>
      </c>
      <c r="L228" s="55" t="s">
        <v>404</v>
      </c>
      <c r="M228" s="55" t="s">
        <v>7634</v>
      </c>
    </row>
    <row r="229" spans="1:13">
      <c r="A229" s="401" t="s">
        <v>1259</v>
      </c>
      <c r="B229" s="106" t="s">
        <v>327</v>
      </c>
      <c r="C229" s="106" t="s">
        <v>473</v>
      </c>
      <c r="D229" s="109" t="s">
        <v>1260</v>
      </c>
      <c r="E229" s="109" t="s">
        <v>1261</v>
      </c>
      <c r="F229" s="110" t="s">
        <v>383</v>
      </c>
      <c r="G229" s="112" t="s">
        <v>1262</v>
      </c>
      <c r="H229" s="115" t="s">
        <v>402</v>
      </c>
      <c r="I229" s="111" t="s">
        <v>402</v>
      </c>
      <c r="J229" s="111" t="s">
        <v>402</v>
      </c>
      <c r="K229" s="115" t="s">
        <v>403</v>
      </c>
      <c r="L229" s="55" t="s">
        <v>404</v>
      </c>
      <c r="M229" s="59" t="s">
        <v>1263</v>
      </c>
    </row>
    <row r="230" spans="1:13">
      <c r="A230" s="408" t="s">
        <v>1264</v>
      </c>
      <c r="B230" s="106" t="s">
        <v>327</v>
      </c>
      <c r="C230" s="106" t="s">
        <v>473</v>
      </c>
      <c r="D230" s="107" t="s">
        <v>1265</v>
      </c>
      <c r="E230" s="109" t="s">
        <v>355</v>
      </c>
      <c r="F230" s="109" t="s">
        <v>355</v>
      </c>
      <c r="G230" s="114"/>
      <c r="H230" s="108" t="s">
        <v>402</v>
      </c>
      <c r="I230" s="111" t="s">
        <v>402</v>
      </c>
      <c r="J230" s="111" t="s">
        <v>402</v>
      </c>
      <c r="K230" s="106" t="s">
        <v>403</v>
      </c>
      <c r="L230" s="55" t="s">
        <v>404</v>
      </c>
      <c r="M230" s="55" t="s">
        <v>7634</v>
      </c>
    </row>
    <row r="231" spans="1:13">
      <c r="A231" s="408" t="s">
        <v>1266</v>
      </c>
      <c r="B231" s="106" t="s">
        <v>327</v>
      </c>
      <c r="C231" s="106" t="s">
        <v>473</v>
      </c>
      <c r="D231" s="107" t="s">
        <v>1267</v>
      </c>
      <c r="E231" s="109" t="s">
        <v>355</v>
      </c>
      <c r="F231" s="109" t="s">
        <v>355</v>
      </c>
      <c r="G231" s="114"/>
      <c r="H231" s="108" t="s">
        <v>402</v>
      </c>
      <c r="I231" s="111" t="s">
        <v>402</v>
      </c>
      <c r="J231" s="111" t="s">
        <v>402</v>
      </c>
      <c r="K231" s="106" t="s">
        <v>403</v>
      </c>
      <c r="L231" s="55" t="s">
        <v>404</v>
      </c>
      <c r="M231" s="55" t="s">
        <v>7634</v>
      </c>
    </row>
    <row r="232" spans="1:13">
      <c r="A232" s="408" t="s">
        <v>1268</v>
      </c>
      <c r="B232" s="106" t="s">
        <v>327</v>
      </c>
      <c r="C232" s="106" t="s">
        <v>473</v>
      </c>
      <c r="D232" s="107" t="s">
        <v>1269</v>
      </c>
      <c r="E232" s="109" t="s">
        <v>355</v>
      </c>
      <c r="F232" s="109" t="s">
        <v>355</v>
      </c>
      <c r="G232" s="114"/>
      <c r="H232" s="108" t="s">
        <v>402</v>
      </c>
      <c r="I232" s="111" t="s">
        <v>402</v>
      </c>
      <c r="J232" s="111" t="s">
        <v>402</v>
      </c>
      <c r="K232" s="106" t="s">
        <v>403</v>
      </c>
      <c r="L232" s="55" t="s">
        <v>404</v>
      </c>
      <c r="M232" s="55" t="s">
        <v>7634</v>
      </c>
    </row>
    <row r="233" spans="1:13">
      <c r="A233" s="408" t="s">
        <v>1270</v>
      </c>
      <c r="B233" s="106" t="s">
        <v>327</v>
      </c>
      <c r="C233" s="106" t="s">
        <v>473</v>
      </c>
      <c r="D233" s="107" t="s">
        <v>1271</v>
      </c>
      <c r="E233" s="109" t="s">
        <v>355</v>
      </c>
      <c r="F233" s="109" t="s">
        <v>355</v>
      </c>
      <c r="G233" s="114"/>
      <c r="H233" s="108" t="s">
        <v>402</v>
      </c>
      <c r="I233" s="111" t="s">
        <v>402</v>
      </c>
      <c r="J233" s="111" t="s">
        <v>402</v>
      </c>
      <c r="K233" s="106" t="s">
        <v>403</v>
      </c>
      <c r="L233" s="55" t="s">
        <v>404</v>
      </c>
      <c r="M233" s="55" t="s">
        <v>7634</v>
      </c>
    </row>
    <row r="234" spans="1:13">
      <c r="A234" s="408" t="s">
        <v>1272</v>
      </c>
      <c r="B234" s="106" t="s">
        <v>327</v>
      </c>
      <c r="C234" s="106" t="s">
        <v>473</v>
      </c>
      <c r="D234" s="107" t="s">
        <v>1273</v>
      </c>
      <c r="E234" s="109" t="s">
        <v>355</v>
      </c>
      <c r="F234" s="109" t="s">
        <v>355</v>
      </c>
      <c r="G234" s="114"/>
      <c r="H234" s="108" t="s">
        <v>402</v>
      </c>
      <c r="I234" s="111" t="s">
        <v>402</v>
      </c>
      <c r="J234" s="111" t="s">
        <v>402</v>
      </c>
      <c r="K234" s="106" t="s">
        <v>403</v>
      </c>
      <c r="L234" s="55" t="s">
        <v>404</v>
      </c>
      <c r="M234" s="55" t="s">
        <v>7634</v>
      </c>
    </row>
    <row r="235" spans="1:13">
      <c r="A235" s="578" t="s">
        <v>1274</v>
      </c>
      <c r="B235" s="586" t="s">
        <v>373</v>
      </c>
      <c r="C235" s="586" t="s">
        <v>473</v>
      </c>
      <c r="D235" s="586" t="s">
        <v>1275</v>
      </c>
      <c r="E235" s="586" t="s">
        <v>377</v>
      </c>
      <c r="F235" s="586" t="s">
        <v>1276</v>
      </c>
      <c r="G235" s="586"/>
      <c r="H235" s="586"/>
      <c r="I235" s="587"/>
      <c r="J235" s="586"/>
      <c r="K235" s="586"/>
      <c r="L235" s="586"/>
      <c r="M235" s="55" t="s">
        <v>7634</v>
      </c>
    </row>
    <row r="236" spans="1:13">
      <c r="A236" s="408" t="s">
        <v>1277</v>
      </c>
      <c r="B236" s="106" t="s">
        <v>327</v>
      </c>
      <c r="C236" s="106" t="s">
        <v>473</v>
      </c>
      <c r="D236" s="107" t="s">
        <v>1278</v>
      </c>
      <c r="E236" s="109" t="s">
        <v>355</v>
      </c>
      <c r="F236" s="109" t="s">
        <v>355</v>
      </c>
      <c r="G236" s="114"/>
      <c r="H236" s="108" t="s">
        <v>402</v>
      </c>
      <c r="I236" s="111" t="s">
        <v>402</v>
      </c>
      <c r="J236" s="111" t="s">
        <v>402</v>
      </c>
      <c r="K236" s="106" t="s">
        <v>403</v>
      </c>
      <c r="L236" s="55" t="s">
        <v>404</v>
      </c>
      <c r="M236" s="55" t="s">
        <v>7634</v>
      </c>
    </row>
    <row r="237" spans="1:13">
      <c r="A237" s="408" t="s">
        <v>1279</v>
      </c>
      <c r="B237" s="106" t="s">
        <v>327</v>
      </c>
      <c r="C237" s="106" t="s">
        <v>473</v>
      </c>
      <c r="D237" s="107" t="s">
        <v>1280</v>
      </c>
      <c r="E237" s="109" t="s">
        <v>355</v>
      </c>
      <c r="F237" s="109" t="s">
        <v>355</v>
      </c>
      <c r="G237" s="114"/>
      <c r="H237" s="108" t="s">
        <v>402</v>
      </c>
      <c r="I237" s="111" t="s">
        <v>402</v>
      </c>
      <c r="J237" s="111" t="s">
        <v>402</v>
      </c>
      <c r="K237" s="106" t="s">
        <v>403</v>
      </c>
      <c r="L237" s="55" t="s">
        <v>404</v>
      </c>
      <c r="M237" s="55" t="s">
        <v>7634</v>
      </c>
    </row>
    <row r="238" spans="1:13">
      <c r="A238" s="408" t="s">
        <v>1281</v>
      </c>
      <c r="B238" s="106" t="s">
        <v>327</v>
      </c>
      <c r="C238" s="106" t="s">
        <v>473</v>
      </c>
      <c r="D238" s="107" t="s">
        <v>1280</v>
      </c>
      <c r="E238" s="109" t="s">
        <v>355</v>
      </c>
      <c r="F238" s="109" t="s">
        <v>355</v>
      </c>
      <c r="G238" s="114"/>
      <c r="H238" s="108" t="s">
        <v>402</v>
      </c>
      <c r="I238" s="111" t="s">
        <v>402</v>
      </c>
      <c r="J238" s="111" t="s">
        <v>402</v>
      </c>
      <c r="K238" s="106" t="s">
        <v>403</v>
      </c>
      <c r="L238" s="55" t="s">
        <v>404</v>
      </c>
      <c r="M238" s="55" t="s">
        <v>7634</v>
      </c>
    </row>
    <row r="239" spans="1:13">
      <c r="A239" s="408" t="s">
        <v>1282</v>
      </c>
      <c r="B239" s="106" t="s">
        <v>327</v>
      </c>
      <c r="C239" s="106" t="s">
        <v>473</v>
      </c>
      <c r="D239" s="107" t="s">
        <v>1283</v>
      </c>
      <c r="E239" s="109" t="s">
        <v>355</v>
      </c>
      <c r="F239" s="109" t="s">
        <v>355</v>
      </c>
      <c r="G239" s="114"/>
      <c r="H239" s="108" t="s">
        <v>402</v>
      </c>
      <c r="I239" s="111" t="s">
        <v>402</v>
      </c>
      <c r="J239" s="111" t="s">
        <v>402</v>
      </c>
      <c r="K239" s="106" t="s">
        <v>403</v>
      </c>
      <c r="L239" s="55" t="s">
        <v>404</v>
      </c>
      <c r="M239" s="55" t="s">
        <v>7634</v>
      </c>
    </row>
    <row r="240" spans="1:13">
      <c r="A240" s="408" t="s">
        <v>1284</v>
      </c>
      <c r="B240" s="106" t="s">
        <v>327</v>
      </c>
      <c r="C240" s="106" t="s">
        <v>473</v>
      </c>
      <c r="D240" s="107" t="s">
        <v>1285</v>
      </c>
      <c r="E240" s="109" t="s">
        <v>355</v>
      </c>
      <c r="F240" s="109" t="s">
        <v>355</v>
      </c>
      <c r="G240" s="114"/>
      <c r="H240" s="108" t="s">
        <v>402</v>
      </c>
      <c r="I240" s="111" t="s">
        <v>402</v>
      </c>
      <c r="J240" s="111" t="s">
        <v>402</v>
      </c>
      <c r="K240" s="106" t="s">
        <v>403</v>
      </c>
      <c r="L240" s="55" t="s">
        <v>404</v>
      </c>
      <c r="M240" s="55" t="s">
        <v>7634</v>
      </c>
    </row>
    <row r="241" spans="1:13">
      <c r="A241" s="408" t="s">
        <v>1286</v>
      </c>
      <c r="B241" s="106" t="s">
        <v>327</v>
      </c>
      <c r="C241" s="106" t="s">
        <v>473</v>
      </c>
      <c r="D241" s="107" t="s">
        <v>1285</v>
      </c>
      <c r="E241" s="109" t="s">
        <v>355</v>
      </c>
      <c r="F241" s="109" t="s">
        <v>355</v>
      </c>
      <c r="G241" s="114"/>
      <c r="H241" s="108" t="s">
        <v>402</v>
      </c>
      <c r="I241" s="111" t="s">
        <v>402</v>
      </c>
      <c r="J241" s="111" t="s">
        <v>402</v>
      </c>
      <c r="K241" s="106" t="s">
        <v>403</v>
      </c>
      <c r="L241" s="55" t="s">
        <v>404</v>
      </c>
      <c r="M241" s="55" t="s">
        <v>7634</v>
      </c>
    </row>
    <row r="242" spans="1:13">
      <c r="A242" s="408" t="s">
        <v>1287</v>
      </c>
      <c r="B242" s="106" t="s">
        <v>327</v>
      </c>
      <c r="C242" s="106" t="s">
        <v>473</v>
      </c>
      <c r="D242" s="107" t="s">
        <v>1288</v>
      </c>
      <c r="E242" s="109" t="s">
        <v>355</v>
      </c>
      <c r="F242" s="109" t="s">
        <v>355</v>
      </c>
      <c r="G242" s="114"/>
      <c r="H242" s="108" t="s">
        <v>402</v>
      </c>
      <c r="I242" s="111" t="s">
        <v>402</v>
      </c>
      <c r="J242" s="111" t="s">
        <v>402</v>
      </c>
      <c r="K242" s="106" t="s">
        <v>403</v>
      </c>
      <c r="L242" s="55" t="s">
        <v>404</v>
      </c>
      <c r="M242" s="55" t="s">
        <v>7634</v>
      </c>
    </row>
    <row r="243" spans="1:13">
      <c r="A243" s="408" t="s">
        <v>1289</v>
      </c>
      <c r="B243" s="106" t="s">
        <v>327</v>
      </c>
      <c r="C243" s="106" t="s">
        <v>473</v>
      </c>
      <c r="D243" s="107" t="s">
        <v>1290</v>
      </c>
      <c r="E243" s="109" t="s">
        <v>355</v>
      </c>
      <c r="F243" s="109" t="s">
        <v>355</v>
      </c>
      <c r="G243" s="114"/>
      <c r="H243" s="108" t="s">
        <v>402</v>
      </c>
      <c r="I243" s="111" t="s">
        <v>402</v>
      </c>
      <c r="J243" s="111" t="s">
        <v>402</v>
      </c>
      <c r="K243" s="106" t="s">
        <v>403</v>
      </c>
      <c r="L243" s="55" t="s">
        <v>404</v>
      </c>
      <c r="M243" s="55" t="s">
        <v>7634</v>
      </c>
    </row>
    <row r="244" spans="1:13">
      <c r="A244" s="408" t="s">
        <v>1291</v>
      </c>
      <c r="B244" s="106" t="s">
        <v>327</v>
      </c>
      <c r="C244" s="106" t="s">
        <v>473</v>
      </c>
      <c r="D244" s="107" t="s">
        <v>1292</v>
      </c>
      <c r="E244" s="109" t="s">
        <v>355</v>
      </c>
      <c r="F244" s="109" t="s">
        <v>355</v>
      </c>
      <c r="G244" s="114"/>
      <c r="H244" s="108" t="s">
        <v>402</v>
      </c>
      <c r="I244" s="111" t="s">
        <v>402</v>
      </c>
      <c r="J244" s="111" t="s">
        <v>402</v>
      </c>
      <c r="K244" s="106" t="s">
        <v>403</v>
      </c>
      <c r="L244" s="55" t="s">
        <v>404</v>
      </c>
      <c r="M244" s="55" t="s">
        <v>7634</v>
      </c>
    </row>
    <row r="245" spans="1:13">
      <c r="A245" s="408" t="s">
        <v>1293</v>
      </c>
      <c r="B245" s="106" t="s">
        <v>327</v>
      </c>
      <c r="C245" s="106" t="s">
        <v>473</v>
      </c>
      <c r="D245" s="107" t="s">
        <v>1294</v>
      </c>
      <c r="E245" s="109" t="s">
        <v>355</v>
      </c>
      <c r="F245" s="109" t="s">
        <v>355</v>
      </c>
      <c r="G245" s="114"/>
      <c r="H245" s="108" t="s">
        <v>402</v>
      </c>
      <c r="I245" s="111" t="s">
        <v>402</v>
      </c>
      <c r="J245" s="111" t="s">
        <v>402</v>
      </c>
      <c r="K245" s="106" t="s">
        <v>403</v>
      </c>
      <c r="L245" s="55" t="s">
        <v>404</v>
      </c>
      <c r="M245" s="55" t="s">
        <v>7634</v>
      </c>
    </row>
    <row r="246" spans="1:13">
      <c r="A246" s="408" t="s">
        <v>1295</v>
      </c>
      <c r="B246" s="106" t="s">
        <v>327</v>
      </c>
      <c r="C246" s="106" t="s">
        <v>473</v>
      </c>
      <c r="D246" s="107" t="s">
        <v>1294</v>
      </c>
      <c r="E246" s="109" t="s">
        <v>355</v>
      </c>
      <c r="F246" s="109" t="s">
        <v>355</v>
      </c>
      <c r="G246" s="114"/>
      <c r="H246" s="108" t="s">
        <v>402</v>
      </c>
      <c r="I246" s="111" t="s">
        <v>402</v>
      </c>
      <c r="J246" s="111" t="s">
        <v>402</v>
      </c>
      <c r="K246" s="106" t="s">
        <v>403</v>
      </c>
      <c r="L246" s="55" t="s">
        <v>404</v>
      </c>
      <c r="M246" s="55" t="s">
        <v>7634</v>
      </c>
    </row>
    <row r="247" spans="1:13">
      <c r="A247" s="408" t="s">
        <v>1296</v>
      </c>
      <c r="B247" s="106" t="s">
        <v>327</v>
      </c>
      <c r="C247" s="106" t="s">
        <v>473</v>
      </c>
      <c r="D247" s="107" t="s">
        <v>1294</v>
      </c>
      <c r="E247" s="109" t="s">
        <v>355</v>
      </c>
      <c r="F247" s="109" t="s">
        <v>355</v>
      </c>
      <c r="G247" s="114"/>
      <c r="H247" s="108" t="s">
        <v>402</v>
      </c>
      <c r="I247" s="111" t="s">
        <v>402</v>
      </c>
      <c r="J247" s="111" t="s">
        <v>402</v>
      </c>
      <c r="K247" s="106" t="s">
        <v>403</v>
      </c>
      <c r="L247" s="55" t="s">
        <v>404</v>
      </c>
      <c r="M247" s="55" t="s">
        <v>7634</v>
      </c>
    </row>
    <row r="248" spans="1:13">
      <c r="A248" s="408" t="s">
        <v>1297</v>
      </c>
      <c r="B248" s="106" t="s">
        <v>327</v>
      </c>
      <c r="C248" s="106" t="s">
        <v>473</v>
      </c>
      <c r="D248" s="107" t="s">
        <v>1294</v>
      </c>
      <c r="E248" s="109" t="s">
        <v>355</v>
      </c>
      <c r="F248" s="109" t="s">
        <v>355</v>
      </c>
      <c r="G248" s="114"/>
      <c r="H248" s="108" t="s">
        <v>402</v>
      </c>
      <c r="I248" s="111" t="s">
        <v>402</v>
      </c>
      <c r="J248" s="111" t="s">
        <v>402</v>
      </c>
      <c r="K248" s="106" t="s">
        <v>403</v>
      </c>
      <c r="L248" s="55" t="s">
        <v>404</v>
      </c>
      <c r="M248" s="55" t="s">
        <v>7634</v>
      </c>
    </row>
    <row r="249" spans="1:13">
      <c r="A249" s="408" t="s">
        <v>1298</v>
      </c>
      <c r="B249" s="106" t="s">
        <v>327</v>
      </c>
      <c r="C249" s="106" t="s">
        <v>473</v>
      </c>
      <c r="D249" s="107" t="s">
        <v>1294</v>
      </c>
      <c r="E249" s="109" t="s">
        <v>355</v>
      </c>
      <c r="F249" s="109" t="s">
        <v>355</v>
      </c>
      <c r="G249" s="114"/>
      <c r="H249" s="108" t="s">
        <v>402</v>
      </c>
      <c r="I249" s="111" t="s">
        <v>402</v>
      </c>
      <c r="J249" s="111" t="s">
        <v>402</v>
      </c>
      <c r="K249" s="106" t="s">
        <v>403</v>
      </c>
      <c r="L249" s="55" t="s">
        <v>404</v>
      </c>
      <c r="M249" s="55" t="s">
        <v>7634</v>
      </c>
    </row>
    <row r="250" spans="1:13">
      <c r="A250" s="408" t="s">
        <v>1299</v>
      </c>
      <c r="B250" s="106" t="s">
        <v>327</v>
      </c>
      <c r="C250" s="106" t="s">
        <v>473</v>
      </c>
      <c r="D250" s="107" t="s">
        <v>1300</v>
      </c>
      <c r="E250" s="109" t="s">
        <v>355</v>
      </c>
      <c r="F250" s="109" t="s">
        <v>355</v>
      </c>
      <c r="G250" s="114"/>
      <c r="H250" s="108" t="s">
        <v>402</v>
      </c>
      <c r="I250" s="111" t="s">
        <v>402</v>
      </c>
      <c r="J250" s="111" t="s">
        <v>402</v>
      </c>
      <c r="K250" s="106" t="s">
        <v>403</v>
      </c>
      <c r="L250" s="55" t="s">
        <v>404</v>
      </c>
      <c r="M250" s="55" t="s">
        <v>7634</v>
      </c>
    </row>
    <row r="251" spans="1:13">
      <c r="A251" s="408" t="s">
        <v>1301</v>
      </c>
      <c r="B251" s="106" t="s">
        <v>327</v>
      </c>
      <c r="C251" s="106" t="s">
        <v>473</v>
      </c>
      <c r="D251" s="107" t="s">
        <v>1302</v>
      </c>
      <c r="E251" s="109" t="s">
        <v>355</v>
      </c>
      <c r="F251" s="109" t="s">
        <v>355</v>
      </c>
      <c r="G251" s="114"/>
      <c r="H251" s="108" t="s">
        <v>402</v>
      </c>
      <c r="I251" s="111" t="s">
        <v>402</v>
      </c>
      <c r="J251" s="111" t="s">
        <v>402</v>
      </c>
      <c r="K251" s="106" t="s">
        <v>403</v>
      </c>
      <c r="L251" s="55" t="s">
        <v>404</v>
      </c>
      <c r="M251" s="55" t="s">
        <v>7634</v>
      </c>
    </row>
    <row r="252" spans="1:13">
      <c r="A252" s="408" t="s">
        <v>1303</v>
      </c>
      <c r="B252" s="106" t="s">
        <v>327</v>
      </c>
      <c r="C252" s="106" t="s">
        <v>473</v>
      </c>
      <c r="D252" s="107" t="s">
        <v>1304</v>
      </c>
      <c r="E252" s="109" t="s">
        <v>355</v>
      </c>
      <c r="F252" s="109" t="s">
        <v>355</v>
      </c>
      <c r="G252" s="114"/>
      <c r="H252" s="108" t="s">
        <v>402</v>
      </c>
      <c r="I252" s="111" t="s">
        <v>402</v>
      </c>
      <c r="J252" s="111" t="s">
        <v>402</v>
      </c>
      <c r="K252" s="106" t="s">
        <v>403</v>
      </c>
      <c r="L252" s="55" t="s">
        <v>404</v>
      </c>
      <c r="M252" s="55" t="s">
        <v>7634</v>
      </c>
    </row>
    <row r="253" spans="1:13">
      <c r="A253" s="408" t="s">
        <v>1305</v>
      </c>
      <c r="B253" s="106" t="s">
        <v>327</v>
      </c>
      <c r="C253" s="106" t="s">
        <v>473</v>
      </c>
      <c r="D253" s="107" t="s">
        <v>1306</v>
      </c>
      <c r="E253" s="109" t="s">
        <v>355</v>
      </c>
      <c r="F253" s="109" t="s">
        <v>355</v>
      </c>
      <c r="G253" s="114"/>
      <c r="H253" s="108" t="s">
        <v>402</v>
      </c>
      <c r="I253" s="111" t="s">
        <v>402</v>
      </c>
      <c r="J253" s="111" t="s">
        <v>402</v>
      </c>
      <c r="K253" s="106" t="s">
        <v>403</v>
      </c>
      <c r="L253" s="55" t="s">
        <v>404</v>
      </c>
      <c r="M253" s="55" t="s">
        <v>7634</v>
      </c>
    </row>
    <row r="254" spans="1:13">
      <c r="A254" s="408" t="s">
        <v>1307</v>
      </c>
      <c r="B254" s="106" t="s">
        <v>327</v>
      </c>
      <c r="C254" s="106" t="s">
        <v>473</v>
      </c>
      <c r="D254" s="107" t="s">
        <v>1308</v>
      </c>
      <c r="E254" s="109" t="s">
        <v>355</v>
      </c>
      <c r="F254" s="109" t="s">
        <v>355</v>
      </c>
      <c r="G254" s="114"/>
      <c r="H254" s="108" t="s">
        <v>402</v>
      </c>
      <c r="I254" s="111" t="s">
        <v>402</v>
      </c>
      <c r="J254" s="111" t="s">
        <v>402</v>
      </c>
      <c r="K254" s="106" t="s">
        <v>403</v>
      </c>
      <c r="L254" s="55" t="s">
        <v>404</v>
      </c>
      <c r="M254" s="55" t="s">
        <v>7634</v>
      </c>
    </row>
    <row r="255" spans="1:13">
      <c r="A255" s="408" t="s">
        <v>1309</v>
      </c>
      <c r="B255" s="106" t="s">
        <v>327</v>
      </c>
      <c r="C255" s="106" t="s">
        <v>473</v>
      </c>
      <c r="D255" s="107" t="s">
        <v>1310</v>
      </c>
      <c r="E255" s="109" t="s">
        <v>355</v>
      </c>
      <c r="F255" s="109" t="s">
        <v>355</v>
      </c>
      <c r="G255" s="114"/>
      <c r="H255" s="108" t="s">
        <v>402</v>
      </c>
      <c r="I255" s="111" t="s">
        <v>402</v>
      </c>
      <c r="J255" s="111" t="s">
        <v>402</v>
      </c>
      <c r="K255" s="106" t="s">
        <v>403</v>
      </c>
      <c r="L255" s="55" t="s">
        <v>404</v>
      </c>
      <c r="M255" s="55" t="s">
        <v>7634</v>
      </c>
    </row>
    <row r="256" spans="1:13">
      <c r="A256" s="408" t="s">
        <v>1311</v>
      </c>
      <c r="B256" s="106" t="s">
        <v>327</v>
      </c>
      <c r="C256" s="106" t="s">
        <v>473</v>
      </c>
      <c r="D256" s="107" t="s">
        <v>1312</v>
      </c>
      <c r="E256" s="109" t="s">
        <v>355</v>
      </c>
      <c r="F256" s="109" t="s">
        <v>355</v>
      </c>
      <c r="G256" s="114"/>
      <c r="H256" s="108" t="s">
        <v>402</v>
      </c>
      <c r="I256" s="111" t="s">
        <v>402</v>
      </c>
      <c r="J256" s="111" t="s">
        <v>402</v>
      </c>
      <c r="K256" s="106" t="s">
        <v>403</v>
      </c>
      <c r="L256" s="55" t="s">
        <v>404</v>
      </c>
      <c r="M256" s="55" t="s">
        <v>7634</v>
      </c>
    </row>
    <row r="257" spans="1:13">
      <c r="A257" s="408" t="s">
        <v>1313</v>
      </c>
      <c r="B257" s="106" t="s">
        <v>327</v>
      </c>
      <c r="C257" s="106" t="s">
        <v>473</v>
      </c>
      <c r="D257" s="107" t="s">
        <v>1314</v>
      </c>
      <c r="E257" s="109" t="s">
        <v>355</v>
      </c>
      <c r="F257" s="109" t="s">
        <v>355</v>
      </c>
      <c r="G257" s="114"/>
      <c r="H257" s="108" t="s">
        <v>402</v>
      </c>
      <c r="I257" s="111" t="s">
        <v>402</v>
      </c>
      <c r="J257" s="111" t="s">
        <v>402</v>
      </c>
      <c r="K257" s="106" t="s">
        <v>403</v>
      </c>
      <c r="L257" s="55" t="s">
        <v>404</v>
      </c>
      <c r="M257" s="55" t="s">
        <v>7634</v>
      </c>
    </row>
    <row r="258" spans="1:13">
      <c r="A258" s="408" t="s">
        <v>1315</v>
      </c>
      <c r="B258" s="106" t="s">
        <v>327</v>
      </c>
      <c r="C258" s="106" t="s">
        <v>473</v>
      </c>
      <c r="D258" s="107" t="s">
        <v>1316</v>
      </c>
      <c r="E258" s="109" t="s">
        <v>355</v>
      </c>
      <c r="F258" s="109" t="s">
        <v>355</v>
      </c>
      <c r="G258" s="114"/>
      <c r="H258" s="108" t="s">
        <v>402</v>
      </c>
      <c r="I258" s="111" t="s">
        <v>402</v>
      </c>
      <c r="J258" s="111" t="s">
        <v>402</v>
      </c>
      <c r="K258" s="106" t="s">
        <v>403</v>
      </c>
      <c r="L258" s="55" t="s">
        <v>404</v>
      </c>
      <c r="M258" s="55" t="s">
        <v>7634</v>
      </c>
    </row>
    <row r="259" spans="1:13">
      <c r="A259" s="408" t="s">
        <v>1317</v>
      </c>
      <c r="B259" s="106" t="s">
        <v>327</v>
      </c>
      <c r="C259" s="106" t="s">
        <v>473</v>
      </c>
      <c r="D259" s="107" t="s">
        <v>1318</v>
      </c>
      <c r="E259" s="109" t="s">
        <v>355</v>
      </c>
      <c r="F259" s="109" t="s">
        <v>355</v>
      </c>
      <c r="G259" s="114"/>
      <c r="H259" s="108" t="s">
        <v>402</v>
      </c>
      <c r="I259" s="111" t="s">
        <v>402</v>
      </c>
      <c r="J259" s="111" t="s">
        <v>402</v>
      </c>
      <c r="K259" s="106" t="s">
        <v>403</v>
      </c>
      <c r="L259" s="55" t="s">
        <v>404</v>
      </c>
      <c r="M259" s="55" t="s">
        <v>7634</v>
      </c>
    </row>
    <row r="260" spans="1:13">
      <c r="A260" s="408" t="s">
        <v>1319</v>
      </c>
      <c r="B260" s="106" t="s">
        <v>327</v>
      </c>
      <c r="C260" s="106" t="s">
        <v>473</v>
      </c>
      <c r="D260" s="107" t="s">
        <v>1320</v>
      </c>
      <c r="E260" s="109" t="s">
        <v>355</v>
      </c>
      <c r="F260" s="109" t="s">
        <v>355</v>
      </c>
      <c r="G260" s="114"/>
      <c r="H260" s="108" t="s">
        <v>402</v>
      </c>
      <c r="I260" s="111" t="s">
        <v>402</v>
      </c>
      <c r="J260" s="111" t="s">
        <v>402</v>
      </c>
      <c r="K260" s="106" t="s">
        <v>403</v>
      </c>
      <c r="L260" s="55" t="s">
        <v>404</v>
      </c>
      <c r="M260" s="55" t="s">
        <v>7634</v>
      </c>
    </row>
    <row r="261" spans="1:13">
      <c r="A261" s="408" t="s">
        <v>1321</v>
      </c>
      <c r="B261" s="106" t="s">
        <v>327</v>
      </c>
      <c r="C261" s="106" t="s">
        <v>473</v>
      </c>
      <c r="D261" s="107" t="s">
        <v>1320</v>
      </c>
      <c r="E261" s="109" t="s">
        <v>355</v>
      </c>
      <c r="F261" s="109" t="s">
        <v>355</v>
      </c>
      <c r="G261" s="114"/>
      <c r="H261" s="108" t="s">
        <v>402</v>
      </c>
      <c r="I261" s="111" t="s">
        <v>402</v>
      </c>
      <c r="J261" s="111" t="s">
        <v>402</v>
      </c>
      <c r="K261" s="106" t="s">
        <v>403</v>
      </c>
      <c r="L261" s="55" t="s">
        <v>404</v>
      </c>
      <c r="M261" s="55" t="s">
        <v>7634</v>
      </c>
    </row>
    <row r="262" spans="1:13">
      <c r="A262" s="408" t="s">
        <v>1322</v>
      </c>
      <c r="B262" s="106" t="s">
        <v>327</v>
      </c>
      <c r="C262" s="106" t="s">
        <v>473</v>
      </c>
      <c r="D262" s="107" t="s">
        <v>1323</v>
      </c>
      <c r="E262" s="109" t="s">
        <v>355</v>
      </c>
      <c r="F262" s="109" t="s">
        <v>355</v>
      </c>
      <c r="G262" s="114"/>
      <c r="H262" s="108" t="s">
        <v>402</v>
      </c>
      <c r="I262" s="111" t="s">
        <v>402</v>
      </c>
      <c r="J262" s="111" t="s">
        <v>402</v>
      </c>
      <c r="K262" s="106" t="s">
        <v>403</v>
      </c>
      <c r="L262" s="55" t="s">
        <v>404</v>
      </c>
      <c r="M262" s="55" t="s">
        <v>7634</v>
      </c>
    </row>
    <row r="263" spans="1:13">
      <c r="A263" s="401" t="s">
        <v>1324</v>
      </c>
      <c r="B263" s="106" t="s">
        <v>327</v>
      </c>
      <c r="C263" s="106" t="s">
        <v>473</v>
      </c>
      <c r="D263" s="107" t="s">
        <v>1325</v>
      </c>
      <c r="E263" s="107" t="s">
        <v>1326</v>
      </c>
      <c r="F263" s="107" t="s">
        <v>1327</v>
      </c>
      <c r="G263" s="114" t="s">
        <v>355</v>
      </c>
      <c r="H263" s="108" t="s">
        <v>402</v>
      </c>
      <c r="I263" s="111" t="s">
        <v>402</v>
      </c>
      <c r="J263" s="111" t="s">
        <v>402</v>
      </c>
      <c r="K263" s="106" t="s">
        <v>403</v>
      </c>
      <c r="L263" s="55" t="s">
        <v>404</v>
      </c>
      <c r="M263" s="55" t="s">
        <v>355</v>
      </c>
    </row>
    <row r="264" spans="1:13">
      <c r="A264" s="408" t="s">
        <v>1328</v>
      </c>
      <c r="B264" s="106" t="s">
        <v>327</v>
      </c>
      <c r="C264" s="106" t="s">
        <v>473</v>
      </c>
      <c r="D264" s="107" t="s">
        <v>1329</v>
      </c>
      <c r="E264" s="109" t="s">
        <v>355</v>
      </c>
      <c r="F264" s="109" t="s">
        <v>355</v>
      </c>
      <c r="G264" s="114"/>
      <c r="H264" s="108" t="s">
        <v>402</v>
      </c>
      <c r="I264" s="111" t="s">
        <v>402</v>
      </c>
      <c r="J264" s="111" t="s">
        <v>402</v>
      </c>
      <c r="K264" s="106" t="s">
        <v>403</v>
      </c>
      <c r="L264" s="55" t="s">
        <v>404</v>
      </c>
      <c r="M264" s="55" t="s">
        <v>7634</v>
      </c>
    </row>
    <row r="265" spans="1:13">
      <c r="A265" s="408" t="s">
        <v>1330</v>
      </c>
      <c r="B265" s="106" t="s">
        <v>327</v>
      </c>
      <c r="C265" s="106" t="s">
        <v>473</v>
      </c>
      <c r="D265" s="107" t="s">
        <v>1331</v>
      </c>
      <c r="E265" s="109" t="s">
        <v>355</v>
      </c>
      <c r="F265" s="109" t="s">
        <v>355</v>
      </c>
      <c r="G265" s="114"/>
      <c r="H265" s="108" t="s">
        <v>402</v>
      </c>
      <c r="I265" s="111" t="s">
        <v>402</v>
      </c>
      <c r="J265" s="111" t="s">
        <v>402</v>
      </c>
      <c r="K265" s="106" t="s">
        <v>403</v>
      </c>
      <c r="L265" s="55" t="s">
        <v>404</v>
      </c>
      <c r="M265" s="55" t="s">
        <v>7634</v>
      </c>
    </row>
    <row r="266" spans="1:13">
      <c r="A266" s="408" t="s">
        <v>1332</v>
      </c>
      <c r="B266" s="106" t="s">
        <v>327</v>
      </c>
      <c r="C266" s="106" t="s">
        <v>473</v>
      </c>
      <c r="D266" s="107" t="s">
        <v>1333</v>
      </c>
      <c r="E266" s="109" t="s">
        <v>355</v>
      </c>
      <c r="F266" s="109" t="s">
        <v>355</v>
      </c>
      <c r="G266" s="114"/>
      <c r="H266" s="108" t="s">
        <v>402</v>
      </c>
      <c r="I266" s="111" t="s">
        <v>402</v>
      </c>
      <c r="J266" s="111" t="s">
        <v>402</v>
      </c>
      <c r="K266" s="106" t="s">
        <v>403</v>
      </c>
      <c r="L266" s="55" t="s">
        <v>404</v>
      </c>
      <c r="M266" s="55" t="s">
        <v>7634</v>
      </c>
    </row>
    <row r="267" spans="1:13">
      <c r="A267" s="408" t="s">
        <v>1334</v>
      </c>
      <c r="B267" s="106" t="s">
        <v>327</v>
      </c>
      <c r="C267" s="106" t="s">
        <v>473</v>
      </c>
      <c r="D267" s="107" t="s">
        <v>1335</v>
      </c>
      <c r="E267" s="109" t="s">
        <v>355</v>
      </c>
      <c r="F267" s="109" t="s">
        <v>355</v>
      </c>
      <c r="G267" s="114"/>
      <c r="H267" s="108" t="s">
        <v>402</v>
      </c>
      <c r="I267" s="111" t="s">
        <v>402</v>
      </c>
      <c r="J267" s="111" t="s">
        <v>402</v>
      </c>
      <c r="K267" s="106" t="s">
        <v>403</v>
      </c>
      <c r="L267" s="55" t="s">
        <v>404</v>
      </c>
      <c r="M267" s="55" t="s">
        <v>7634</v>
      </c>
    </row>
    <row r="268" spans="1:13">
      <c r="A268" s="408" t="s">
        <v>1336</v>
      </c>
      <c r="B268" s="106" t="s">
        <v>327</v>
      </c>
      <c r="C268" s="106" t="s">
        <v>473</v>
      </c>
      <c r="D268" s="107" t="s">
        <v>1337</v>
      </c>
      <c r="E268" s="109" t="s">
        <v>355</v>
      </c>
      <c r="F268" s="109" t="s">
        <v>355</v>
      </c>
      <c r="G268" s="114"/>
      <c r="H268" s="108" t="s">
        <v>402</v>
      </c>
      <c r="I268" s="111" t="s">
        <v>402</v>
      </c>
      <c r="J268" s="111" t="s">
        <v>402</v>
      </c>
      <c r="K268" s="106" t="s">
        <v>403</v>
      </c>
      <c r="L268" s="55" t="s">
        <v>404</v>
      </c>
      <c r="M268" s="55" t="s">
        <v>7634</v>
      </c>
    </row>
    <row r="269" spans="1:13">
      <c r="A269" s="408" t="s">
        <v>1338</v>
      </c>
      <c r="B269" s="106" t="s">
        <v>327</v>
      </c>
      <c r="C269" s="106" t="s">
        <v>473</v>
      </c>
      <c r="D269" s="107" t="s">
        <v>1339</v>
      </c>
      <c r="E269" s="109" t="s">
        <v>355</v>
      </c>
      <c r="F269" s="109" t="s">
        <v>355</v>
      </c>
      <c r="G269" s="114"/>
      <c r="H269" s="108" t="s">
        <v>402</v>
      </c>
      <c r="I269" s="111" t="s">
        <v>402</v>
      </c>
      <c r="J269" s="111" t="s">
        <v>402</v>
      </c>
      <c r="K269" s="106" t="s">
        <v>403</v>
      </c>
      <c r="L269" s="55" t="s">
        <v>404</v>
      </c>
      <c r="M269" s="55" t="s">
        <v>7634</v>
      </c>
    </row>
    <row r="270" spans="1:13">
      <c r="A270" s="408" t="s">
        <v>1340</v>
      </c>
      <c r="B270" s="106" t="s">
        <v>327</v>
      </c>
      <c r="C270" s="106" t="s">
        <v>473</v>
      </c>
      <c r="D270" s="107" t="s">
        <v>1341</v>
      </c>
      <c r="E270" s="109" t="s">
        <v>355</v>
      </c>
      <c r="F270" s="109" t="s">
        <v>355</v>
      </c>
      <c r="G270" s="114"/>
      <c r="H270" s="108" t="s">
        <v>402</v>
      </c>
      <c r="I270" s="111" t="s">
        <v>402</v>
      </c>
      <c r="J270" s="111" t="s">
        <v>402</v>
      </c>
      <c r="K270" s="106" t="s">
        <v>403</v>
      </c>
      <c r="L270" s="55" t="s">
        <v>404</v>
      </c>
      <c r="M270" s="55" t="s">
        <v>7634</v>
      </c>
    </row>
    <row r="271" spans="1:13">
      <c r="A271" s="408" t="s">
        <v>1342</v>
      </c>
      <c r="B271" s="106" t="s">
        <v>327</v>
      </c>
      <c r="C271" s="106" t="s">
        <v>473</v>
      </c>
      <c r="D271" s="107" t="s">
        <v>1343</v>
      </c>
      <c r="E271" s="109" t="s">
        <v>355</v>
      </c>
      <c r="F271" s="109" t="s">
        <v>355</v>
      </c>
      <c r="G271" s="114"/>
      <c r="H271" s="108" t="s">
        <v>402</v>
      </c>
      <c r="I271" s="111" t="s">
        <v>402</v>
      </c>
      <c r="J271" s="111" t="s">
        <v>402</v>
      </c>
      <c r="K271" s="106" t="s">
        <v>403</v>
      </c>
      <c r="L271" s="55" t="s">
        <v>404</v>
      </c>
      <c r="M271" s="55" t="s">
        <v>7634</v>
      </c>
    </row>
    <row r="272" spans="1:13">
      <c r="A272" s="408" t="s">
        <v>1344</v>
      </c>
      <c r="B272" s="106" t="s">
        <v>327</v>
      </c>
      <c r="C272" s="106" t="s">
        <v>473</v>
      </c>
      <c r="D272" s="107" t="s">
        <v>1345</v>
      </c>
      <c r="E272" s="109" t="s">
        <v>355</v>
      </c>
      <c r="F272" s="109" t="s">
        <v>355</v>
      </c>
      <c r="G272" s="114"/>
      <c r="H272" s="108" t="s">
        <v>402</v>
      </c>
      <c r="I272" s="111" t="s">
        <v>402</v>
      </c>
      <c r="J272" s="111" t="s">
        <v>402</v>
      </c>
      <c r="K272" s="106" t="s">
        <v>403</v>
      </c>
      <c r="L272" s="55" t="s">
        <v>404</v>
      </c>
      <c r="M272" s="55" t="s">
        <v>7634</v>
      </c>
    </row>
    <row r="273" spans="1:13">
      <c r="A273" s="408" t="s">
        <v>1346</v>
      </c>
      <c r="B273" s="106" t="s">
        <v>327</v>
      </c>
      <c r="C273" s="106" t="s">
        <v>473</v>
      </c>
      <c r="D273" s="107" t="s">
        <v>1347</v>
      </c>
      <c r="E273" s="109" t="s">
        <v>355</v>
      </c>
      <c r="F273" s="109" t="s">
        <v>355</v>
      </c>
      <c r="G273" s="114"/>
      <c r="H273" s="108" t="s">
        <v>402</v>
      </c>
      <c r="I273" s="111" t="s">
        <v>402</v>
      </c>
      <c r="J273" s="111" t="s">
        <v>402</v>
      </c>
      <c r="K273" s="106" t="s">
        <v>403</v>
      </c>
      <c r="L273" s="55" t="s">
        <v>404</v>
      </c>
      <c r="M273" s="55" t="s">
        <v>7634</v>
      </c>
    </row>
    <row r="274" spans="1:13">
      <c r="A274" s="408" t="s">
        <v>1348</v>
      </c>
      <c r="B274" s="106" t="s">
        <v>327</v>
      </c>
      <c r="C274" s="106" t="s">
        <v>473</v>
      </c>
      <c r="D274" s="107" t="s">
        <v>1349</v>
      </c>
      <c r="E274" s="109" t="s">
        <v>355</v>
      </c>
      <c r="F274" s="109" t="s">
        <v>355</v>
      </c>
      <c r="G274" s="114"/>
      <c r="H274" s="108" t="s">
        <v>402</v>
      </c>
      <c r="I274" s="111" t="s">
        <v>402</v>
      </c>
      <c r="J274" s="111" t="s">
        <v>402</v>
      </c>
      <c r="K274" s="106" t="s">
        <v>403</v>
      </c>
      <c r="L274" s="55" t="s">
        <v>404</v>
      </c>
      <c r="M274" s="55" t="s">
        <v>7634</v>
      </c>
    </row>
    <row r="275" spans="1:13">
      <c r="A275" s="408" t="s">
        <v>1350</v>
      </c>
      <c r="B275" s="106" t="s">
        <v>327</v>
      </c>
      <c r="C275" s="106" t="s">
        <v>473</v>
      </c>
      <c r="D275" s="107" t="s">
        <v>1351</v>
      </c>
      <c r="E275" s="109" t="s">
        <v>355</v>
      </c>
      <c r="F275" s="109" t="s">
        <v>355</v>
      </c>
      <c r="G275" s="114"/>
      <c r="H275" s="108" t="s">
        <v>402</v>
      </c>
      <c r="I275" s="111" t="s">
        <v>402</v>
      </c>
      <c r="J275" s="111" t="s">
        <v>402</v>
      </c>
      <c r="K275" s="106" t="s">
        <v>403</v>
      </c>
      <c r="L275" s="55" t="s">
        <v>404</v>
      </c>
      <c r="M275" s="55" t="s">
        <v>7634</v>
      </c>
    </row>
    <row r="276" spans="1:13">
      <c r="A276" s="408" t="s">
        <v>1352</v>
      </c>
      <c r="B276" s="106" t="s">
        <v>327</v>
      </c>
      <c r="C276" s="106" t="s">
        <v>473</v>
      </c>
      <c r="D276" s="107" t="s">
        <v>1353</v>
      </c>
      <c r="E276" s="109" t="s">
        <v>355</v>
      </c>
      <c r="F276" s="109" t="s">
        <v>355</v>
      </c>
      <c r="G276" s="114"/>
      <c r="H276" s="108" t="s">
        <v>402</v>
      </c>
      <c r="I276" s="111" t="s">
        <v>402</v>
      </c>
      <c r="J276" s="111" t="s">
        <v>402</v>
      </c>
      <c r="K276" s="106" t="s">
        <v>403</v>
      </c>
      <c r="L276" s="55" t="s">
        <v>404</v>
      </c>
      <c r="M276" s="55" t="s">
        <v>7634</v>
      </c>
    </row>
    <row r="277" spans="1:13">
      <c r="A277" s="408" t="s">
        <v>1354</v>
      </c>
      <c r="B277" s="106" t="s">
        <v>327</v>
      </c>
      <c r="C277" s="106" t="s">
        <v>473</v>
      </c>
      <c r="D277" s="107" t="s">
        <v>1355</v>
      </c>
      <c r="E277" s="109" t="s">
        <v>355</v>
      </c>
      <c r="F277" s="109" t="s">
        <v>355</v>
      </c>
      <c r="G277" s="114"/>
      <c r="H277" s="108" t="s">
        <v>402</v>
      </c>
      <c r="I277" s="111" t="s">
        <v>402</v>
      </c>
      <c r="J277" s="111" t="s">
        <v>402</v>
      </c>
      <c r="K277" s="106" t="s">
        <v>403</v>
      </c>
      <c r="L277" s="55" t="s">
        <v>404</v>
      </c>
      <c r="M277" s="55" t="s">
        <v>7634</v>
      </c>
    </row>
    <row r="278" spans="1:13">
      <c r="A278" s="408" t="s">
        <v>1356</v>
      </c>
      <c r="B278" s="106" t="s">
        <v>327</v>
      </c>
      <c r="C278" s="106" t="s">
        <v>473</v>
      </c>
      <c r="D278" s="107" t="s">
        <v>1357</v>
      </c>
      <c r="E278" s="109" t="s">
        <v>355</v>
      </c>
      <c r="F278" s="109" t="s">
        <v>355</v>
      </c>
      <c r="G278" s="114"/>
      <c r="H278" s="108" t="s">
        <v>402</v>
      </c>
      <c r="I278" s="111" t="s">
        <v>402</v>
      </c>
      <c r="J278" s="111" t="s">
        <v>402</v>
      </c>
      <c r="K278" s="106" t="s">
        <v>403</v>
      </c>
      <c r="L278" s="55" t="s">
        <v>404</v>
      </c>
      <c r="M278" s="55" t="s">
        <v>7634</v>
      </c>
    </row>
    <row r="279" spans="1:13">
      <c r="A279" s="408" t="s">
        <v>1358</v>
      </c>
      <c r="B279" s="106" t="s">
        <v>327</v>
      </c>
      <c r="C279" s="106" t="s">
        <v>473</v>
      </c>
      <c r="D279" s="107" t="s">
        <v>1359</v>
      </c>
      <c r="E279" s="109" t="s">
        <v>355</v>
      </c>
      <c r="F279" s="109" t="s">
        <v>355</v>
      </c>
      <c r="G279" s="114"/>
      <c r="H279" s="108" t="s">
        <v>402</v>
      </c>
      <c r="I279" s="111" t="s">
        <v>402</v>
      </c>
      <c r="J279" s="111" t="s">
        <v>402</v>
      </c>
      <c r="K279" s="106" t="s">
        <v>403</v>
      </c>
      <c r="L279" s="55" t="s">
        <v>404</v>
      </c>
      <c r="M279" s="55" t="s">
        <v>7634</v>
      </c>
    </row>
    <row r="280" spans="1:13">
      <c r="A280" s="408" t="s">
        <v>1360</v>
      </c>
      <c r="B280" s="106" t="s">
        <v>327</v>
      </c>
      <c r="C280" s="106" t="s">
        <v>473</v>
      </c>
      <c r="D280" s="107" t="s">
        <v>1361</v>
      </c>
      <c r="E280" s="109" t="s">
        <v>355</v>
      </c>
      <c r="F280" s="109" t="s">
        <v>355</v>
      </c>
      <c r="G280" s="114"/>
      <c r="H280" s="108" t="s">
        <v>402</v>
      </c>
      <c r="I280" s="111" t="s">
        <v>402</v>
      </c>
      <c r="J280" s="111" t="s">
        <v>402</v>
      </c>
      <c r="K280" s="106" t="s">
        <v>403</v>
      </c>
      <c r="L280" s="55" t="s">
        <v>404</v>
      </c>
      <c r="M280" s="55" t="s">
        <v>7634</v>
      </c>
    </row>
    <row r="281" spans="1:13">
      <c r="A281" s="408" t="s">
        <v>1362</v>
      </c>
      <c r="B281" s="106" t="s">
        <v>327</v>
      </c>
      <c r="C281" s="106" t="s">
        <v>473</v>
      </c>
      <c r="D281" s="107" t="s">
        <v>1363</v>
      </c>
      <c r="E281" s="109" t="s">
        <v>355</v>
      </c>
      <c r="F281" s="109" t="s">
        <v>355</v>
      </c>
      <c r="G281" s="114"/>
      <c r="H281" s="108" t="s">
        <v>402</v>
      </c>
      <c r="I281" s="111" t="s">
        <v>402</v>
      </c>
      <c r="J281" s="111" t="s">
        <v>402</v>
      </c>
      <c r="K281" s="106" t="s">
        <v>403</v>
      </c>
      <c r="L281" s="55" t="s">
        <v>404</v>
      </c>
      <c r="M281" s="55" t="s">
        <v>7634</v>
      </c>
    </row>
    <row r="282" spans="1:13">
      <c r="A282" s="401" t="s">
        <v>1364</v>
      </c>
      <c r="B282" s="106" t="s">
        <v>327</v>
      </c>
      <c r="C282" s="106" t="s">
        <v>473</v>
      </c>
      <c r="D282" s="109" t="s">
        <v>1365</v>
      </c>
      <c r="E282" s="109" t="s">
        <v>1366</v>
      </c>
      <c r="F282" s="109" t="s">
        <v>1367</v>
      </c>
      <c r="G282" s="117" t="s">
        <v>383</v>
      </c>
      <c r="H282" s="115" t="s">
        <v>402</v>
      </c>
      <c r="I282" s="111" t="s">
        <v>402</v>
      </c>
      <c r="J282" s="111" t="s">
        <v>402</v>
      </c>
      <c r="K282" s="115" t="s">
        <v>403</v>
      </c>
      <c r="L282" s="55" t="s">
        <v>404</v>
      </c>
      <c r="M282" s="113" t="s">
        <v>1173</v>
      </c>
    </row>
    <row r="283" spans="1:13">
      <c r="A283" s="408" t="s">
        <v>1368</v>
      </c>
      <c r="B283" s="106" t="s">
        <v>327</v>
      </c>
      <c r="C283" s="106" t="s">
        <v>473</v>
      </c>
      <c r="D283" s="107" t="s">
        <v>1369</v>
      </c>
      <c r="E283" s="109" t="s">
        <v>355</v>
      </c>
      <c r="F283" s="109" t="s">
        <v>355</v>
      </c>
      <c r="G283" s="114"/>
      <c r="H283" s="108" t="s">
        <v>402</v>
      </c>
      <c r="I283" s="111" t="s">
        <v>402</v>
      </c>
      <c r="J283" s="111" t="s">
        <v>402</v>
      </c>
      <c r="K283" s="106" t="s">
        <v>403</v>
      </c>
      <c r="L283" s="55" t="s">
        <v>404</v>
      </c>
      <c r="M283" s="55" t="s">
        <v>7634</v>
      </c>
    </row>
    <row r="284" spans="1:13">
      <c r="A284" s="408" t="s">
        <v>1370</v>
      </c>
      <c r="B284" s="106" t="s">
        <v>327</v>
      </c>
      <c r="C284" s="106" t="s">
        <v>473</v>
      </c>
      <c r="D284" s="107" t="s">
        <v>1371</v>
      </c>
      <c r="E284" s="109" t="s">
        <v>355</v>
      </c>
      <c r="F284" s="109" t="s">
        <v>355</v>
      </c>
      <c r="G284" s="114"/>
      <c r="H284" s="108" t="s">
        <v>402</v>
      </c>
      <c r="I284" s="111" t="s">
        <v>402</v>
      </c>
      <c r="J284" s="111" t="s">
        <v>402</v>
      </c>
      <c r="K284" s="106" t="s">
        <v>403</v>
      </c>
      <c r="L284" s="55" t="s">
        <v>404</v>
      </c>
      <c r="M284" s="55" t="s">
        <v>7634</v>
      </c>
    </row>
    <row r="285" spans="1:13">
      <c r="A285" s="408" t="s">
        <v>1372</v>
      </c>
      <c r="B285" s="106" t="s">
        <v>327</v>
      </c>
      <c r="C285" s="106" t="s">
        <v>473</v>
      </c>
      <c r="D285" s="107" t="s">
        <v>1373</v>
      </c>
      <c r="E285" s="109" t="s">
        <v>355</v>
      </c>
      <c r="F285" s="109" t="s">
        <v>355</v>
      </c>
      <c r="G285" s="114"/>
      <c r="H285" s="108" t="s">
        <v>402</v>
      </c>
      <c r="I285" s="111" t="s">
        <v>402</v>
      </c>
      <c r="J285" s="111" t="s">
        <v>402</v>
      </c>
      <c r="K285" s="106" t="s">
        <v>403</v>
      </c>
      <c r="L285" s="55" t="s">
        <v>404</v>
      </c>
      <c r="M285" s="55" t="s">
        <v>7634</v>
      </c>
    </row>
    <row r="286" spans="1:13">
      <c r="A286" s="408" t="s">
        <v>1374</v>
      </c>
      <c r="B286" s="106" t="s">
        <v>327</v>
      </c>
      <c r="C286" s="106" t="s">
        <v>473</v>
      </c>
      <c r="D286" s="107" t="s">
        <v>1375</v>
      </c>
      <c r="E286" s="109" t="s">
        <v>355</v>
      </c>
      <c r="F286" s="109" t="s">
        <v>355</v>
      </c>
      <c r="G286" s="114"/>
      <c r="H286" s="108" t="s">
        <v>402</v>
      </c>
      <c r="I286" s="111" t="s">
        <v>402</v>
      </c>
      <c r="J286" s="111" t="s">
        <v>402</v>
      </c>
      <c r="K286" s="106" t="s">
        <v>403</v>
      </c>
      <c r="L286" s="55" t="s">
        <v>404</v>
      </c>
      <c r="M286" s="55" t="s">
        <v>7634</v>
      </c>
    </row>
    <row r="287" spans="1:13">
      <c r="A287" s="408" t="s">
        <v>1376</v>
      </c>
      <c r="B287" s="106" t="s">
        <v>327</v>
      </c>
      <c r="C287" s="106" t="s">
        <v>473</v>
      </c>
      <c r="D287" s="107" t="s">
        <v>1377</v>
      </c>
      <c r="E287" s="109" t="s">
        <v>355</v>
      </c>
      <c r="F287" s="109" t="s">
        <v>355</v>
      </c>
      <c r="G287" s="114"/>
      <c r="H287" s="108" t="s">
        <v>402</v>
      </c>
      <c r="I287" s="111" t="s">
        <v>402</v>
      </c>
      <c r="J287" s="111" t="s">
        <v>402</v>
      </c>
      <c r="K287" s="106" t="s">
        <v>403</v>
      </c>
      <c r="L287" s="55" t="s">
        <v>404</v>
      </c>
      <c r="M287" s="55" t="s">
        <v>7634</v>
      </c>
    </row>
    <row r="288" spans="1:13">
      <c r="A288" s="408" t="s">
        <v>1378</v>
      </c>
      <c r="B288" s="106" t="s">
        <v>327</v>
      </c>
      <c r="C288" s="106" t="s">
        <v>473</v>
      </c>
      <c r="D288" s="107" t="s">
        <v>1379</v>
      </c>
      <c r="E288" s="109" t="s">
        <v>355</v>
      </c>
      <c r="F288" s="109" t="s">
        <v>355</v>
      </c>
      <c r="G288" s="114"/>
      <c r="H288" s="108" t="s">
        <v>402</v>
      </c>
      <c r="I288" s="111" t="s">
        <v>402</v>
      </c>
      <c r="J288" s="111" t="s">
        <v>402</v>
      </c>
      <c r="K288" s="106" t="s">
        <v>403</v>
      </c>
      <c r="L288" s="55" t="s">
        <v>404</v>
      </c>
      <c r="M288" s="55" t="s">
        <v>7634</v>
      </c>
    </row>
    <row r="289" spans="1:13">
      <c r="A289" s="408" t="s">
        <v>1380</v>
      </c>
      <c r="B289" s="106" t="s">
        <v>327</v>
      </c>
      <c r="C289" s="106" t="s">
        <v>473</v>
      </c>
      <c r="D289" s="107" t="s">
        <v>1381</v>
      </c>
      <c r="E289" s="109" t="s">
        <v>355</v>
      </c>
      <c r="F289" s="109" t="s">
        <v>355</v>
      </c>
      <c r="G289" s="114"/>
      <c r="H289" s="108" t="s">
        <v>402</v>
      </c>
      <c r="I289" s="111" t="s">
        <v>402</v>
      </c>
      <c r="J289" s="111" t="s">
        <v>402</v>
      </c>
      <c r="K289" s="106" t="s">
        <v>403</v>
      </c>
      <c r="L289" s="55" t="s">
        <v>404</v>
      </c>
      <c r="M289" s="55" t="s">
        <v>7634</v>
      </c>
    </row>
    <row r="290" spans="1:13">
      <c r="A290" s="408" t="s">
        <v>1382</v>
      </c>
      <c r="B290" s="106" t="s">
        <v>327</v>
      </c>
      <c r="C290" s="106" t="s">
        <v>473</v>
      </c>
      <c r="D290" s="107" t="s">
        <v>1383</v>
      </c>
      <c r="E290" s="109" t="s">
        <v>355</v>
      </c>
      <c r="F290" s="109" t="s">
        <v>355</v>
      </c>
      <c r="G290" s="114"/>
      <c r="H290" s="108" t="s">
        <v>402</v>
      </c>
      <c r="I290" s="111" t="s">
        <v>402</v>
      </c>
      <c r="J290" s="111" t="s">
        <v>402</v>
      </c>
      <c r="K290" s="106" t="s">
        <v>403</v>
      </c>
      <c r="L290" s="55" t="s">
        <v>404</v>
      </c>
      <c r="M290" s="55" t="s">
        <v>7634</v>
      </c>
    </row>
    <row r="291" spans="1:13">
      <c r="A291" s="408" t="s">
        <v>1384</v>
      </c>
      <c r="B291" s="106" t="s">
        <v>327</v>
      </c>
      <c r="C291" s="106" t="s">
        <v>473</v>
      </c>
      <c r="D291" s="107" t="s">
        <v>1385</v>
      </c>
      <c r="E291" s="109" t="s">
        <v>355</v>
      </c>
      <c r="F291" s="109" t="s">
        <v>355</v>
      </c>
      <c r="G291" s="114"/>
      <c r="H291" s="108" t="s">
        <v>402</v>
      </c>
      <c r="I291" s="111" t="s">
        <v>402</v>
      </c>
      <c r="J291" s="111" t="s">
        <v>402</v>
      </c>
      <c r="K291" s="106" t="s">
        <v>403</v>
      </c>
      <c r="L291" s="55" t="s">
        <v>404</v>
      </c>
      <c r="M291" s="55" t="s">
        <v>7634</v>
      </c>
    </row>
    <row r="292" spans="1:13">
      <c r="A292" s="408" t="s">
        <v>1386</v>
      </c>
      <c r="B292" s="106" t="s">
        <v>327</v>
      </c>
      <c r="C292" s="106" t="s">
        <v>473</v>
      </c>
      <c r="D292" s="107" t="s">
        <v>1387</v>
      </c>
      <c r="E292" s="109" t="s">
        <v>355</v>
      </c>
      <c r="F292" s="109" t="s">
        <v>355</v>
      </c>
      <c r="G292" s="114"/>
      <c r="H292" s="108" t="s">
        <v>402</v>
      </c>
      <c r="I292" s="111" t="s">
        <v>402</v>
      </c>
      <c r="J292" s="111" t="s">
        <v>402</v>
      </c>
      <c r="K292" s="106" t="s">
        <v>403</v>
      </c>
      <c r="L292" s="55" t="s">
        <v>404</v>
      </c>
      <c r="M292" s="55" t="s">
        <v>7634</v>
      </c>
    </row>
    <row r="293" spans="1:13">
      <c r="A293" s="408" t="s">
        <v>1388</v>
      </c>
      <c r="B293" s="106" t="s">
        <v>327</v>
      </c>
      <c r="C293" s="106" t="s">
        <v>473</v>
      </c>
      <c r="D293" s="107" t="s">
        <v>1389</v>
      </c>
      <c r="E293" s="109" t="s">
        <v>355</v>
      </c>
      <c r="F293" s="109" t="s">
        <v>355</v>
      </c>
      <c r="G293" s="114"/>
      <c r="H293" s="108" t="s">
        <v>402</v>
      </c>
      <c r="I293" s="111" t="s">
        <v>402</v>
      </c>
      <c r="J293" s="111" t="s">
        <v>402</v>
      </c>
      <c r="K293" s="106" t="s">
        <v>403</v>
      </c>
      <c r="L293" s="55" t="s">
        <v>404</v>
      </c>
      <c r="M293" s="55" t="s">
        <v>7634</v>
      </c>
    </row>
    <row r="294" spans="1:13">
      <c r="A294" s="408" t="s">
        <v>1390</v>
      </c>
      <c r="B294" s="106" t="s">
        <v>327</v>
      </c>
      <c r="C294" s="106" t="s">
        <v>473</v>
      </c>
      <c r="D294" s="107" t="s">
        <v>1391</v>
      </c>
      <c r="E294" s="109" t="s">
        <v>355</v>
      </c>
      <c r="F294" s="109" t="s">
        <v>355</v>
      </c>
      <c r="G294" s="114"/>
      <c r="H294" s="108" t="s">
        <v>402</v>
      </c>
      <c r="I294" s="111" t="s">
        <v>402</v>
      </c>
      <c r="J294" s="111" t="s">
        <v>402</v>
      </c>
      <c r="K294" s="106" t="s">
        <v>403</v>
      </c>
      <c r="L294" s="55" t="s">
        <v>404</v>
      </c>
      <c r="M294" s="55" t="s">
        <v>7634</v>
      </c>
    </row>
    <row r="295" spans="1:13">
      <c r="A295" s="408" t="s">
        <v>1392</v>
      </c>
      <c r="B295" s="106" t="s">
        <v>327</v>
      </c>
      <c r="C295" s="106" t="s">
        <v>473</v>
      </c>
      <c r="D295" s="107" t="s">
        <v>1391</v>
      </c>
      <c r="E295" s="109" t="s">
        <v>355</v>
      </c>
      <c r="F295" s="109" t="s">
        <v>355</v>
      </c>
      <c r="G295" s="114"/>
      <c r="H295" s="108" t="s">
        <v>402</v>
      </c>
      <c r="I295" s="111" t="s">
        <v>402</v>
      </c>
      <c r="J295" s="111" t="s">
        <v>402</v>
      </c>
      <c r="K295" s="106" t="s">
        <v>403</v>
      </c>
      <c r="L295" s="55" t="s">
        <v>404</v>
      </c>
      <c r="M295" s="55" t="s">
        <v>7634</v>
      </c>
    </row>
    <row r="296" spans="1:13">
      <c r="A296" s="408" t="s">
        <v>1393</v>
      </c>
      <c r="B296" s="106" t="s">
        <v>327</v>
      </c>
      <c r="C296" s="106" t="s">
        <v>473</v>
      </c>
      <c r="D296" s="107" t="s">
        <v>1394</v>
      </c>
      <c r="E296" s="109" t="s">
        <v>355</v>
      </c>
      <c r="F296" s="109" t="s">
        <v>355</v>
      </c>
      <c r="G296" s="114"/>
      <c r="H296" s="108" t="s">
        <v>402</v>
      </c>
      <c r="I296" s="111" t="s">
        <v>402</v>
      </c>
      <c r="J296" s="111" t="s">
        <v>402</v>
      </c>
      <c r="K296" s="106" t="s">
        <v>403</v>
      </c>
      <c r="L296" s="55" t="s">
        <v>404</v>
      </c>
      <c r="M296" s="55" t="s">
        <v>7634</v>
      </c>
    </row>
    <row r="297" spans="1:13">
      <c r="A297" s="408" t="s">
        <v>1395</v>
      </c>
      <c r="B297" s="106" t="s">
        <v>327</v>
      </c>
      <c r="C297" s="106" t="s">
        <v>473</v>
      </c>
      <c r="D297" s="107" t="s">
        <v>1394</v>
      </c>
      <c r="E297" s="109" t="s">
        <v>355</v>
      </c>
      <c r="F297" s="109" t="s">
        <v>355</v>
      </c>
      <c r="G297" s="114"/>
      <c r="H297" s="108" t="s">
        <v>402</v>
      </c>
      <c r="I297" s="111" t="s">
        <v>402</v>
      </c>
      <c r="J297" s="111" t="s">
        <v>402</v>
      </c>
      <c r="K297" s="106" t="s">
        <v>403</v>
      </c>
      <c r="L297" s="55" t="s">
        <v>404</v>
      </c>
      <c r="M297" s="55" t="s">
        <v>7634</v>
      </c>
    </row>
    <row r="298" spans="1:13">
      <c r="A298" s="408" t="s">
        <v>1396</v>
      </c>
      <c r="B298" s="106" t="s">
        <v>327</v>
      </c>
      <c r="C298" s="106" t="s">
        <v>473</v>
      </c>
      <c r="D298" s="107" t="s">
        <v>1394</v>
      </c>
      <c r="E298" s="109" t="s">
        <v>355</v>
      </c>
      <c r="F298" s="109" t="s">
        <v>355</v>
      </c>
      <c r="G298" s="114"/>
      <c r="H298" s="108" t="s">
        <v>402</v>
      </c>
      <c r="I298" s="111" t="s">
        <v>402</v>
      </c>
      <c r="J298" s="111" t="s">
        <v>402</v>
      </c>
      <c r="K298" s="106" t="s">
        <v>403</v>
      </c>
      <c r="L298" s="55" t="s">
        <v>404</v>
      </c>
      <c r="M298" s="55" t="s">
        <v>7634</v>
      </c>
    </row>
    <row r="299" spans="1:13">
      <c r="A299" s="408" t="s">
        <v>1397</v>
      </c>
      <c r="B299" s="106" t="s">
        <v>327</v>
      </c>
      <c r="C299" s="106" t="s">
        <v>473</v>
      </c>
      <c r="D299" s="107" t="s">
        <v>1398</v>
      </c>
      <c r="E299" s="109" t="s">
        <v>355</v>
      </c>
      <c r="F299" s="109" t="s">
        <v>355</v>
      </c>
      <c r="G299" s="114"/>
      <c r="H299" s="108" t="s">
        <v>402</v>
      </c>
      <c r="I299" s="111" t="s">
        <v>402</v>
      </c>
      <c r="J299" s="111" t="s">
        <v>402</v>
      </c>
      <c r="K299" s="106" t="s">
        <v>403</v>
      </c>
      <c r="L299" s="55" t="s">
        <v>404</v>
      </c>
      <c r="M299" s="55" t="s">
        <v>7634</v>
      </c>
    </row>
    <row r="300" spans="1:13">
      <c r="A300" s="408" t="s">
        <v>1399</v>
      </c>
      <c r="B300" s="106" t="s">
        <v>327</v>
      </c>
      <c r="C300" s="106" t="s">
        <v>473</v>
      </c>
      <c r="D300" s="107" t="s">
        <v>1400</v>
      </c>
      <c r="E300" s="109" t="s">
        <v>355</v>
      </c>
      <c r="F300" s="109" t="s">
        <v>355</v>
      </c>
      <c r="G300" s="114"/>
      <c r="H300" s="108" t="s">
        <v>402</v>
      </c>
      <c r="I300" s="111" t="s">
        <v>402</v>
      </c>
      <c r="J300" s="111" t="s">
        <v>402</v>
      </c>
      <c r="K300" s="106" t="s">
        <v>403</v>
      </c>
      <c r="L300" s="55" t="s">
        <v>404</v>
      </c>
      <c r="M300" s="55" t="s">
        <v>7634</v>
      </c>
    </row>
    <row r="301" spans="1:13">
      <c r="A301" s="408" t="s">
        <v>1401</v>
      </c>
      <c r="B301" s="106" t="s">
        <v>327</v>
      </c>
      <c r="C301" s="106" t="s">
        <v>473</v>
      </c>
      <c r="D301" s="107" t="s">
        <v>1402</v>
      </c>
      <c r="E301" s="109" t="s">
        <v>355</v>
      </c>
      <c r="F301" s="109" t="s">
        <v>355</v>
      </c>
      <c r="G301" s="114"/>
      <c r="H301" s="108" t="s">
        <v>402</v>
      </c>
      <c r="I301" s="111" t="s">
        <v>402</v>
      </c>
      <c r="J301" s="111" t="s">
        <v>402</v>
      </c>
      <c r="K301" s="106" t="s">
        <v>403</v>
      </c>
      <c r="L301" s="55" t="s">
        <v>404</v>
      </c>
      <c r="M301" s="55" t="s">
        <v>7634</v>
      </c>
    </row>
    <row r="302" spans="1:13">
      <c r="A302" s="408" t="s">
        <v>1403</v>
      </c>
      <c r="B302" s="106" t="s">
        <v>327</v>
      </c>
      <c r="C302" s="106" t="s">
        <v>473</v>
      </c>
      <c r="D302" s="107" t="s">
        <v>1402</v>
      </c>
      <c r="E302" s="109" t="s">
        <v>355</v>
      </c>
      <c r="F302" s="109" t="s">
        <v>355</v>
      </c>
      <c r="G302" s="114"/>
      <c r="H302" s="108" t="s">
        <v>402</v>
      </c>
      <c r="I302" s="111" t="s">
        <v>402</v>
      </c>
      <c r="J302" s="111" t="s">
        <v>402</v>
      </c>
      <c r="K302" s="106" t="s">
        <v>403</v>
      </c>
      <c r="L302" s="55" t="s">
        <v>404</v>
      </c>
      <c r="M302" s="55" t="s">
        <v>7634</v>
      </c>
    </row>
    <row r="303" spans="1:13">
      <c r="A303" s="408" t="s">
        <v>1404</v>
      </c>
      <c r="B303" s="106" t="s">
        <v>327</v>
      </c>
      <c r="C303" s="106" t="s">
        <v>473</v>
      </c>
      <c r="D303" s="107" t="s">
        <v>1405</v>
      </c>
      <c r="E303" s="109" t="s">
        <v>355</v>
      </c>
      <c r="F303" s="109" t="s">
        <v>355</v>
      </c>
      <c r="G303" s="114"/>
      <c r="H303" s="108" t="s">
        <v>402</v>
      </c>
      <c r="I303" s="111" t="s">
        <v>402</v>
      </c>
      <c r="J303" s="111" t="s">
        <v>402</v>
      </c>
      <c r="K303" s="106" t="s">
        <v>403</v>
      </c>
      <c r="L303" s="55" t="s">
        <v>404</v>
      </c>
      <c r="M303" s="55" t="s">
        <v>7634</v>
      </c>
    </row>
    <row r="304" spans="1:13">
      <c r="A304" s="408" t="s">
        <v>1406</v>
      </c>
      <c r="B304" s="106" t="s">
        <v>327</v>
      </c>
      <c r="C304" s="106" t="s">
        <v>473</v>
      </c>
      <c r="D304" s="107" t="s">
        <v>1405</v>
      </c>
      <c r="E304" s="109" t="s">
        <v>355</v>
      </c>
      <c r="F304" s="109" t="s">
        <v>355</v>
      </c>
      <c r="G304" s="114"/>
      <c r="H304" s="108" t="s">
        <v>402</v>
      </c>
      <c r="I304" s="111" t="s">
        <v>402</v>
      </c>
      <c r="J304" s="111" t="s">
        <v>402</v>
      </c>
      <c r="K304" s="106" t="s">
        <v>403</v>
      </c>
      <c r="L304" s="55" t="s">
        <v>404</v>
      </c>
      <c r="M304" s="55" t="s">
        <v>7634</v>
      </c>
    </row>
    <row r="305" spans="1:13">
      <c r="A305" s="408" t="s">
        <v>1407</v>
      </c>
      <c r="B305" s="106" t="s">
        <v>327</v>
      </c>
      <c r="C305" s="106" t="s">
        <v>473</v>
      </c>
      <c r="D305" s="107" t="s">
        <v>1408</v>
      </c>
      <c r="E305" s="109" t="s">
        <v>355</v>
      </c>
      <c r="F305" s="109" t="s">
        <v>355</v>
      </c>
      <c r="G305" s="114"/>
      <c r="H305" s="108" t="s">
        <v>402</v>
      </c>
      <c r="I305" s="111" t="s">
        <v>402</v>
      </c>
      <c r="J305" s="111" t="s">
        <v>402</v>
      </c>
      <c r="K305" s="106" t="s">
        <v>403</v>
      </c>
      <c r="L305" s="55" t="s">
        <v>404</v>
      </c>
      <c r="M305" s="55" t="s">
        <v>7634</v>
      </c>
    </row>
    <row r="306" spans="1:13">
      <c r="A306" s="408" t="s">
        <v>1409</v>
      </c>
      <c r="B306" s="106" t="s">
        <v>327</v>
      </c>
      <c r="C306" s="106" t="s">
        <v>473</v>
      </c>
      <c r="D306" s="107" t="s">
        <v>1410</v>
      </c>
      <c r="E306" s="109" t="s">
        <v>355</v>
      </c>
      <c r="F306" s="109" t="s">
        <v>355</v>
      </c>
      <c r="G306" s="114"/>
      <c r="H306" s="108" t="s">
        <v>402</v>
      </c>
      <c r="I306" s="111" t="s">
        <v>402</v>
      </c>
      <c r="J306" s="111" t="s">
        <v>402</v>
      </c>
      <c r="K306" s="106" t="s">
        <v>403</v>
      </c>
      <c r="L306" s="55" t="s">
        <v>404</v>
      </c>
      <c r="M306" s="55" t="s">
        <v>7634</v>
      </c>
    </row>
    <row r="307" spans="1:13">
      <c r="A307" s="408" t="s">
        <v>1411</v>
      </c>
      <c r="B307" s="106" t="s">
        <v>327</v>
      </c>
      <c r="C307" s="106" t="s">
        <v>473</v>
      </c>
      <c r="D307" s="107" t="s">
        <v>1412</v>
      </c>
      <c r="E307" s="109" t="s">
        <v>355</v>
      </c>
      <c r="F307" s="109" t="s">
        <v>355</v>
      </c>
      <c r="G307" s="114"/>
      <c r="H307" s="108" t="s">
        <v>402</v>
      </c>
      <c r="I307" s="111" t="s">
        <v>402</v>
      </c>
      <c r="J307" s="111" t="s">
        <v>402</v>
      </c>
      <c r="K307" s="106" t="s">
        <v>403</v>
      </c>
      <c r="L307" s="55" t="s">
        <v>404</v>
      </c>
      <c r="M307" s="55" t="s">
        <v>7634</v>
      </c>
    </row>
    <row r="308" spans="1:13">
      <c r="A308" s="408" t="s">
        <v>1413</v>
      </c>
      <c r="B308" s="106" t="s">
        <v>327</v>
      </c>
      <c r="C308" s="106" t="s">
        <v>473</v>
      </c>
      <c r="D308" s="107" t="s">
        <v>1414</v>
      </c>
      <c r="E308" s="109" t="s">
        <v>355</v>
      </c>
      <c r="F308" s="109" t="s">
        <v>355</v>
      </c>
      <c r="G308" s="114"/>
      <c r="H308" s="108" t="s">
        <v>402</v>
      </c>
      <c r="I308" s="111" t="s">
        <v>402</v>
      </c>
      <c r="J308" s="111" t="s">
        <v>402</v>
      </c>
      <c r="K308" s="106" t="s">
        <v>403</v>
      </c>
      <c r="L308" s="55" t="s">
        <v>404</v>
      </c>
      <c r="M308" s="55" t="s">
        <v>7634</v>
      </c>
    </row>
    <row r="309" spans="1:13">
      <c r="A309" s="408" t="s">
        <v>1415</v>
      </c>
      <c r="B309" s="106" t="s">
        <v>327</v>
      </c>
      <c r="C309" s="106" t="s">
        <v>473</v>
      </c>
      <c r="D309" s="107" t="s">
        <v>1416</v>
      </c>
      <c r="E309" s="109" t="s">
        <v>355</v>
      </c>
      <c r="F309" s="109" t="s">
        <v>355</v>
      </c>
      <c r="G309" s="114"/>
      <c r="H309" s="108" t="s">
        <v>402</v>
      </c>
      <c r="I309" s="111" t="s">
        <v>402</v>
      </c>
      <c r="J309" s="111" t="s">
        <v>402</v>
      </c>
      <c r="K309" s="106" t="s">
        <v>403</v>
      </c>
      <c r="L309" s="55" t="s">
        <v>404</v>
      </c>
      <c r="M309" s="55" t="s">
        <v>7634</v>
      </c>
    </row>
    <row r="310" spans="1:13">
      <c r="A310" s="408" t="s">
        <v>1417</v>
      </c>
      <c r="B310" s="106" t="s">
        <v>327</v>
      </c>
      <c r="C310" s="106" t="s">
        <v>473</v>
      </c>
      <c r="D310" s="107" t="s">
        <v>1418</v>
      </c>
      <c r="E310" s="109" t="s">
        <v>355</v>
      </c>
      <c r="F310" s="109" t="s">
        <v>355</v>
      </c>
      <c r="G310" s="114"/>
      <c r="H310" s="108" t="s">
        <v>402</v>
      </c>
      <c r="I310" s="111" t="s">
        <v>402</v>
      </c>
      <c r="J310" s="111" t="s">
        <v>402</v>
      </c>
      <c r="K310" s="106" t="s">
        <v>403</v>
      </c>
      <c r="L310" s="55" t="s">
        <v>404</v>
      </c>
      <c r="M310" s="55" t="s">
        <v>7634</v>
      </c>
    </row>
    <row r="311" spans="1:13">
      <c r="A311" s="408" t="s">
        <v>1419</v>
      </c>
      <c r="B311" s="106" t="s">
        <v>327</v>
      </c>
      <c r="C311" s="106" t="s">
        <v>473</v>
      </c>
      <c r="D311" s="107" t="s">
        <v>1420</v>
      </c>
      <c r="E311" s="109" t="s">
        <v>355</v>
      </c>
      <c r="F311" s="109" t="s">
        <v>355</v>
      </c>
      <c r="G311" s="114"/>
      <c r="H311" s="108" t="s">
        <v>402</v>
      </c>
      <c r="I311" s="111" t="s">
        <v>402</v>
      </c>
      <c r="J311" s="111" t="s">
        <v>402</v>
      </c>
      <c r="K311" s="106" t="s">
        <v>403</v>
      </c>
      <c r="L311" s="55" t="s">
        <v>404</v>
      </c>
      <c r="M311" s="55" t="s">
        <v>7634</v>
      </c>
    </row>
    <row r="312" spans="1:13">
      <c r="A312" s="408" t="s">
        <v>1421</v>
      </c>
      <c r="B312" s="106" t="s">
        <v>327</v>
      </c>
      <c r="C312" s="106" t="s">
        <v>473</v>
      </c>
      <c r="D312" s="107" t="s">
        <v>1422</v>
      </c>
      <c r="E312" s="109" t="s">
        <v>355</v>
      </c>
      <c r="F312" s="109" t="s">
        <v>355</v>
      </c>
      <c r="G312" s="114"/>
      <c r="H312" s="108" t="s">
        <v>402</v>
      </c>
      <c r="I312" s="111" t="s">
        <v>402</v>
      </c>
      <c r="J312" s="111" t="s">
        <v>402</v>
      </c>
      <c r="K312" s="106" t="s">
        <v>403</v>
      </c>
      <c r="L312" s="55" t="s">
        <v>404</v>
      </c>
      <c r="M312" s="55" t="s">
        <v>7634</v>
      </c>
    </row>
    <row r="313" spans="1:13">
      <c r="A313" s="408" t="s">
        <v>1423</v>
      </c>
      <c r="B313" s="106" t="s">
        <v>327</v>
      </c>
      <c r="C313" s="106" t="s">
        <v>473</v>
      </c>
      <c r="D313" s="107" t="s">
        <v>1424</v>
      </c>
      <c r="E313" s="109" t="s">
        <v>355</v>
      </c>
      <c r="F313" s="109" t="s">
        <v>355</v>
      </c>
      <c r="G313" s="114"/>
      <c r="H313" s="108" t="s">
        <v>402</v>
      </c>
      <c r="I313" s="111" t="s">
        <v>402</v>
      </c>
      <c r="J313" s="111" t="s">
        <v>402</v>
      </c>
      <c r="K313" s="106" t="s">
        <v>403</v>
      </c>
      <c r="L313" s="55" t="s">
        <v>404</v>
      </c>
      <c r="M313" s="55" t="s">
        <v>7634</v>
      </c>
    </row>
    <row r="314" spans="1:13">
      <c r="A314" s="408" t="s">
        <v>1425</v>
      </c>
      <c r="B314" s="106" t="s">
        <v>327</v>
      </c>
      <c r="C314" s="106" t="s">
        <v>473</v>
      </c>
      <c r="D314" s="107" t="s">
        <v>1426</v>
      </c>
      <c r="E314" s="109" t="s">
        <v>355</v>
      </c>
      <c r="F314" s="109" t="s">
        <v>355</v>
      </c>
      <c r="G314" s="114"/>
      <c r="H314" s="108" t="s">
        <v>402</v>
      </c>
      <c r="I314" s="111" t="s">
        <v>402</v>
      </c>
      <c r="J314" s="111" t="s">
        <v>402</v>
      </c>
      <c r="K314" s="106" t="s">
        <v>403</v>
      </c>
      <c r="L314" s="55" t="s">
        <v>404</v>
      </c>
      <c r="M314" s="55" t="s">
        <v>7634</v>
      </c>
    </row>
    <row r="315" spans="1:13">
      <c r="A315" s="408" t="s">
        <v>1427</v>
      </c>
      <c r="B315" s="106" t="s">
        <v>327</v>
      </c>
      <c r="C315" s="106" t="s">
        <v>473</v>
      </c>
      <c r="D315" s="107" t="s">
        <v>1426</v>
      </c>
      <c r="E315" s="109" t="s">
        <v>355</v>
      </c>
      <c r="F315" s="109" t="s">
        <v>355</v>
      </c>
      <c r="G315" s="114"/>
      <c r="H315" s="108" t="s">
        <v>402</v>
      </c>
      <c r="I315" s="111" t="s">
        <v>402</v>
      </c>
      <c r="J315" s="111" t="s">
        <v>402</v>
      </c>
      <c r="K315" s="106" t="s">
        <v>403</v>
      </c>
      <c r="L315" s="55" t="s">
        <v>404</v>
      </c>
      <c r="M315" s="55" t="s">
        <v>7634</v>
      </c>
    </row>
    <row r="316" spans="1:13">
      <c r="A316" s="408" t="s">
        <v>1428</v>
      </c>
      <c r="B316" s="106" t="s">
        <v>327</v>
      </c>
      <c r="C316" s="106" t="s">
        <v>473</v>
      </c>
      <c r="D316" s="107" t="s">
        <v>1429</v>
      </c>
      <c r="E316" s="109" t="s">
        <v>355</v>
      </c>
      <c r="F316" s="109" t="s">
        <v>355</v>
      </c>
      <c r="G316" s="114"/>
      <c r="H316" s="108" t="s">
        <v>402</v>
      </c>
      <c r="I316" s="111" t="s">
        <v>402</v>
      </c>
      <c r="J316" s="111" t="s">
        <v>402</v>
      </c>
      <c r="K316" s="106" t="s">
        <v>403</v>
      </c>
      <c r="L316" s="55" t="s">
        <v>404</v>
      </c>
      <c r="M316" s="55" t="s">
        <v>7634</v>
      </c>
    </row>
    <row r="317" spans="1:13">
      <c r="A317" s="408" t="s">
        <v>1430</v>
      </c>
      <c r="B317" s="106" t="s">
        <v>327</v>
      </c>
      <c r="C317" s="106" t="s">
        <v>473</v>
      </c>
      <c r="D317" s="107" t="s">
        <v>1431</v>
      </c>
      <c r="E317" s="107" t="s">
        <v>1432</v>
      </c>
      <c r="F317" s="118" t="s">
        <v>1433</v>
      </c>
      <c r="G317" s="114" t="s">
        <v>355</v>
      </c>
      <c r="H317" s="108" t="s">
        <v>402</v>
      </c>
      <c r="I317" s="111" t="s">
        <v>402</v>
      </c>
      <c r="J317" s="111" t="s">
        <v>402</v>
      </c>
      <c r="K317" s="106" t="s">
        <v>403</v>
      </c>
      <c r="L317" s="55" t="s">
        <v>404</v>
      </c>
      <c r="M317" s="55" t="s">
        <v>7634</v>
      </c>
    </row>
    <row r="318" spans="1:13">
      <c r="A318" s="408" t="s">
        <v>1434</v>
      </c>
      <c r="B318" s="106" t="s">
        <v>327</v>
      </c>
      <c r="C318" s="106" t="s">
        <v>473</v>
      </c>
      <c r="D318" s="107" t="s">
        <v>1435</v>
      </c>
      <c r="E318" s="109" t="s">
        <v>355</v>
      </c>
      <c r="F318" s="109" t="s">
        <v>355</v>
      </c>
      <c r="G318" s="114"/>
      <c r="H318" s="108" t="s">
        <v>402</v>
      </c>
      <c r="I318" s="111" t="s">
        <v>402</v>
      </c>
      <c r="J318" s="111" t="s">
        <v>402</v>
      </c>
      <c r="K318" s="106" t="s">
        <v>403</v>
      </c>
      <c r="L318" s="55" t="s">
        <v>404</v>
      </c>
      <c r="M318" s="55" t="s">
        <v>7634</v>
      </c>
    </row>
    <row r="319" spans="1:13">
      <c r="A319" s="408" t="s">
        <v>1436</v>
      </c>
      <c r="B319" s="106" t="s">
        <v>327</v>
      </c>
      <c r="C319" s="106" t="s">
        <v>473</v>
      </c>
      <c r="D319" s="107" t="s">
        <v>1437</v>
      </c>
      <c r="E319" s="109" t="s">
        <v>355</v>
      </c>
      <c r="F319" s="109" t="s">
        <v>355</v>
      </c>
      <c r="G319" s="114"/>
      <c r="H319" s="108" t="s">
        <v>402</v>
      </c>
      <c r="I319" s="111" t="s">
        <v>402</v>
      </c>
      <c r="J319" s="111" t="s">
        <v>402</v>
      </c>
      <c r="K319" s="106" t="s">
        <v>403</v>
      </c>
      <c r="L319" s="55" t="s">
        <v>404</v>
      </c>
      <c r="M319" s="55" t="s">
        <v>7634</v>
      </c>
    </row>
    <row r="320" spans="1:13">
      <c r="A320" s="408" t="s">
        <v>1438</v>
      </c>
      <c r="B320" s="106" t="s">
        <v>327</v>
      </c>
      <c r="C320" s="106" t="s">
        <v>473</v>
      </c>
      <c r="D320" s="107" t="s">
        <v>1439</v>
      </c>
      <c r="E320" s="109" t="s">
        <v>355</v>
      </c>
      <c r="F320" s="109" t="s">
        <v>355</v>
      </c>
      <c r="G320" s="114"/>
      <c r="H320" s="108" t="s">
        <v>402</v>
      </c>
      <c r="I320" s="111" t="s">
        <v>402</v>
      </c>
      <c r="J320" s="111" t="s">
        <v>402</v>
      </c>
      <c r="K320" s="106" t="s">
        <v>403</v>
      </c>
      <c r="L320" s="55" t="s">
        <v>404</v>
      </c>
      <c r="M320" s="55" t="s">
        <v>7634</v>
      </c>
    </row>
    <row r="321" spans="1:13">
      <c r="A321" s="408" t="s">
        <v>1440</v>
      </c>
      <c r="B321" s="106" t="s">
        <v>327</v>
      </c>
      <c r="C321" s="106" t="s">
        <v>473</v>
      </c>
      <c r="D321" s="107" t="s">
        <v>1441</v>
      </c>
      <c r="E321" s="109" t="s">
        <v>355</v>
      </c>
      <c r="F321" s="109" t="s">
        <v>355</v>
      </c>
      <c r="G321" s="114"/>
      <c r="H321" s="108" t="s">
        <v>402</v>
      </c>
      <c r="I321" s="111" t="s">
        <v>402</v>
      </c>
      <c r="J321" s="111" t="s">
        <v>402</v>
      </c>
      <c r="K321" s="106" t="s">
        <v>403</v>
      </c>
      <c r="L321" s="55" t="s">
        <v>404</v>
      </c>
      <c r="M321" s="55" t="s">
        <v>7634</v>
      </c>
    </row>
    <row r="322" spans="1:13">
      <c r="A322" s="408" t="s">
        <v>1442</v>
      </c>
      <c r="B322" s="106" t="s">
        <v>327</v>
      </c>
      <c r="C322" s="106" t="s">
        <v>473</v>
      </c>
      <c r="D322" s="107" t="s">
        <v>1443</v>
      </c>
      <c r="E322" s="109" t="s">
        <v>355</v>
      </c>
      <c r="F322" s="109" t="s">
        <v>355</v>
      </c>
      <c r="G322" s="114"/>
      <c r="H322" s="108" t="s">
        <v>402</v>
      </c>
      <c r="I322" s="111" t="s">
        <v>402</v>
      </c>
      <c r="J322" s="111" t="s">
        <v>402</v>
      </c>
      <c r="K322" s="106" t="s">
        <v>403</v>
      </c>
      <c r="L322" s="55" t="s">
        <v>404</v>
      </c>
      <c r="M322" s="55" t="s">
        <v>7634</v>
      </c>
    </row>
    <row r="323" spans="1:13">
      <c r="A323" s="408" t="s">
        <v>1444</v>
      </c>
      <c r="B323" s="106" t="s">
        <v>327</v>
      </c>
      <c r="C323" s="106" t="s">
        <v>473</v>
      </c>
      <c r="D323" s="107" t="s">
        <v>1445</v>
      </c>
      <c r="E323" s="109" t="s">
        <v>355</v>
      </c>
      <c r="F323" s="109" t="s">
        <v>355</v>
      </c>
      <c r="G323" s="114"/>
      <c r="H323" s="108" t="s">
        <v>402</v>
      </c>
      <c r="I323" s="111" t="s">
        <v>402</v>
      </c>
      <c r="J323" s="111" t="s">
        <v>402</v>
      </c>
      <c r="K323" s="106" t="s">
        <v>403</v>
      </c>
      <c r="L323" s="55" t="s">
        <v>404</v>
      </c>
      <c r="M323" s="55" t="s">
        <v>7634</v>
      </c>
    </row>
    <row r="324" spans="1:13">
      <c r="A324" s="408" t="s">
        <v>1446</v>
      </c>
      <c r="B324" s="106" t="s">
        <v>327</v>
      </c>
      <c r="C324" s="106" t="s">
        <v>473</v>
      </c>
      <c r="D324" s="107" t="s">
        <v>1447</v>
      </c>
      <c r="E324" s="109" t="s">
        <v>355</v>
      </c>
      <c r="F324" s="109" t="s">
        <v>355</v>
      </c>
      <c r="G324" s="114"/>
      <c r="H324" s="108" t="s">
        <v>402</v>
      </c>
      <c r="I324" s="111" t="s">
        <v>402</v>
      </c>
      <c r="J324" s="111" t="s">
        <v>402</v>
      </c>
      <c r="K324" s="106" t="s">
        <v>403</v>
      </c>
      <c r="L324" s="55" t="s">
        <v>404</v>
      </c>
      <c r="M324" s="55" t="s">
        <v>7634</v>
      </c>
    </row>
    <row r="325" spans="1:13">
      <c r="A325" s="408" t="s">
        <v>1448</v>
      </c>
      <c r="B325" s="106" t="s">
        <v>327</v>
      </c>
      <c r="C325" s="106" t="s">
        <v>473</v>
      </c>
      <c r="D325" s="107" t="s">
        <v>1449</v>
      </c>
      <c r="E325" s="109" t="s">
        <v>355</v>
      </c>
      <c r="F325" s="109" t="s">
        <v>355</v>
      </c>
      <c r="G325" s="114"/>
      <c r="H325" s="108" t="s">
        <v>402</v>
      </c>
      <c r="I325" s="111" t="s">
        <v>402</v>
      </c>
      <c r="J325" s="111" t="s">
        <v>402</v>
      </c>
      <c r="K325" s="106" t="s">
        <v>403</v>
      </c>
      <c r="L325" s="55" t="s">
        <v>404</v>
      </c>
      <c r="M325" s="55" t="s">
        <v>7634</v>
      </c>
    </row>
    <row r="326" spans="1:13">
      <c r="A326" s="408" t="s">
        <v>1450</v>
      </c>
      <c r="B326" s="106" t="s">
        <v>327</v>
      </c>
      <c r="C326" s="106" t="s">
        <v>473</v>
      </c>
      <c r="D326" s="107" t="s">
        <v>1451</v>
      </c>
      <c r="E326" s="109" t="s">
        <v>355</v>
      </c>
      <c r="F326" s="109" t="s">
        <v>355</v>
      </c>
      <c r="G326" s="114"/>
      <c r="H326" s="108" t="s">
        <v>402</v>
      </c>
      <c r="I326" s="111" t="s">
        <v>402</v>
      </c>
      <c r="J326" s="111" t="s">
        <v>402</v>
      </c>
      <c r="K326" s="106" t="s">
        <v>403</v>
      </c>
      <c r="L326" s="55" t="s">
        <v>404</v>
      </c>
      <c r="M326" s="55" t="s">
        <v>7634</v>
      </c>
    </row>
    <row r="327" spans="1:13">
      <c r="A327" s="401" t="s">
        <v>1452</v>
      </c>
      <c r="B327" s="106" t="s">
        <v>984</v>
      </c>
      <c r="C327" s="106" t="s">
        <v>473</v>
      </c>
      <c r="D327" s="109" t="s">
        <v>1453</v>
      </c>
      <c r="E327" s="109" t="s">
        <v>1454</v>
      </c>
      <c r="F327" s="109" t="s">
        <v>1455</v>
      </c>
      <c r="G327" s="122" t="s">
        <v>1456</v>
      </c>
      <c r="H327" s="115" t="s">
        <v>402</v>
      </c>
      <c r="I327" s="111" t="s">
        <v>402</v>
      </c>
      <c r="J327" s="111" t="s">
        <v>402</v>
      </c>
      <c r="K327" s="115" t="s">
        <v>403</v>
      </c>
      <c r="L327" s="55" t="s">
        <v>404</v>
      </c>
      <c r="M327" s="113" t="s">
        <v>1173</v>
      </c>
    </row>
    <row r="328" spans="1:13">
      <c r="A328" s="408" t="s">
        <v>1457</v>
      </c>
      <c r="B328" s="106" t="s">
        <v>327</v>
      </c>
      <c r="C328" s="106" t="s">
        <v>473</v>
      </c>
      <c r="D328" s="107" t="s">
        <v>1458</v>
      </c>
      <c r="E328" s="109" t="s">
        <v>355</v>
      </c>
      <c r="F328" s="109" t="s">
        <v>355</v>
      </c>
      <c r="G328" s="114"/>
      <c r="H328" s="108" t="s">
        <v>402</v>
      </c>
      <c r="I328" s="111" t="s">
        <v>402</v>
      </c>
      <c r="J328" s="111" t="s">
        <v>402</v>
      </c>
      <c r="K328" s="106" t="s">
        <v>403</v>
      </c>
      <c r="L328" s="55" t="s">
        <v>404</v>
      </c>
      <c r="M328" s="55" t="s">
        <v>7634</v>
      </c>
    </row>
    <row r="329" spans="1:13">
      <c r="A329" s="408" t="s">
        <v>1459</v>
      </c>
      <c r="B329" s="106" t="s">
        <v>327</v>
      </c>
      <c r="C329" s="106" t="s">
        <v>473</v>
      </c>
      <c r="D329" s="107" t="s">
        <v>1460</v>
      </c>
      <c r="E329" s="109" t="s">
        <v>355</v>
      </c>
      <c r="F329" s="109" t="s">
        <v>355</v>
      </c>
      <c r="G329" s="114"/>
      <c r="H329" s="108" t="s">
        <v>402</v>
      </c>
      <c r="I329" s="111" t="s">
        <v>402</v>
      </c>
      <c r="J329" s="111" t="s">
        <v>402</v>
      </c>
      <c r="K329" s="106" t="s">
        <v>403</v>
      </c>
      <c r="L329" s="55" t="s">
        <v>404</v>
      </c>
      <c r="M329" s="55" t="s">
        <v>7634</v>
      </c>
    </row>
    <row r="330" spans="1:13">
      <c r="A330" s="408" t="s">
        <v>1461</v>
      </c>
      <c r="B330" s="106" t="s">
        <v>327</v>
      </c>
      <c r="C330" s="106" t="s">
        <v>473</v>
      </c>
      <c r="D330" s="107" t="s">
        <v>1462</v>
      </c>
      <c r="E330" s="109" t="s">
        <v>355</v>
      </c>
      <c r="F330" s="109" t="s">
        <v>355</v>
      </c>
      <c r="G330" s="114"/>
      <c r="H330" s="108" t="s">
        <v>402</v>
      </c>
      <c r="I330" s="111" t="s">
        <v>402</v>
      </c>
      <c r="J330" s="111" t="s">
        <v>402</v>
      </c>
      <c r="K330" s="106" t="s">
        <v>403</v>
      </c>
      <c r="L330" s="55" t="s">
        <v>404</v>
      </c>
      <c r="M330" s="55" t="s">
        <v>7634</v>
      </c>
    </row>
    <row r="331" spans="1:13">
      <c r="A331" s="408" t="s">
        <v>1463</v>
      </c>
      <c r="B331" s="106" t="s">
        <v>327</v>
      </c>
      <c r="C331" s="106" t="s">
        <v>473</v>
      </c>
      <c r="D331" s="107" t="s">
        <v>1464</v>
      </c>
      <c r="E331" s="109" t="s">
        <v>355</v>
      </c>
      <c r="F331" s="109" t="s">
        <v>355</v>
      </c>
      <c r="G331" s="114"/>
      <c r="H331" s="108" t="s">
        <v>402</v>
      </c>
      <c r="I331" s="111" t="s">
        <v>402</v>
      </c>
      <c r="J331" s="111" t="s">
        <v>402</v>
      </c>
      <c r="K331" s="106" t="s">
        <v>403</v>
      </c>
      <c r="L331" s="55" t="s">
        <v>404</v>
      </c>
      <c r="M331" s="55" t="s">
        <v>7634</v>
      </c>
    </row>
    <row r="332" spans="1:13">
      <c r="A332" s="408" t="s">
        <v>1465</v>
      </c>
      <c r="B332" s="106" t="s">
        <v>327</v>
      </c>
      <c r="C332" s="106" t="s">
        <v>473</v>
      </c>
      <c r="D332" s="107" t="s">
        <v>1466</v>
      </c>
      <c r="E332" s="109" t="s">
        <v>355</v>
      </c>
      <c r="F332" s="109" t="s">
        <v>355</v>
      </c>
      <c r="G332" s="114"/>
      <c r="H332" s="108" t="s">
        <v>402</v>
      </c>
      <c r="I332" s="111" t="s">
        <v>402</v>
      </c>
      <c r="J332" s="111" t="s">
        <v>402</v>
      </c>
      <c r="K332" s="106" t="s">
        <v>403</v>
      </c>
      <c r="L332" s="55" t="s">
        <v>404</v>
      </c>
      <c r="M332" s="55" t="s">
        <v>7634</v>
      </c>
    </row>
    <row r="333" spans="1:13">
      <c r="A333" s="408" t="s">
        <v>1467</v>
      </c>
      <c r="B333" s="106" t="s">
        <v>327</v>
      </c>
      <c r="C333" s="106" t="s">
        <v>473</v>
      </c>
      <c r="D333" s="107" t="s">
        <v>1468</v>
      </c>
      <c r="E333" s="109" t="s">
        <v>355</v>
      </c>
      <c r="F333" s="109" t="s">
        <v>355</v>
      </c>
      <c r="G333" s="114"/>
      <c r="H333" s="108" t="s">
        <v>402</v>
      </c>
      <c r="I333" s="111" t="s">
        <v>402</v>
      </c>
      <c r="J333" s="111" t="s">
        <v>402</v>
      </c>
      <c r="K333" s="106" t="s">
        <v>403</v>
      </c>
      <c r="L333" s="55" t="s">
        <v>404</v>
      </c>
      <c r="M333" s="55" t="s">
        <v>7634</v>
      </c>
    </row>
    <row r="334" spans="1:13">
      <c r="A334" s="408" t="s">
        <v>1469</v>
      </c>
      <c r="B334" s="106" t="s">
        <v>327</v>
      </c>
      <c r="C334" s="106" t="s">
        <v>473</v>
      </c>
      <c r="D334" s="107" t="s">
        <v>1470</v>
      </c>
      <c r="E334" s="109" t="s">
        <v>355</v>
      </c>
      <c r="F334" s="109" t="s">
        <v>355</v>
      </c>
      <c r="G334" s="114"/>
      <c r="H334" s="108" t="s">
        <v>402</v>
      </c>
      <c r="I334" s="111" t="s">
        <v>402</v>
      </c>
      <c r="J334" s="111" t="s">
        <v>402</v>
      </c>
      <c r="K334" s="106" t="s">
        <v>403</v>
      </c>
      <c r="L334" s="55" t="s">
        <v>404</v>
      </c>
      <c r="M334" s="55" t="s">
        <v>7634</v>
      </c>
    </row>
    <row r="335" spans="1:13">
      <c r="A335" s="408" t="s">
        <v>1471</v>
      </c>
      <c r="B335" s="106" t="s">
        <v>327</v>
      </c>
      <c r="C335" s="106" t="s">
        <v>473</v>
      </c>
      <c r="D335" s="107" t="s">
        <v>1472</v>
      </c>
      <c r="E335" s="109" t="s">
        <v>355</v>
      </c>
      <c r="F335" s="109" t="s">
        <v>355</v>
      </c>
      <c r="G335" s="114"/>
      <c r="H335" s="108" t="s">
        <v>402</v>
      </c>
      <c r="I335" s="111" t="s">
        <v>402</v>
      </c>
      <c r="J335" s="111" t="s">
        <v>402</v>
      </c>
      <c r="K335" s="106" t="s">
        <v>403</v>
      </c>
      <c r="L335" s="55" t="s">
        <v>404</v>
      </c>
      <c r="M335" s="55" t="s">
        <v>7634</v>
      </c>
    </row>
    <row r="336" spans="1:13">
      <c r="A336" s="408" t="s">
        <v>1473</v>
      </c>
      <c r="B336" s="106" t="s">
        <v>327</v>
      </c>
      <c r="C336" s="106" t="s">
        <v>473</v>
      </c>
      <c r="D336" s="107" t="s">
        <v>1474</v>
      </c>
      <c r="E336" s="109" t="s">
        <v>355</v>
      </c>
      <c r="F336" s="109" t="s">
        <v>355</v>
      </c>
      <c r="G336" s="114"/>
      <c r="H336" s="108" t="s">
        <v>402</v>
      </c>
      <c r="I336" s="111" t="s">
        <v>402</v>
      </c>
      <c r="J336" s="111" t="s">
        <v>402</v>
      </c>
      <c r="K336" s="106" t="s">
        <v>403</v>
      </c>
      <c r="L336" s="55" t="s">
        <v>404</v>
      </c>
      <c r="M336" s="55" t="s">
        <v>7634</v>
      </c>
    </row>
    <row r="337" spans="1:13">
      <c r="A337" s="408" t="s">
        <v>1475</v>
      </c>
      <c r="B337" s="106" t="s">
        <v>327</v>
      </c>
      <c r="C337" s="106" t="s">
        <v>473</v>
      </c>
      <c r="D337" s="107" t="s">
        <v>1476</v>
      </c>
      <c r="E337" s="109" t="s">
        <v>355</v>
      </c>
      <c r="F337" s="109" t="s">
        <v>355</v>
      </c>
      <c r="G337" s="114"/>
      <c r="H337" s="108" t="s">
        <v>402</v>
      </c>
      <c r="I337" s="111" t="s">
        <v>402</v>
      </c>
      <c r="J337" s="111" t="s">
        <v>402</v>
      </c>
      <c r="K337" s="106" t="s">
        <v>403</v>
      </c>
      <c r="L337" s="55" t="s">
        <v>404</v>
      </c>
      <c r="M337" s="55" t="s">
        <v>7634</v>
      </c>
    </row>
    <row r="338" spans="1:13">
      <c r="A338" s="408" t="s">
        <v>1477</v>
      </c>
      <c r="B338" s="106" t="s">
        <v>327</v>
      </c>
      <c r="C338" s="106" t="s">
        <v>473</v>
      </c>
      <c r="D338" s="107" t="s">
        <v>1478</v>
      </c>
      <c r="E338" s="109" t="s">
        <v>355</v>
      </c>
      <c r="F338" s="109" t="s">
        <v>355</v>
      </c>
      <c r="G338" s="114"/>
      <c r="H338" s="108" t="s">
        <v>402</v>
      </c>
      <c r="I338" s="111" t="s">
        <v>402</v>
      </c>
      <c r="J338" s="111" t="s">
        <v>402</v>
      </c>
      <c r="K338" s="106" t="s">
        <v>403</v>
      </c>
      <c r="L338" s="55" t="s">
        <v>404</v>
      </c>
      <c r="M338" s="55" t="s">
        <v>7634</v>
      </c>
    </row>
    <row r="339" spans="1:13">
      <c r="A339" s="408" t="s">
        <v>1479</v>
      </c>
      <c r="B339" s="106" t="s">
        <v>327</v>
      </c>
      <c r="C339" s="106" t="s">
        <v>473</v>
      </c>
      <c r="D339" s="107" t="s">
        <v>1480</v>
      </c>
      <c r="E339" s="109" t="s">
        <v>355</v>
      </c>
      <c r="F339" s="109" t="s">
        <v>355</v>
      </c>
      <c r="G339" s="114"/>
      <c r="H339" s="108" t="s">
        <v>402</v>
      </c>
      <c r="I339" s="111" t="s">
        <v>402</v>
      </c>
      <c r="J339" s="111" t="s">
        <v>402</v>
      </c>
      <c r="K339" s="106" t="s">
        <v>403</v>
      </c>
      <c r="L339" s="55" t="s">
        <v>404</v>
      </c>
      <c r="M339" s="55" t="s">
        <v>7634</v>
      </c>
    </row>
    <row r="340" spans="1:13">
      <c r="A340" s="408" t="s">
        <v>1481</v>
      </c>
      <c r="B340" s="106" t="s">
        <v>327</v>
      </c>
      <c r="C340" s="106" t="s">
        <v>473</v>
      </c>
      <c r="D340" s="107" t="s">
        <v>1482</v>
      </c>
      <c r="E340" s="109" t="s">
        <v>355</v>
      </c>
      <c r="F340" s="109" t="s">
        <v>355</v>
      </c>
      <c r="G340" s="114"/>
      <c r="H340" s="108" t="s">
        <v>402</v>
      </c>
      <c r="I340" s="111" t="s">
        <v>402</v>
      </c>
      <c r="J340" s="111" t="s">
        <v>402</v>
      </c>
      <c r="K340" s="106" t="s">
        <v>403</v>
      </c>
      <c r="L340" s="55" t="s">
        <v>404</v>
      </c>
      <c r="M340" s="55" t="s">
        <v>7634</v>
      </c>
    </row>
    <row r="341" spans="1:13">
      <c r="A341" s="408" t="s">
        <v>1483</v>
      </c>
      <c r="B341" s="106" t="s">
        <v>327</v>
      </c>
      <c r="C341" s="106" t="s">
        <v>473</v>
      </c>
      <c r="D341" s="107" t="s">
        <v>1484</v>
      </c>
      <c r="E341" s="109" t="s">
        <v>355</v>
      </c>
      <c r="F341" s="109" t="s">
        <v>355</v>
      </c>
      <c r="G341" s="114"/>
      <c r="H341" s="108" t="s">
        <v>402</v>
      </c>
      <c r="I341" s="111" t="s">
        <v>402</v>
      </c>
      <c r="J341" s="111" t="s">
        <v>402</v>
      </c>
      <c r="K341" s="106" t="s">
        <v>403</v>
      </c>
      <c r="L341" s="55" t="s">
        <v>404</v>
      </c>
      <c r="M341" s="55" t="s">
        <v>7634</v>
      </c>
    </row>
    <row r="342" spans="1:13">
      <c r="A342" s="408" t="s">
        <v>1485</v>
      </c>
      <c r="B342" s="106" t="s">
        <v>327</v>
      </c>
      <c r="C342" s="106" t="s">
        <v>473</v>
      </c>
      <c r="D342" s="107" t="s">
        <v>1486</v>
      </c>
      <c r="E342" s="109" t="s">
        <v>355</v>
      </c>
      <c r="F342" s="109" t="s">
        <v>355</v>
      </c>
      <c r="G342" s="114"/>
      <c r="H342" s="108" t="s">
        <v>402</v>
      </c>
      <c r="I342" s="111" t="s">
        <v>402</v>
      </c>
      <c r="J342" s="111" t="s">
        <v>402</v>
      </c>
      <c r="K342" s="106" t="s">
        <v>403</v>
      </c>
      <c r="L342" s="55" t="s">
        <v>404</v>
      </c>
      <c r="M342" s="55" t="s">
        <v>7634</v>
      </c>
    </row>
    <row r="343" spans="1:13">
      <c r="A343" s="408" t="s">
        <v>1487</v>
      </c>
      <c r="B343" s="106" t="s">
        <v>327</v>
      </c>
      <c r="C343" s="106" t="s">
        <v>473</v>
      </c>
      <c r="D343" s="107" t="s">
        <v>1488</v>
      </c>
      <c r="E343" s="109" t="s">
        <v>355</v>
      </c>
      <c r="F343" s="109" t="s">
        <v>355</v>
      </c>
      <c r="G343" s="114"/>
      <c r="H343" s="108" t="s">
        <v>402</v>
      </c>
      <c r="I343" s="111" t="s">
        <v>402</v>
      </c>
      <c r="J343" s="111" t="s">
        <v>402</v>
      </c>
      <c r="K343" s="106" t="s">
        <v>403</v>
      </c>
      <c r="L343" s="55" t="s">
        <v>404</v>
      </c>
      <c r="M343" s="55" t="s">
        <v>7634</v>
      </c>
    </row>
    <row r="344" spans="1:13">
      <c r="A344" s="408" t="s">
        <v>1489</v>
      </c>
      <c r="B344" s="106" t="s">
        <v>327</v>
      </c>
      <c r="C344" s="106" t="s">
        <v>473</v>
      </c>
      <c r="D344" s="107" t="s">
        <v>1490</v>
      </c>
      <c r="E344" s="109" t="s">
        <v>355</v>
      </c>
      <c r="F344" s="109" t="s">
        <v>355</v>
      </c>
      <c r="G344" s="114"/>
      <c r="H344" s="108" t="s">
        <v>402</v>
      </c>
      <c r="I344" s="111" t="s">
        <v>402</v>
      </c>
      <c r="J344" s="111" t="s">
        <v>402</v>
      </c>
      <c r="K344" s="106" t="s">
        <v>403</v>
      </c>
      <c r="L344" s="55" t="s">
        <v>404</v>
      </c>
      <c r="M344" s="55" t="s">
        <v>7634</v>
      </c>
    </row>
    <row r="345" spans="1:13">
      <c r="A345" s="408" t="s">
        <v>1491</v>
      </c>
      <c r="B345" s="106" t="s">
        <v>327</v>
      </c>
      <c r="C345" s="106" t="s">
        <v>473</v>
      </c>
      <c r="D345" s="107" t="s">
        <v>1492</v>
      </c>
      <c r="E345" s="109" t="s">
        <v>355</v>
      </c>
      <c r="F345" s="109" t="s">
        <v>355</v>
      </c>
      <c r="G345" s="114"/>
      <c r="H345" s="108" t="s">
        <v>402</v>
      </c>
      <c r="I345" s="111" t="s">
        <v>402</v>
      </c>
      <c r="J345" s="111" t="s">
        <v>402</v>
      </c>
      <c r="K345" s="106" t="s">
        <v>403</v>
      </c>
      <c r="L345" s="55" t="s">
        <v>404</v>
      </c>
      <c r="M345" s="55" t="s">
        <v>7634</v>
      </c>
    </row>
    <row r="346" spans="1:13">
      <c r="A346" s="408" t="s">
        <v>1493</v>
      </c>
      <c r="B346" s="106" t="s">
        <v>327</v>
      </c>
      <c r="C346" s="106" t="s">
        <v>473</v>
      </c>
      <c r="D346" s="107" t="s">
        <v>1494</v>
      </c>
      <c r="E346" s="109" t="s">
        <v>355</v>
      </c>
      <c r="F346" s="109" t="s">
        <v>355</v>
      </c>
      <c r="G346" s="114"/>
      <c r="H346" s="108" t="s">
        <v>402</v>
      </c>
      <c r="I346" s="111" t="s">
        <v>402</v>
      </c>
      <c r="J346" s="111" t="s">
        <v>402</v>
      </c>
      <c r="K346" s="106" t="s">
        <v>403</v>
      </c>
      <c r="L346" s="55" t="s">
        <v>404</v>
      </c>
      <c r="M346" s="55" t="s">
        <v>7634</v>
      </c>
    </row>
    <row r="347" spans="1:13">
      <c r="A347" s="408" t="s">
        <v>1495</v>
      </c>
      <c r="B347" s="106" t="s">
        <v>327</v>
      </c>
      <c r="C347" s="106" t="s">
        <v>473</v>
      </c>
      <c r="D347" s="107" t="s">
        <v>1496</v>
      </c>
      <c r="E347" s="109" t="s">
        <v>355</v>
      </c>
      <c r="F347" s="109" t="s">
        <v>355</v>
      </c>
      <c r="G347" s="114"/>
      <c r="H347" s="108" t="s">
        <v>402</v>
      </c>
      <c r="I347" s="111" t="s">
        <v>402</v>
      </c>
      <c r="J347" s="111" t="s">
        <v>402</v>
      </c>
      <c r="K347" s="106" t="s">
        <v>403</v>
      </c>
      <c r="L347" s="55" t="s">
        <v>404</v>
      </c>
      <c r="M347" s="55" t="s">
        <v>7634</v>
      </c>
    </row>
    <row r="348" spans="1:13">
      <c r="A348" s="408" t="s">
        <v>1497</v>
      </c>
      <c r="B348" s="106" t="s">
        <v>327</v>
      </c>
      <c r="C348" s="106" t="s">
        <v>473</v>
      </c>
      <c r="D348" s="107" t="s">
        <v>1498</v>
      </c>
      <c r="E348" s="109" t="s">
        <v>355</v>
      </c>
      <c r="F348" s="109" t="s">
        <v>355</v>
      </c>
      <c r="G348" s="114"/>
      <c r="H348" s="108" t="s">
        <v>402</v>
      </c>
      <c r="I348" s="111" t="s">
        <v>402</v>
      </c>
      <c r="J348" s="111" t="s">
        <v>402</v>
      </c>
      <c r="K348" s="106" t="s">
        <v>403</v>
      </c>
      <c r="L348" s="55" t="s">
        <v>404</v>
      </c>
      <c r="M348" s="55" t="s">
        <v>7634</v>
      </c>
    </row>
    <row r="349" spans="1:13">
      <c r="A349" s="408" t="s">
        <v>1499</v>
      </c>
      <c r="B349" s="106" t="s">
        <v>327</v>
      </c>
      <c r="C349" s="106" t="s">
        <v>473</v>
      </c>
      <c r="D349" s="107" t="s">
        <v>1500</v>
      </c>
      <c r="E349" s="109" t="s">
        <v>355</v>
      </c>
      <c r="F349" s="109" t="s">
        <v>355</v>
      </c>
      <c r="G349" s="114"/>
      <c r="H349" s="108" t="s">
        <v>402</v>
      </c>
      <c r="I349" s="111" t="s">
        <v>402</v>
      </c>
      <c r="J349" s="111" t="s">
        <v>402</v>
      </c>
      <c r="K349" s="106" t="s">
        <v>403</v>
      </c>
      <c r="L349" s="55" t="s">
        <v>404</v>
      </c>
      <c r="M349" s="55" t="s">
        <v>7634</v>
      </c>
    </row>
    <row r="350" spans="1:13">
      <c r="A350" s="578" t="s">
        <v>1501</v>
      </c>
      <c r="B350" s="586" t="s">
        <v>373</v>
      </c>
      <c r="C350" s="586" t="s">
        <v>473</v>
      </c>
      <c r="D350" s="586" t="s">
        <v>1502</v>
      </c>
      <c r="E350" s="586" t="s">
        <v>1503</v>
      </c>
      <c r="F350" s="107" t="s">
        <v>1504</v>
      </c>
      <c r="G350" s="108" t="s">
        <v>1505</v>
      </c>
      <c r="H350" s="586" t="s">
        <v>359</v>
      </c>
      <c r="I350" s="587" t="s">
        <v>359</v>
      </c>
      <c r="J350" s="586"/>
      <c r="K350" s="586"/>
      <c r="L350" s="586" t="s">
        <v>361</v>
      </c>
      <c r="M350" s="55" t="s">
        <v>7634</v>
      </c>
    </row>
    <row r="351" spans="1:13">
      <c r="A351" s="408" t="s">
        <v>1506</v>
      </c>
      <c r="B351" s="106" t="s">
        <v>327</v>
      </c>
      <c r="C351" s="106" t="s">
        <v>473</v>
      </c>
      <c r="D351" s="107" t="s">
        <v>1507</v>
      </c>
      <c r="E351" s="109" t="s">
        <v>355</v>
      </c>
      <c r="F351" s="109" t="s">
        <v>355</v>
      </c>
      <c r="G351" s="114"/>
      <c r="H351" s="108" t="s">
        <v>402</v>
      </c>
      <c r="I351" s="111" t="s">
        <v>402</v>
      </c>
      <c r="J351" s="111" t="s">
        <v>402</v>
      </c>
      <c r="K351" s="106" t="s">
        <v>403</v>
      </c>
      <c r="L351" s="55" t="s">
        <v>404</v>
      </c>
      <c r="M351" s="55" t="s">
        <v>7634</v>
      </c>
    </row>
    <row r="352" spans="1:13">
      <c r="A352" s="401" t="s">
        <v>1508</v>
      </c>
      <c r="B352" s="106" t="s">
        <v>327</v>
      </c>
      <c r="C352" s="106" t="s">
        <v>473</v>
      </c>
      <c r="D352" s="107" t="s">
        <v>1509</v>
      </c>
      <c r="E352" s="109" t="s">
        <v>355</v>
      </c>
      <c r="F352" s="107" t="s">
        <v>1504</v>
      </c>
      <c r="G352" s="108" t="s">
        <v>1505</v>
      </c>
      <c r="H352" s="54" t="s">
        <v>359</v>
      </c>
      <c r="I352" s="583" t="s">
        <v>359</v>
      </c>
      <c r="J352" s="582" t="s">
        <v>359</v>
      </c>
      <c r="K352" s="584" t="s">
        <v>360</v>
      </c>
      <c r="L352" s="54" t="s">
        <v>361</v>
      </c>
      <c r="M352" s="55" t="s">
        <v>7634</v>
      </c>
    </row>
    <row r="353" spans="1:13">
      <c r="A353" s="408" t="s">
        <v>1510</v>
      </c>
      <c r="B353" s="106" t="s">
        <v>327</v>
      </c>
      <c r="C353" s="106" t="s">
        <v>473</v>
      </c>
      <c r="D353" s="107" t="s">
        <v>1511</v>
      </c>
      <c r="E353" s="109" t="s">
        <v>355</v>
      </c>
      <c r="F353" s="109" t="s">
        <v>355</v>
      </c>
      <c r="G353" s="114"/>
      <c r="H353" s="108" t="s">
        <v>402</v>
      </c>
      <c r="I353" s="111" t="s">
        <v>402</v>
      </c>
      <c r="J353" s="111" t="s">
        <v>402</v>
      </c>
      <c r="K353" s="106" t="s">
        <v>403</v>
      </c>
      <c r="L353" s="55" t="s">
        <v>404</v>
      </c>
      <c r="M353" s="55" t="s">
        <v>7634</v>
      </c>
    </row>
    <row r="354" spans="1:13">
      <c r="A354" s="408" t="s">
        <v>1512</v>
      </c>
      <c r="B354" s="106" t="s">
        <v>327</v>
      </c>
      <c r="C354" s="106" t="s">
        <v>473</v>
      </c>
      <c r="D354" s="107" t="s">
        <v>1513</v>
      </c>
      <c r="E354" s="109" t="s">
        <v>355</v>
      </c>
      <c r="F354" s="109" t="s">
        <v>355</v>
      </c>
      <c r="G354" s="114"/>
      <c r="H354" s="108" t="s">
        <v>402</v>
      </c>
      <c r="I354" s="111" t="s">
        <v>402</v>
      </c>
      <c r="J354" s="111" t="s">
        <v>402</v>
      </c>
      <c r="K354" s="106" t="s">
        <v>403</v>
      </c>
      <c r="L354" s="55" t="s">
        <v>404</v>
      </c>
      <c r="M354" s="55" t="s">
        <v>7634</v>
      </c>
    </row>
    <row r="355" spans="1:13">
      <c r="A355" s="408" t="s">
        <v>1514</v>
      </c>
      <c r="B355" s="106" t="s">
        <v>327</v>
      </c>
      <c r="C355" s="106" t="s">
        <v>473</v>
      </c>
      <c r="D355" s="107" t="s">
        <v>1515</v>
      </c>
      <c r="E355" s="109" t="s">
        <v>355</v>
      </c>
      <c r="F355" s="109" t="s">
        <v>355</v>
      </c>
      <c r="G355" s="114"/>
      <c r="H355" s="108" t="s">
        <v>402</v>
      </c>
      <c r="I355" s="111" t="s">
        <v>402</v>
      </c>
      <c r="J355" s="111" t="s">
        <v>402</v>
      </c>
      <c r="K355" s="106" t="s">
        <v>403</v>
      </c>
      <c r="L355" s="55" t="s">
        <v>404</v>
      </c>
      <c r="M355" s="55" t="s">
        <v>7634</v>
      </c>
    </row>
    <row r="356" spans="1:13">
      <c r="A356" s="408" t="s">
        <v>1516</v>
      </c>
      <c r="B356" s="106" t="s">
        <v>327</v>
      </c>
      <c r="C356" s="106" t="s">
        <v>473</v>
      </c>
      <c r="D356" s="107" t="s">
        <v>1517</v>
      </c>
      <c r="E356" s="109" t="s">
        <v>355</v>
      </c>
      <c r="F356" s="109" t="s">
        <v>355</v>
      </c>
      <c r="G356" s="114"/>
      <c r="H356" s="108" t="s">
        <v>402</v>
      </c>
      <c r="I356" s="111" t="s">
        <v>402</v>
      </c>
      <c r="J356" s="111" t="s">
        <v>402</v>
      </c>
      <c r="K356" s="106" t="s">
        <v>403</v>
      </c>
      <c r="L356" s="55" t="s">
        <v>404</v>
      </c>
      <c r="M356" s="55" t="s">
        <v>7634</v>
      </c>
    </row>
    <row r="357" spans="1:13">
      <c r="A357" s="408" t="s">
        <v>1518</v>
      </c>
      <c r="B357" s="106" t="s">
        <v>327</v>
      </c>
      <c r="C357" s="106" t="s">
        <v>473</v>
      </c>
      <c r="D357" s="107" t="s">
        <v>1519</v>
      </c>
      <c r="E357" s="109" t="s">
        <v>355</v>
      </c>
      <c r="F357" s="109" t="s">
        <v>355</v>
      </c>
      <c r="G357" s="114"/>
      <c r="H357" s="108" t="s">
        <v>402</v>
      </c>
      <c r="I357" s="111" t="s">
        <v>402</v>
      </c>
      <c r="J357" s="111" t="s">
        <v>402</v>
      </c>
      <c r="K357" s="106" t="s">
        <v>403</v>
      </c>
      <c r="L357" s="55" t="s">
        <v>404</v>
      </c>
      <c r="M357" s="55" t="s">
        <v>7634</v>
      </c>
    </row>
    <row r="358" spans="1:13">
      <c r="A358" s="408" t="s">
        <v>1520</v>
      </c>
      <c r="B358" s="106" t="s">
        <v>327</v>
      </c>
      <c r="C358" s="106" t="s">
        <v>473</v>
      </c>
      <c r="D358" s="107" t="s">
        <v>1521</v>
      </c>
      <c r="E358" s="109" t="s">
        <v>355</v>
      </c>
      <c r="F358" s="109" t="s">
        <v>355</v>
      </c>
      <c r="G358" s="114"/>
      <c r="H358" s="108" t="s">
        <v>402</v>
      </c>
      <c r="I358" s="111" t="s">
        <v>402</v>
      </c>
      <c r="J358" s="111" t="s">
        <v>402</v>
      </c>
      <c r="K358" s="106" t="s">
        <v>403</v>
      </c>
      <c r="L358" s="55" t="s">
        <v>404</v>
      </c>
      <c r="M358" s="55" t="s">
        <v>7634</v>
      </c>
    </row>
    <row r="359" spans="1:13">
      <c r="A359" s="408" t="s">
        <v>1522</v>
      </c>
      <c r="B359" s="106" t="s">
        <v>327</v>
      </c>
      <c r="C359" s="106" t="s">
        <v>473</v>
      </c>
      <c r="D359" s="107" t="s">
        <v>1523</v>
      </c>
      <c r="E359" s="109" t="s">
        <v>355</v>
      </c>
      <c r="F359" s="109" t="s">
        <v>355</v>
      </c>
      <c r="G359" s="114"/>
      <c r="H359" s="108" t="s">
        <v>402</v>
      </c>
      <c r="I359" s="111" t="s">
        <v>402</v>
      </c>
      <c r="J359" s="111" t="s">
        <v>402</v>
      </c>
      <c r="K359" s="106" t="s">
        <v>403</v>
      </c>
      <c r="L359" s="55" t="s">
        <v>404</v>
      </c>
      <c r="M359" s="55" t="s">
        <v>7634</v>
      </c>
    </row>
    <row r="360" spans="1:13">
      <c r="A360" s="408" t="s">
        <v>1524</v>
      </c>
      <c r="B360" s="106" t="s">
        <v>327</v>
      </c>
      <c r="C360" s="106" t="s">
        <v>473</v>
      </c>
      <c r="D360" s="107" t="s">
        <v>1525</v>
      </c>
      <c r="E360" s="109" t="s">
        <v>355</v>
      </c>
      <c r="F360" s="109" t="s">
        <v>355</v>
      </c>
      <c r="G360" s="114"/>
      <c r="H360" s="108" t="s">
        <v>402</v>
      </c>
      <c r="I360" s="111" t="s">
        <v>402</v>
      </c>
      <c r="J360" s="111" t="s">
        <v>402</v>
      </c>
      <c r="K360" s="106" t="s">
        <v>403</v>
      </c>
      <c r="L360" s="55" t="s">
        <v>404</v>
      </c>
      <c r="M360" s="55" t="s">
        <v>7634</v>
      </c>
    </row>
    <row r="361" spans="1:13">
      <c r="A361" s="408" t="s">
        <v>1526</v>
      </c>
      <c r="B361" s="106" t="s">
        <v>327</v>
      </c>
      <c r="C361" s="106" t="s">
        <v>473</v>
      </c>
      <c r="D361" s="107" t="s">
        <v>1527</v>
      </c>
      <c r="E361" s="109" t="s">
        <v>355</v>
      </c>
      <c r="F361" s="109" t="s">
        <v>355</v>
      </c>
      <c r="G361" s="114"/>
      <c r="H361" s="108" t="s">
        <v>402</v>
      </c>
      <c r="I361" s="111" t="s">
        <v>402</v>
      </c>
      <c r="J361" s="111" t="s">
        <v>402</v>
      </c>
      <c r="K361" s="106" t="s">
        <v>403</v>
      </c>
      <c r="L361" s="55" t="s">
        <v>404</v>
      </c>
      <c r="M361" s="55" t="s">
        <v>7634</v>
      </c>
    </row>
    <row r="362" spans="1:13">
      <c r="A362" s="401" t="s">
        <v>1528</v>
      </c>
      <c r="B362" s="106" t="s">
        <v>327</v>
      </c>
      <c r="C362" s="106" t="s">
        <v>473</v>
      </c>
      <c r="D362" s="109" t="s">
        <v>1529</v>
      </c>
      <c r="E362" s="109" t="s">
        <v>1530</v>
      </c>
      <c r="F362" s="109" t="s">
        <v>1531</v>
      </c>
      <c r="G362" s="117" t="s">
        <v>383</v>
      </c>
      <c r="H362" s="115" t="s">
        <v>402</v>
      </c>
      <c r="I362" s="111" t="s">
        <v>402</v>
      </c>
      <c r="J362" s="111" t="s">
        <v>402</v>
      </c>
      <c r="K362" s="106" t="s">
        <v>403</v>
      </c>
      <c r="L362" s="55" t="s">
        <v>404</v>
      </c>
      <c r="M362" s="55" t="s">
        <v>1173</v>
      </c>
    </row>
    <row r="363" spans="1:13">
      <c r="A363" s="408" t="s">
        <v>1532</v>
      </c>
      <c r="B363" s="106" t="s">
        <v>327</v>
      </c>
      <c r="C363" s="106" t="s">
        <v>473</v>
      </c>
      <c r="D363" s="107" t="s">
        <v>1533</v>
      </c>
      <c r="E363" s="109" t="s">
        <v>355</v>
      </c>
      <c r="F363" s="109" t="s">
        <v>355</v>
      </c>
      <c r="G363" s="114"/>
      <c r="H363" s="108" t="s">
        <v>402</v>
      </c>
      <c r="I363" s="111" t="s">
        <v>402</v>
      </c>
      <c r="J363" s="111" t="s">
        <v>402</v>
      </c>
      <c r="K363" s="106" t="s">
        <v>403</v>
      </c>
      <c r="L363" s="55" t="s">
        <v>404</v>
      </c>
      <c r="M363" s="55" t="s">
        <v>7634</v>
      </c>
    </row>
    <row r="364" spans="1:13">
      <c r="A364" s="408" t="s">
        <v>1534</v>
      </c>
      <c r="B364" s="106" t="s">
        <v>327</v>
      </c>
      <c r="C364" s="106" t="s">
        <v>473</v>
      </c>
      <c r="D364" s="107" t="s">
        <v>1535</v>
      </c>
      <c r="E364" s="109" t="s">
        <v>355</v>
      </c>
      <c r="F364" s="109" t="s">
        <v>355</v>
      </c>
      <c r="G364" s="114"/>
      <c r="H364" s="108" t="s">
        <v>402</v>
      </c>
      <c r="I364" s="111" t="s">
        <v>402</v>
      </c>
      <c r="J364" s="111" t="s">
        <v>402</v>
      </c>
      <c r="K364" s="106" t="s">
        <v>403</v>
      </c>
      <c r="L364" s="55" t="s">
        <v>404</v>
      </c>
      <c r="M364" s="55" t="s">
        <v>7634</v>
      </c>
    </row>
    <row r="365" spans="1:13">
      <c r="A365" s="408" t="s">
        <v>1536</v>
      </c>
      <c r="B365" s="106" t="s">
        <v>327</v>
      </c>
      <c r="C365" s="106" t="s">
        <v>473</v>
      </c>
      <c r="D365" s="107" t="s">
        <v>1537</v>
      </c>
      <c r="E365" s="109" t="s">
        <v>355</v>
      </c>
      <c r="F365" s="109" t="s">
        <v>355</v>
      </c>
      <c r="G365" s="114"/>
      <c r="H365" s="108" t="s">
        <v>402</v>
      </c>
      <c r="I365" s="111" t="s">
        <v>402</v>
      </c>
      <c r="J365" s="111" t="s">
        <v>402</v>
      </c>
      <c r="K365" s="106" t="s">
        <v>403</v>
      </c>
      <c r="L365" s="55" t="s">
        <v>404</v>
      </c>
      <c r="M365" s="55" t="s">
        <v>7634</v>
      </c>
    </row>
    <row r="366" spans="1:13">
      <c r="A366" s="408" t="s">
        <v>1538</v>
      </c>
      <c r="B366" s="106" t="s">
        <v>327</v>
      </c>
      <c r="C366" s="106" t="s">
        <v>473</v>
      </c>
      <c r="D366" s="107" t="s">
        <v>1539</v>
      </c>
      <c r="E366" s="109" t="s">
        <v>355</v>
      </c>
      <c r="F366" s="109" t="s">
        <v>355</v>
      </c>
      <c r="G366" s="114"/>
      <c r="H366" s="108" t="s">
        <v>402</v>
      </c>
      <c r="I366" s="111" t="s">
        <v>402</v>
      </c>
      <c r="J366" s="111" t="s">
        <v>402</v>
      </c>
      <c r="K366" s="106" t="s">
        <v>403</v>
      </c>
      <c r="L366" s="55" t="s">
        <v>404</v>
      </c>
      <c r="M366" s="55" t="s">
        <v>7634</v>
      </c>
    </row>
    <row r="367" spans="1:13">
      <c r="A367" s="408" t="s">
        <v>1540</v>
      </c>
      <c r="B367" s="106" t="s">
        <v>327</v>
      </c>
      <c r="C367" s="106" t="s">
        <v>473</v>
      </c>
      <c r="D367" s="107" t="s">
        <v>1541</v>
      </c>
      <c r="E367" s="109" t="s">
        <v>355</v>
      </c>
      <c r="F367" s="109" t="s">
        <v>355</v>
      </c>
      <c r="G367" s="114"/>
      <c r="H367" s="108" t="s">
        <v>402</v>
      </c>
      <c r="I367" s="111" t="s">
        <v>402</v>
      </c>
      <c r="J367" s="111" t="s">
        <v>402</v>
      </c>
      <c r="K367" s="106" t="s">
        <v>403</v>
      </c>
      <c r="L367" s="55" t="s">
        <v>404</v>
      </c>
      <c r="M367" s="55" t="s">
        <v>7634</v>
      </c>
    </row>
    <row r="368" spans="1:13">
      <c r="A368" s="408" t="s">
        <v>1542</v>
      </c>
      <c r="B368" s="106" t="s">
        <v>327</v>
      </c>
      <c r="C368" s="106" t="s">
        <v>473</v>
      </c>
      <c r="D368" s="107" t="s">
        <v>1543</v>
      </c>
      <c r="E368" s="109" t="s">
        <v>355</v>
      </c>
      <c r="F368" s="109" t="s">
        <v>355</v>
      </c>
      <c r="G368" s="114"/>
      <c r="H368" s="108" t="s">
        <v>402</v>
      </c>
      <c r="I368" s="111" t="s">
        <v>402</v>
      </c>
      <c r="J368" s="111" t="s">
        <v>402</v>
      </c>
      <c r="K368" s="106" t="s">
        <v>403</v>
      </c>
      <c r="L368" s="55" t="s">
        <v>404</v>
      </c>
      <c r="M368" s="55" t="s">
        <v>7634</v>
      </c>
    </row>
    <row r="369" spans="1:13">
      <c r="A369" s="401" t="s">
        <v>1544</v>
      </c>
      <c r="B369" s="106" t="s">
        <v>327</v>
      </c>
      <c r="C369" s="106" t="s">
        <v>473</v>
      </c>
      <c r="D369" s="107" t="s">
        <v>1545</v>
      </c>
      <c r="E369" s="107" t="s">
        <v>1546</v>
      </c>
      <c r="F369" s="107" t="s">
        <v>1547</v>
      </c>
      <c r="G369" s="114" t="s">
        <v>355</v>
      </c>
      <c r="H369" s="108" t="s">
        <v>402</v>
      </c>
      <c r="I369" s="111" t="s">
        <v>402</v>
      </c>
      <c r="J369" s="111" t="s">
        <v>402</v>
      </c>
      <c r="K369" s="115" t="s">
        <v>403</v>
      </c>
      <c r="L369" s="55" t="s">
        <v>404</v>
      </c>
      <c r="M369" s="55" t="s">
        <v>355</v>
      </c>
    </row>
    <row r="370" spans="1:13">
      <c r="A370" s="408" t="s">
        <v>1548</v>
      </c>
      <c r="B370" s="106" t="s">
        <v>327</v>
      </c>
      <c r="C370" s="106" t="s">
        <v>473</v>
      </c>
      <c r="D370" s="107" t="s">
        <v>1549</v>
      </c>
      <c r="E370" s="109" t="s">
        <v>355</v>
      </c>
      <c r="F370" s="109" t="s">
        <v>355</v>
      </c>
      <c r="G370" s="114"/>
      <c r="H370" s="108" t="s">
        <v>402</v>
      </c>
      <c r="I370" s="111" t="s">
        <v>402</v>
      </c>
      <c r="J370" s="111" t="s">
        <v>402</v>
      </c>
      <c r="K370" s="106" t="s">
        <v>403</v>
      </c>
      <c r="L370" s="55" t="s">
        <v>404</v>
      </c>
      <c r="M370" s="55" t="s">
        <v>7634</v>
      </c>
    </row>
    <row r="371" spans="1:13">
      <c r="A371" s="408" t="s">
        <v>1550</v>
      </c>
      <c r="B371" s="106" t="s">
        <v>327</v>
      </c>
      <c r="C371" s="106" t="s">
        <v>473</v>
      </c>
      <c r="D371" s="107" t="s">
        <v>1551</v>
      </c>
      <c r="E371" s="109" t="s">
        <v>355</v>
      </c>
      <c r="F371" s="109" t="s">
        <v>355</v>
      </c>
      <c r="G371" s="114"/>
      <c r="H371" s="108" t="s">
        <v>402</v>
      </c>
      <c r="I371" s="111" t="s">
        <v>402</v>
      </c>
      <c r="J371" s="111" t="s">
        <v>402</v>
      </c>
      <c r="K371" s="106" t="s">
        <v>403</v>
      </c>
      <c r="L371" s="55" t="s">
        <v>404</v>
      </c>
      <c r="M371" s="55" t="s">
        <v>7634</v>
      </c>
    </row>
    <row r="372" spans="1:13">
      <c r="A372" s="408" t="s">
        <v>1552</v>
      </c>
      <c r="B372" s="106" t="s">
        <v>327</v>
      </c>
      <c r="C372" s="106" t="s">
        <v>473</v>
      </c>
      <c r="D372" s="107" t="s">
        <v>1549</v>
      </c>
      <c r="E372" s="109" t="s">
        <v>355</v>
      </c>
      <c r="F372" s="109" t="s">
        <v>355</v>
      </c>
      <c r="G372" s="114"/>
      <c r="H372" s="108" t="s">
        <v>402</v>
      </c>
      <c r="I372" s="111" t="s">
        <v>402</v>
      </c>
      <c r="J372" s="111" t="s">
        <v>402</v>
      </c>
      <c r="K372" s="106" t="s">
        <v>403</v>
      </c>
      <c r="L372" s="55" t="s">
        <v>404</v>
      </c>
      <c r="M372" s="55" t="s">
        <v>7634</v>
      </c>
    </row>
    <row r="373" spans="1:13">
      <c r="A373" s="408" t="s">
        <v>1553</v>
      </c>
      <c r="B373" s="106" t="s">
        <v>327</v>
      </c>
      <c r="C373" s="106" t="s">
        <v>473</v>
      </c>
      <c r="D373" s="107" t="s">
        <v>1554</v>
      </c>
      <c r="E373" s="109" t="s">
        <v>355</v>
      </c>
      <c r="F373" s="109" t="s">
        <v>355</v>
      </c>
      <c r="G373" s="114"/>
      <c r="H373" s="108" t="s">
        <v>402</v>
      </c>
      <c r="I373" s="111" t="s">
        <v>402</v>
      </c>
      <c r="J373" s="111" t="s">
        <v>402</v>
      </c>
      <c r="K373" s="106" t="s">
        <v>403</v>
      </c>
      <c r="L373" s="55" t="s">
        <v>404</v>
      </c>
      <c r="M373" s="55" t="s">
        <v>7634</v>
      </c>
    </row>
    <row r="374" spans="1:13">
      <c r="A374" s="408" t="s">
        <v>1555</v>
      </c>
      <c r="B374" s="106" t="s">
        <v>327</v>
      </c>
      <c r="C374" s="106" t="s">
        <v>473</v>
      </c>
      <c r="D374" s="107" t="s">
        <v>1556</v>
      </c>
      <c r="E374" s="109" t="s">
        <v>355</v>
      </c>
      <c r="F374" s="109" t="s">
        <v>355</v>
      </c>
      <c r="G374" s="114"/>
      <c r="H374" s="108" t="s">
        <v>402</v>
      </c>
      <c r="I374" s="111" t="s">
        <v>402</v>
      </c>
      <c r="J374" s="111" t="s">
        <v>402</v>
      </c>
      <c r="K374" s="106" t="s">
        <v>403</v>
      </c>
      <c r="L374" s="55" t="s">
        <v>404</v>
      </c>
      <c r="M374" s="55" t="s">
        <v>7634</v>
      </c>
    </row>
    <row r="375" spans="1:13">
      <c r="A375" s="408" t="s">
        <v>1557</v>
      </c>
      <c r="B375" s="106" t="s">
        <v>327</v>
      </c>
      <c r="C375" s="106" t="s">
        <v>473</v>
      </c>
      <c r="D375" s="107" t="s">
        <v>1558</v>
      </c>
      <c r="E375" s="109" t="s">
        <v>355</v>
      </c>
      <c r="F375" s="109" t="s">
        <v>355</v>
      </c>
      <c r="G375" s="114"/>
      <c r="H375" s="108" t="s">
        <v>402</v>
      </c>
      <c r="I375" s="111" t="s">
        <v>402</v>
      </c>
      <c r="J375" s="111" t="s">
        <v>402</v>
      </c>
      <c r="K375" s="106" t="s">
        <v>403</v>
      </c>
      <c r="L375" s="55" t="s">
        <v>404</v>
      </c>
      <c r="M375" s="55" t="s">
        <v>7634</v>
      </c>
    </row>
    <row r="376" spans="1:13">
      <c r="A376" s="408" t="s">
        <v>1559</v>
      </c>
      <c r="B376" s="106" t="s">
        <v>327</v>
      </c>
      <c r="C376" s="106" t="s">
        <v>473</v>
      </c>
      <c r="D376" s="107" t="s">
        <v>1560</v>
      </c>
      <c r="E376" s="109" t="s">
        <v>355</v>
      </c>
      <c r="F376" s="109" t="s">
        <v>355</v>
      </c>
      <c r="G376" s="114"/>
      <c r="H376" s="108" t="s">
        <v>402</v>
      </c>
      <c r="I376" s="111" t="s">
        <v>402</v>
      </c>
      <c r="J376" s="111" t="s">
        <v>402</v>
      </c>
      <c r="K376" s="106" t="s">
        <v>403</v>
      </c>
      <c r="L376" s="55" t="s">
        <v>404</v>
      </c>
      <c r="M376" s="55" t="s">
        <v>7634</v>
      </c>
    </row>
    <row r="377" spans="1:13">
      <c r="A377" s="408" t="s">
        <v>1561</v>
      </c>
      <c r="B377" s="106" t="s">
        <v>327</v>
      </c>
      <c r="C377" s="106" t="s">
        <v>473</v>
      </c>
      <c r="D377" s="107" t="s">
        <v>1562</v>
      </c>
      <c r="E377" s="109" t="s">
        <v>355</v>
      </c>
      <c r="F377" s="109" t="s">
        <v>355</v>
      </c>
      <c r="G377" s="114"/>
      <c r="H377" s="108" t="s">
        <v>402</v>
      </c>
      <c r="I377" s="111" t="s">
        <v>402</v>
      </c>
      <c r="J377" s="111" t="s">
        <v>402</v>
      </c>
      <c r="K377" s="106" t="s">
        <v>403</v>
      </c>
      <c r="L377" s="55" t="s">
        <v>404</v>
      </c>
      <c r="M377" s="55" t="s">
        <v>7634</v>
      </c>
    </row>
    <row r="378" spans="1:13">
      <c r="A378" s="408" t="s">
        <v>1563</v>
      </c>
      <c r="B378" s="106" t="s">
        <v>327</v>
      </c>
      <c r="C378" s="106" t="s">
        <v>473</v>
      </c>
      <c r="D378" s="107" t="s">
        <v>1564</v>
      </c>
      <c r="E378" s="109" t="s">
        <v>355</v>
      </c>
      <c r="F378" s="109" t="s">
        <v>355</v>
      </c>
      <c r="G378" s="114"/>
      <c r="H378" s="108" t="s">
        <v>402</v>
      </c>
      <c r="I378" s="111" t="s">
        <v>402</v>
      </c>
      <c r="J378" s="111" t="s">
        <v>402</v>
      </c>
      <c r="K378" s="106" t="s">
        <v>403</v>
      </c>
      <c r="L378" s="55" t="s">
        <v>404</v>
      </c>
      <c r="M378" s="55" t="s">
        <v>7634</v>
      </c>
    </row>
    <row r="379" spans="1:13">
      <c r="A379" s="408" t="s">
        <v>1565</v>
      </c>
      <c r="B379" s="106" t="s">
        <v>327</v>
      </c>
      <c r="C379" s="106" t="s">
        <v>473</v>
      </c>
      <c r="D379" s="107" t="s">
        <v>1566</v>
      </c>
      <c r="E379" s="109" t="s">
        <v>355</v>
      </c>
      <c r="F379" s="109" t="s">
        <v>355</v>
      </c>
      <c r="G379" s="114"/>
      <c r="H379" s="108" t="s">
        <v>402</v>
      </c>
      <c r="I379" s="111" t="s">
        <v>402</v>
      </c>
      <c r="J379" s="111" t="s">
        <v>402</v>
      </c>
      <c r="K379" s="106" t="s">
        <v>403</v>
      </c>
      <c r="L379" s="55" t="s">
        <v>404</v>
      </c>
      <c r="M379" s="55" t="s">
        <v>7634</v>
      </c>
    </row>
    <row r="380" spans="1:13">
      <c r="A380" s="408" t="s">
        <v>1567</v>
      </c>
      <c r="B380" s="106" t="s">
        <v>327</v>
      </c>
      <c r="C380" s="106" t="s">
        <v>473</v>
      </c>
      <c r="D380" s="107" t="s">
        <v>1568</v>
      </c>
      <c r="E380" s="109" t="s">
        <v>355</v>
      </c>
      <c r="F380" s="109" t="s">
        <v>355</v>
      </c>
      <c r="G380" s="114"/>
      <c r="H380" s="108" t="s">
        <v>402</v>
      </c>
      <c r="I380" s="111" t="s">
        <v>402</v>
      </c>
      <c r="J380" s="111" t="s">
        <v>402</v>
      </c>
      <c r="K380" s="106" t="s">
        <v>403</v>
      </c>
      <c r="L380" s="55" t="s">
        <v>404</v>
      </c>
      <c r="M380" s="55" t="s">
        <v>7634</v>
      </c>
    </row>
    <row r="381" spans="1:13">
      <c r="A381" s="408" t="s">
        <v>1569</v>
      </c>
      <c r="B381" s="106" t="s">
        <v>327</v>
      </c>
      <c r="C381" s="106" t="s">
        <v>473</v>
      </c>
      <c r="D381" s="107" t="s">
        <v>1570</v>
      </c>
      <c r="E381" s="109" t="s">
        <v>355</v>
      </c>
      <c r="F381" s="109" t="s">
        <v>355</v>
      </c>
      <c r="G381" s="114"/>
      <c r="H381" s="108" t="s">
        <v>402</v>
      </c>
      <c r="I381" s="111" t="s">
        <v>402</v>
      </c>
      <c r="J381" s="111" t="s">
        <v>402</v>
      </c>
      <c r="K381" s="106" t="s">
        <v>403</v>
      </c>
      <c r="L381" s="55" t="s">
        <v>404</v>
      </c>
      <c r="M381" s="55" t="s">
        <v>7634</v>
      </c>
    </row>
    <row r="382" spans="1:13">
      <c r="A382" s="408" t="s">
        <v>1571</v>
      </c>
      <c r="B382" s="106" t="s">
        <v>327</v>
      </c>
      <c r="C382" s="106" t="s">
        <v>473</v>
      </c>
      <c r="D382" s="107" t="s">
        <v>1572</v>
      </c>
      <c r="E382" s="109" t="s">
        <v>355</v>
      </c>
      <c r="F382" s="109" t="s">
        <v>355</v>
      </c>
      <c r="G382" s="114"/>
      <c r="H382" s="108" t="s">
        <v>402</v>
      </c>
      <c r="I382" s="111" t="s">
        <v>402</v>
      </c>
      <c r="J382" s="111" t="s">
        <v>402</v>
      </c>
      <c r="K382" s="106" t="s">
        <v>403</v>
      </c>
      <c r="L382" s="55" t="s">
        <v>404</v>
      </c>
      <c r="M382" s="55" t="s">
        <v>7634</v>
      </c>
    </row>
    <row r="383" spans="1:13">
      <c r="A383" s="408" t="s">
        <v>1573</v>
      </c>
      <c r="B383" s="106" t="s">
        <v>327</v>
      </c>
      <c r="C383" s="106" t="s">
        <v>473</v>
      </c>
      <c r="D383" s="107" t="s">
        <v>1574</v>
      </c>
      <c r="E383" s="109" t="s">
        <v>355</v>
      </c>
      <c r="F383" s="109" t="s">
        <v>355</v>
      </c>
      <c r="G383" s="114"/>
      <c r="H383" s="108" t="s">
        <v>402</v>
      </c>
      <c r="I383" s="111" t="s">
        <v>402</v>
      </c>
      <c r="J383" s="111" t="s">
        <v>402</v>
      </c>
      <c r="K383" s="106" t="s">
        <v>403</v>
      </c>
      <c r="L383" s="55" t="s">
        <v>404</v>
      </c>
      <c r="M383" s="55" t="s">
        <v>7634</v>
      </c>
    </row>
    <row r="384" spans="1:13">
      <c r="A384" s="408" t="s">
        <v>1575</v>
      </c>
      <c r="B384" s="106" t="s">
        <v>327</v>
      </c>
      <c r="C384" s="106" t="s">
        <v>473</v>
      </c>
      <c r="D384" s="107" t="s">
        <v>1574</v>
      </c>
      <c r="E384" s="109" t="s">
        <v>355</v>
      </c>
      <c r="F384" s="109" t="s">
        <v>355</v>
      </c>
      <c r="G384" s="114"/>
      <c r="H384" s="108" t="s">
        <v>402</v>
      </c>
      <c r="I384" s="111" t="s">
        <v>402</v>
      </c>
      <c r="J384" s="111" t="s">
        <v>402</v>
      </c>
      <c r="K384" s="106" t="s">
        <v>403</v>
      </c>
      <c r="L384" s="55" t="s">
        <v>404</v>
      </c>
      <c r="M384" s="55" t="s">
        <v>7634</v>
      </c>
    </row>
    <row r="385" spans="1:13">
      <c r="A385" s="408" t="s">
        <v>1576</v>
      </c>
      <c r="B385" s="106" t="s">
        <v>327</v>
      </c>
      <c r="C385" s="106" t="s">
        <v>473</v>
      </c>
      <c r="D385" s="107" t="s">
        <v>1577</v>
      </c>
      <c r="E385" s="109" t="s">
        <v>355</v>
      </c>
      <c r="F385" s="109" t="s">
        <v>355</v>
      </c>
      <c r="G385" s="114"/>
      <c r="H385" s="108" t="s">
        <v>402</v>
      </c>
      <c r="I385" s="111" t="s">
        <v>402</v>
      </c>
      <c r="J385" s="111" t="s">
        <v>402</v>
      </c>
      <c r="K385" s="106" t="s">
        <v>403</v>
      </c>
      <c r="L385" s="55" t="s">
        <v>404</v>
      </c>
      <c r="M385" s="55" t="s">
        <v>7634</v>
      </c>
    </row>
    <row r="386" spans="1:13">
      <c r="A386" s="408" t="s">
        <v>1578</v>
      </c>
      <c r="B386" s="106" t="s">
        <v>327</v>
      </c>
      <c r="C386" s="106" t="s">
        <v>473</v>
      </c>
      <c r="D386" s="107" t="s">
        <v>1579</v>
      </c>
      <c r="E386" s="109" t="s">
        <v>355</v>
      </c>
      <c r="F386" s="109" t="s">
        <v>355</v>
      </c>
      <c r="G386" s="114"/>
      <c r="H386" s="108" t="s">
        <v>402</v>
      </c>
      <c r="I386" s="111" t="s">
        <v>402</v>
      </c>
      <c r="J386" s="111" t="s">
        <v>402</v>
      </c>
      <c r="K386" s="106" t="s">
        <v>403</v>
      </c>
      <c r="L386" s="55" t="s">
        <v>404</v>
      </c>
      <c r="M386" s="55" t="s">
        <v>7634</v>
      </c>
    </row>
    <row r="387" spans="1:13">
      <c r="A387" s="408" t="s">
        <v>1580</v>
      </c>
      <c r="B387" s="106" t="s">
        <v>327</v>
      </c>
      <c r="C387" s="106" t="s">
        <v>473</v>
      </c>
      <c r="D387" s="107" t="s">
        <v>1581</v>
      </c>
      <c r="E387" s="109" t="s">
        <v>355</v>
      </c>
      <c r="F387" s="109" t="s">
        <v>355</v>
      </c>
      <c r="G387" s="114"/>
      <c r="H387" s="108" t="s">
        <v>402</v>
      </c>
      <c r="I387" s="111" t="s">
        <v>402</v>
      </c>
      <c r="J387" s="111" t="s">
        <v>402</v>
      </c>
      <c r="K387" s="106" t="s">
        <v>403</v>
      </c>
      <c r="L387" s="55" t="s">
        <v>404</v>
      </c>
      <c r="M387" s="55" t="s">
        <v>7634</v>
      </c>
    </row>
    <row r="388" spans="1:13">
      <c r="A388" s="408" t="s">
        <v>1582</v>
      </c>
      <c r="B388" s="106" t="s">
        <v>327</v>
      </c>
      <c r="C388" s="106" t="s">
        <v>473</v>
      </c>
      <c r="D388" s="107" t="s">
        <v>1583</v>
      </c>
      <c r="E388" s="109" t="s">
        <v>355</v>
      </c>
      <c r="F388" s="109" t="s">
        <v>355</v>
      </c>
      <c r="G388" s="114"/>
      <c r="H388" s="108" t="s">
        <v>402</v>
      </c>
      <c r="I388" s="111" t="s">
        <v>402</v>
      </c>
      <c r="J388" s="111" t="s">
        <v>402</v>
      </c>
      <c r="K388" s="106" t="s">
        <v>403</v>
      </c>
      <c r="L388" s="55" t="s">
        <v>404</v>
      </c>
      <c r="M388" s="55" t="s">
        <v>7634</v>
      </c>
    </row>
    <row r="389" spans="1:13">
      <c r="A389" s="408" t="s">
        <v>1584</v>
      </c>
      <c r="B389" s="106" t="s">
        <v>327</v>
      </c>
      <c r="C389" s="106" t="s">
        <v>473</v>
      </c>
      <c r="D389" s="107" t="s">
        <v>1585</v>
      </c>
      <c r="E389" s="109" t="s">
        <v>355</v>
      </c>
      <c r="F389" s="109" t="s">
        <v>355</v>
      </c>
      <c r="G389" s="114"/>
      <c r="H389" s="108" t="s">
        <v>402</v>
      </c>
      <c r="I389" s="111" t="s">
        <v>402</v>
      </c>
      <c r="J389" s="111" t="s">
        <v>402</v>
      </c>
      <c r="K389" s="106" t="s">
        <v>403</v>
      </c>
      <c r="L389" s="55" t="s">
        <v>404</v>
      </c>
      <c r="M389" s="55" t="s">
        <v>7634</v>
      </c>
    </row>
    <row r="390" spans="1:13">
      <c r="A390" s="408" t="s">
        <v>1586</v>
      </c>
      <c r="B390" s="106" t="s">
        <v>327</v>
      </c>
      <c r="C390" s="106" t="s">
        <v>473</v>
      </c>
      <c r="D390" s="107" t="s">
        <v>1587</v>
      </c>
      <c r="E390" s="109" t="s">
        <v>355</v>
      </c>
      <c r="F390" s="109" t="s">
        <v>355</v>
      </c>
      <c r="G390" s="114"/>
      <c r="H390" s="108" t="s">
        <v>402</v>
      </c>
      <c r="I390" s="111" t="s">
        <v>402</v>
      </c>
      <c r="J390" s="111" t="s">
        <v>402</v>
      </c>
      <c r="K390" s="106" t="s">
        <v>403</v>
      </c>
      <c r="L390" s="55" t="s">
        <v>404</v>
      </c>
      <c r="M390" s="55" t="s">
        <v>7634</v>
      </c>
    </row>
    <row r="391" spans="1:13">
      <c r="A391" s="401" t="s">
        <v>1588</v>
      </c>
      <c r="B391" s="106" t="s">
        <v>327</v>
      </c>
      <c r="C391" s="106" t="s">
        <v>473</v>
      </c>
      <c r="D391" s="109" t="s">
        <v>1589</v>
      </c>
      <c r="E391" s="109" t="s">
        <v>1590</v>
      </c>
      <c r="F391" s="109" t="s">
        <v>1591</v>
      </c>
      <c r="G391" s="112" t="s">
        <v>1592</v>
      </c>
      <c r="H391" s="115" t="s">
        <v>402</v>
      </c>
      <c r="I391" s="111" t="s">
        <v>402</v>
      </c>
      <c r="J391" s="111" t="s">
        <v>402</v>
      </c>
      <c r="K391" s="106" t="s">
        <v>403</v>
      </c>
      <c r="L391" s="55" t="s">
        <v>404</v>
      </c>
      <c r="M391" s="55" t="s">
        <v>7634</v>
      </c>
    </row>
    <row r="392" spans="1:13">
      <c r="A392" s="408" t="s">
        <v>1593</v>
      </c>
      <c r="B392" s="106" t="s">
        <v>327</v>
      </c>
      <c r="C392" s="106" t="s">
        <v>473</v>
      </c>
      <c r="D392" s="107" t="s">
        <v>1594</v>
      </c>
      <c r="E392" s="109" t="s">
        <v>355</v>
      </c>
      <c r="F392" s="109" t="s">
        <v>355</v>
      </c>
      <c r="G392" s="114"/>
      <c r="H392" s="108" t="s">
        <v>402</v>
      </c>
      <c r="I392" s="111" t="s">
        <v>402</v>
      </c>
      <c r="J392" s="111" t="s">
        <v>402</v>
      </c>
      <c r="K392" s="106" t="s">
        <v>403</v>
      </c>
      <c r="L392" s="55" t="s">
        <v>404</v>
      </c>
      <c r="M392" s="55" t="s">
        <v>7634</v>
      </c>
    </row>
    <row r="393" spans="1:13">
      <c r="A393" s="408" t="s">
        <v>1595</v>
      </c>
      <c r="B393" s="106" t="s">
        <v>327</v>
      </c>
      <c r="C393" s="106" t="s">
        <v>473</v>
      </c>
      <c r="D393" s="107" t="s">
        <v>1596</v>
      </c>
      <c r="E393" s="109" t="s">
        <v>355</v>
      </c>
      <c r="F393" s="109" t="s">
        <v>355</v>
      </c>
      <c r="G393" s="114"/>
      <c r="H393" s="108" t="s">
        <v>402</v>
      </c>
      <c r="I393" s="111" t="s">
        <v>402</v>
      </c>
      <c r="J393" s="111" t="s">
        <v>402</v>
      </c>
      <c r="K393" s="106" t="s">
        <v>403</v>
      </c>
      <c r="L393" s="55" t="s">
        <v>404</v>
      </c>
      <c r="M393" s="55" t="s">
        <v>7634</v>
      </c>
    </row>
    <row r="394" spans="1:13">
      <c r="A394" s="408" t="s">
        <v>1597</v>
      </c>
      <c r="B394" s="106" t="s">
        <v>327</v>
      </c>
      <c r="C394" s="106" t="s">
        <v>473</v>
      </c>
      <c r="D394" s="107" t="s">
        <v>1598</v>
      </c>
      <c r="E394" s="109" t="s">
        <v>355</v>
      </c>
      <c r="F394" s="109" t="s">
        <v>355</v>
      </c>
      <c r="G394" s="114"/>
      <c r="H394" s="108" t="s">
        <v>402</v>
      </c>
      <c r="I394" s="111" t="s">
        <v>402</v>
      </c>
      <c r="J394" s="111" t="s">
        <v>402</v>
      </c>
      <c r="K394" s="106" t="s">
        <v>403</v>
      </c>
      <c r="L394" s="55" t="s">
        <v>404</v>
      </c>
      <c r="M394" s="55" t="s">
        <v>7634</v>
      </c>
    </row>
    <row r="395" spans="1:13">
      <c r="A395" s="408" t="s">
        <v>1599</v>
      </c>
      <c r="B395" s="106" t="s">
        <v>327</v>
      </c>
      <c r="C395" s="106" t="s">
        <v>473</v>
      </c>
      <c r="D395" s="107" t="s">
        <v>1600</v>
      </c>
      <c r="E395" s="109" t="s">
        <v>355</v>
      </c>
      <c r="F395" s="109" t="s">
        <v>355</v>
      </c>
      <c r="G395" s="114"/>
      <c r="H395" s="108" t="s">
        <v>402</v>
      </c>
      <c r="I395" s="111" t="s">
        <v>402</v>
      </c>
      <c r="J395" s="111" t="s">
        <v>402</v>
      </c>
      <c r="K395" s="106" t="s">
        <v>403</v>
      </c>
      <c r="L395" s="55" t="s">
        <v>404</v>
      </c>
      <c r="M395" s="55" t="s">
        <v>7634</v>
      </c>
    </row>
    <row r="396" spans="1:13">
      <c r="A396" s="408" t="s">
        <v>1601</v>
      </c>
      <c r="B396" s="106" t="s">
        <v>327</v>
      </c>
      <c r="C396" s="106" t="s">
        <v>473</v>
      </c>
      <c r="D396" s="107" t="s">
        <v>1602</v>
      </c>
      <c r="E396" s="109" t="s">
        <v>355</v>
      </c>
      <c r="F396" s="109" t="s">
        <v>355</v>
      </c>
      <c r="G396" s="114"/>
      <c r="H396" s="108" t="s">
        <v>402</v>
      </c>
      <c r="I396" s="111" t="s">
        <v>402</v>
      </c>
      <c r="J396" s="111" t="s">
        <v>402</v>
      </c>
      <c r="K396" s="106" t="s">
        <v>403</v>
      </c>
      <c r="L396" s="55" t="s">
        <v>404</v>
      </c>
      <c r="M396" s="55" t="s">
        <v>7634</v>
      </c>
    </row>
    <row r="397" spans="1:13">
      <c r="A397" s="408" t="s">
        <v>1603</v>
      </c>
      <c r="B397" s="106" t="s">
        <v>327</v>
      </c>
      <c r="C397" s="106" t="s">
        <v>473</v>
      </c>
      <c r="D397" s="107" t="s">
        <v>1604</v>
      </c>
      <c r="E397" s="109" t="s">
        <v>355</v>
      </c>
      <c r="F397" s="109" t="s">
        <v>355</v>
      </c>
      <c r="G397" s="114"/>
      <c r="H397" s="108" t="s">
        <v>402</v>
      </c>
      <c r="I397" s="111" t="s">
        <v>402</v>
      </c>
      <c r="J397" s="111" t="s">
        <v>402</v>
      </c>
      <c r="K397" s="106" t="s">
        <v>403</v>
      </c>
      <c r="L397" s="55" t="s">
        <v>404</v>
      </c>
      <c r="M397" s="55" t="s">
        <v>7634</v>
      </c>
    </row>
    <row r="398" spans="1:13">
      <c r="A398" s="401" t="s">
        <v>1605</v>
      </c>
      <c r="B398" s="106" t="s">
        <v>984</v>
      </c>
      <c r="C398" s="106" t="s">
        <v>473</v>
      </c>
      <c r="D398" s="107" t="s">
        <v>1606</v>
      </c>
      <c r="E398" s="107" t="s">
        <v>1607</v>
      </c>
      <c r="F398" s="107" t="s">
        <v>355</v>
      </c>
      <c r="G398" s="57" t="s">
        <v>1608</v>
      </c>
      <c r="H398" s="115" t="s">
        <v>402</v>
      </c>
      <c r="I398" s="111" t="s">
        <v>402</v>
      </c>
      <c r="J398" s="111" t="s">
        <v>402</v>
      </c>
      <c r="K398" s="106" t="s">
        <v>403</v>
      </c>
      <c r="L398" s="55" t="s">
        <v>404</v>
      </c>
      <c r="M398" s="113" t="s">
        <v>383</v>
      </c>
    </row>
    <row r="399" spans="1:13">
      <c r="A399" s="408" t="s">
        <v>1609</v>
      </c>
      <c r="B399" s="106" t="s">
        <v>327</v>
      </c>
      <c r="C399" s="106" t="s">
        <v>473</v>
      </c>
      <c r="D399" s="107" t="s">
        <v>1610</v>
      </c>
      <c r="E399" s="109" t="s">
        <v>355</v>
      </c>
      <c r="F399" s="109" t="s">
        <v>355</v>
      </c>
      <c r="G399" s="114"/>
      <c r="H399" s="108" t="s">
        <v>402</v>
      </c>
      <c r="I399" s="111" t="s">
        <v>402</v>
      </c>
      <c r="J399" s="111" t="s">
        <v>402</v>
      </c>
      <c r="K399" s="106" t="s">
        <v>403</v>
      </c>
      <c r="L399" s="55" t="s">
        <v>404</v>
      </c>
      <c r="M399" s="55" t="s">
        <v>7634</v>
      </c>
    </row>
    <row r="400" spans="1:13">
      <c r="A400" s="401" t="s">
        <v>8061</v>
      </c>
      <c r="B400" s="106" t="s">
        <v>327</v>
      </c>
      <c r="C400" s="132" t="s">
        <v>8062</v>
      </c>
      <c r="D400" s="129" t="s">
        <v>8063</v>
      </c>
      <c r="E400" s="129" t="s">
        <v>8064</v>
      </c>
      <c r="F400" s="129" t="s">
        <v>8065</v>
      </c>
      <c r="H400" s="55"/>
      <c r="I400" s="111"/>
      <c r="J400" s="111"/>
      <c r="K400" s="108"/>
      <c r="L400" s="55"/>
      <c r="M400" s="55"/>
    </row>
    <row r="401" spans="1:13">
      <c r="A401" s="408" t="s">
        <v>1611</v>
      </c>
      <c r="B401" s="106" t="s">
        <v>327</v>
      </c>
      <c r="C401" s="106" t="s">
        <v>473</v>
      </c>
      <c r="D401" s="107" t="s">
        <v>1612</v>
      </c>
      <c r="E401" s="109" t="s">
        <v>355</v>
      </c>
      <c r="F401" s="109" t="s">
        <v>355</v>
      </c>
      <c r="G401" s="114"/>
      <c r="H401" s="108" t="s">
        <v>402</v>
      </c>
      <c r="I401" s="111" t="s">
        <v>402</v>
      </c>
      <c r="J401" s="111" t="s">
        <v>402</v>
      </c>
      <c r="K401" s="106" t="s">
        <v>403</v>
      </c>
      <c r="L401" s="55" t="s">
        <v>404</v>
      </c>
      <c r="M401" s="55" t="s">
        <v>7634</v>
      </c>
    </row>
    <row r="402" spans="1:13">
      <c r="A402" s="408" t="s">
        <v>1613</v>
      </c>
      <c r="B402" s="106" t="s">
        <v>327</v>
      </c>
      <c r="C402" s="106" t="s">
        <v>473</v>
      </c>
      <c r="D402" s="107" t="s">
        <v>1614</v>
      </c>
      <c r="E402" s="109" t="s">
        <v>355</v>
      </c>
      <c r="F402" s="109" t="s">
        <v>355</v>
      </c>
      <c r="G402" s="114"/>
      <c r="H402" s="108" t="s">
        <v>402</v>
      </c>
      <c r="I402" s="111" t="s">
        <v>402</v>
      </c>
      <c r="J402" s="111" t="s">
        <v>402</v>
      </c>
      <c r="K402" s="106" t="s">
        <v>403</v>
      </c>
      <c r="L402" s="55" t="s">
        <v>404</v>
      </c>
      <c r="M402" s="55" t="s">
        <v>7634</v>
      </c>
    </row>
    <row r="403" spans="1:13">
      <c r="A403" s="408" t="s">
        <v>1615</v>
      </c>
      <c r="B403" s="106" t="s">
        <v>327</v>
      </c>
      <c r="C403" s="106" t="s">
        <v>473</v>
      </c>
      <c r="D403" s="107" t="s">
        <v>1616</v>
      </c>
      <c r="E403" s="109" t="s">
        <v>355</v>
      </c>
      <c r="F403" s="109" t="s">
        <v>355</v>
      </c>
      <c r="G403" s="114"/>
      <c r="H403" s="108" t="s">
        <v>402</v>
      </c>
      <c r="I403" s="111" t="s">
        <v>402</v>
      </c>
      <c r="J403" s="111" t="s">
        <v>402</v>
      </c>
      <c r="K403" s="106" t="s">
        <v>403</v>
      </c>
      <c r="L403" s="55" t="s">
        <v>404</v>
      </c>
      <c r="M403" s="55" t="s">
        <v>7634</v>
      </c>
    </row>
    <row r="404" spans="1:13">
      <c r="A404" s="578" t="s">
        <v>1617</v>
      </c>
      <c r="B404" s="586" t="s">
        <v>473</v>
      </c>
      <c r="C404" s="586" t="s">
        <v>473</v>
      </c>
      <c r="D404" s="586" t="s">
        <v>1618</v>
      </c>
      <c r="E404" s="586" t="s">
        <v>1225</v>
      </c>
      <c r="F404" s="586" t="s">
        <v>1226</v>
      </c>
      <c r="G404" s="586" t="s">
        <v>377</v>
      </c>
      <c r="H404" s="586" t="s">
        <v>359</v>
      </c>
      <c r="I404" s="587" t="s">
        <v>359</v>
      </c>
      <c r="J404" s="586"/>
      <c r="K404" s="586" t="s">
        <v>360</v>
      </c>
      <c r="L404" s="586" t="s">
        <v>361</v>
      </c>
      <c r="M404" s="55" t="s">
        <v>7634</v>
      </c>
    </row>
    <row r="405" spans="1:13">
      <c r="A405" s="408" t="s">
        <v>1619</v>
      </c>
      <c r="B405" s="106" t="s">
        <v>327</v>
      </c>
      <c r="C405" s="106" t="s">
        <v>473</v>
      </c>
      <c r="D405" s="107" t="s">
        <v>1620</v>
      </c>
      <c r="E405" s="109" t="s">
        <v>355</v>
      </c>
      <c r="F405" s="109" t="s">
        <v>355</v>
      </c>
      <c r="G405" s="114"/>
      <c r="H405" s="108" t="s">
        <v>402</v>
      </c>
      <c r="I405" s="111" t="s">
        <v>402</v>
      </c>
      <c r="J405" s="111" t="s">
        <v>402</v>
      </c>
      <c r="K405" s="106" t="s">
        <v>403</v>
      </c>
      <c r="L405" s="55" t="s">
        <v>404</v>
      </c>
      <c r="M405" s="55" t="s">
        <v>7634</v>
      </c>
    </row>
    <row r="406" spans="1:13">
      <c r="A406" s="408" t="s">
        <v>1621</v>
      </c>
      <c r="B406" s="106" t="s">
        <v>327</v>
      </c>
      <c r="C406" s="106" t="s">
        <v>473</v>
      </c>
      <c r="D406" s="107" t="s">
        <v>1622</v>
      </c>
      <c r="E406" s="109" t="s">
        <v>355</v>
      </c>
      <c r="F406" s="109" t="s">
        <v>355</v>
      </c>
      <c r="G406" s="114"/>
      <c r="H406" s="108" t="s">
        <v>402</v>
      </c>
      <c r="I406" s="111" t="s">
        <v>402</v>
      </c>
      <c r="J406" s="111" t="s">
        <v>402</v>
      </c>
      <c r="K406" s="106" t="s">
        <v>403</v>
      </c>
      <c r="L406" s="55" t="s">
        <v>404</v>
      </c>
      <c r="M406" s="55" t="s">
        <v>7634</v>
      </c>
    </row>
    <row r="407" spans="1:13">
      <c r="A407" s="408" t="s">
        <v>1623</v>
      </c>
      <c r="B407" s="106" t="s">
        <v>327</v>
      </c>
      <c r="C407" s="106" t="s">
        <v>473</v>
      </c>
      <c r="D407" s="107" t="s">
        <v>1624</v>
      </c>
      <c r="E407" s="109" t="s">
        <v>355</v>
      </c>
      <c r="F407" s="109" t="s">
        <v>355</v>
      </c>
      <c r="G407" s="114"/>
      <c r="H407" s="108" t="s">
        <v>402</v>
      </c>
      <c r="I407" s="111" t="s">
        <v>402</v>
      </c>
      <c r="J407" s="111" t="s">
        <v>402</v>
      </c>
      <c r="K407" s="106" t="s">
        <v>403</v>
      </c>
      <c r="L407" s="55" t="s">
        <v>404</v>
      </c>
      <c r="M407" s="55" t="s">
        <v>7634</v>
      </c>
    </row>
    <row r="408" spans="1:13">
      <c r="A408" s="408" t="s">
        <v>1625</v>
      </c>
      <c r="B408" s="106" t="s">
        <v>327</v>
      </c>
      <c r="C408" s="106" t="s">
        <v>473</v>
      </c>
      <c r="D408" s="107" t="s">
        <v>1626</v>
      </c>
      <c r="E408" s="109" t="s">
        <v>355</v>
      </c>
      <c r="F408" s="109" t="s">
        <v>355</v>
      </c>
      <c r="G408" s="114"/>
      <c r="H408" s="108" t="s">
        <v>402</v>
      </c>
      <c r="I408" s="111" t="s">
        <v>402</v>
      </c>
      <c r="J408" s="111" t="s">
        <v>402</v>
      </c>
      <c r="K408" s="106" t="s">
        <v>403</v>
      </c>
      <c r="L408" s="55" t="s">
        <v>404</v>
      </c>
      <c r="M408" s="55" t="s">
        <v>7634</v>
      </c>
    </row>
    <row r="409" spans="1:13">
      <c r="A409" s="408" t="s">
        <v>1627</v>
      </c>
      <c r="B409" s="106" t="s">
        <v>327</v>
      </c>
      <c r="C409" s="106" t="s">
        <v>473</v>
      </c>
      <c r="D409" s="107" t="s">
        <v>1628</v>
      </c>
      <c r="E409" s="109" t="s">
        <v>355</v>
      </c>
      <c r="F409" s="109" t="s">
        <v>355</v>
      </c>
      <c r="G409" s="114"/>
      <c r="H409" s="108" t="s">
        <v>402</v>
      </c>
      <c r="I409" s="111" t="s">
        <v>402</v>
      </c>
      <c r="J409" s="111" t="s">
        <v>402</v>
      </c>
      <c r="K409" s="106" t="s">
        <v>403</v>
      </c>
      <c r="L409" s="55" t="s">
        <v>404</v>
      </c>
      <c r="M409" s="55" t="s">
        <v>7634</v>
      </c>
    </row>
    <row r="410" spans="1:13">
      <c r="A410" s="408" t="s">
        <v>1629</v>
      </c>
      <c r="B410" s="106" t="s">
        <v>327</v>
      </c>
      <c r="C410" s="106" t="s">
        <v>473</v>
      </c>
      <c r="D410" s="107" t="s">
        <v>1630</v>
      </c>
      <c r="E410" s="109" t="s">
        <v>355</v>
      </c>
      <c r="F410" s="109" t="s">
        <v>355</v>
      </c>
      <c r="G410" s="114"/>
      <c r="H410" s="108" t="s">
        <v>402</v>
      </c>
      <c r="I410" s="111" t="s">
        <v>402</v>
      </c>
      <c r="J410" s="111" t="s">
        <v>402</v>
      </c>
      <c r="K410" s="106" t="s">
        <v>403</v>
      </c>
      <c r="L410" s="55" t="s">
        <v>404</v>
      </c>
      <c r="M410" s="55" t="s">
        <v>7634</v>
      </c>
    </row>
    <row r="411" spans="1:13">
      <c r="A411" s="408" t="s">
        <v>1631</v>
      </c>
      <c r="B411" s="106" t="s">
        <v>327</v>
      </c>
      <c r="C411" s="106" t="s">
        <v>473</v>
      </c>
      <c r="D411" s="107" t="s">
        <v>1632</v>
      </c>
      <c r="E411" s="109" t="s">
        <v>355</v>
      </c>
      <c r="F411" s="109" t="s">
        <v>355</v>
      </c>
      <c r="G411" s="114"/>
      <c r="H411" s="108" t="s">
        <v>402</v>
      </c>
      <c r="I411" s="111" t="s">
        <v>402</v>
      </c>
      <c r="J411" s="111" t="s">
        <v>402</v>
      </c>
      <c r="K411" s="106" t="s">
        <v>403</v>
      </c>
      <c r="L411" s="55" t="s">
        <v>404</v>
      </c>
      <c r="M411" s="55" t="s">
        <v>7634</v>
      </c>
    </row>
    <row r="412" spans="1:13">
      <c r="A412" s="408" t="s">
        <v>1633</v>
      </c>
      <c r="B412" s="106" t="s">
        <v>327</v>
      </c>
      <c r="C412" s="106" t="s">
        <v>473</v>
      </c>
      <c r="D412" s="107" t="s">
        <v>1634</v>
      </c>
      <c r="E412" s="109" t="s">
        <v>355</v>
      </c>
      <c r="F412" s="109" t="s">
        <v>355</v>
      </c>
      <c r="G412" s="114"/>
      <c r="H412" s="108" t="s">
        <v>402</v>
      </c>
      <c r="I412" s="111" t="s">
        <v>402</v>
      </c>
      <c r="J412" s="111" t="s">
        <v>402</v>
      </c>
      <c r="K412" s="106" t="s">
        <v>403</v>
      </c>
      <c r="L412" s="55" t="s">
        <v>404</v>
      </c>
      <c r="M412" s="55" t="s">
        <v>7634</v>
      </c>
    </row>
    <row r="413" spans="1:13">
      <c r="A413" s="408" t="s">
        <v>1635</v>
      </c>
      <c r="B413" s="106" t="s">
        <v>327</v>
      </c>
      <c r="C413" s="106" t="s">
        <v>473</v>
      </c>
      <c r="D413" s="107" t="s">
        <v>1636</v>
      </c>
      <c r="E413" s="109" t="s">
        <v>355</v>
      </c>
      <c r="F413" s="109" t="s">
        <v>355</v>
      </c>
      <c r="G413" s="114"/>
      <c r="H413" s="108" t="s">
        <v>402</v>
      </c>
      <c r="I413" s="111" t="s">
        <v>402</v>
      </c>
      <c r="J413" s="111" t="s">
        <v>402</v>
      </c>
      <c r="K413" s="106" t="s">
        <v>403</v>
      </c>
      <c r="L413" s="55" t="s">
        <v>404</v>
      </c>
      <c r="M413" s="55" t="s">
        <v>7634</v>
      </c>
    </row>
    <row r="414" spans="1:13">
      <c r="A414" s="408" t="s">
        <v>1637</v>
      </c>
      <c r="B414" s="106" t="s">
        <v>327</v>
      </c>
      <c r="C414" s="106" t="s">
        <v>473</v>
      </c>
      <c r="D414" s="107" t="s">
        <v>1638</v>
      </c>
      <c r="E414" s="109" t="s">
        <v>355</v>
      </c>
      <c r="F414" s="109" t="s">
        <v>355</v>
      </c>
      <c r="G414" s="114"/>
      <c r="H414" s="108" t="s">
        <v>402</v>
      </c>
      <c r="I414" s="111" t="s">
        <v>402</v>
      </c>
      <c r="J414" s="111" t="s">
        <v>402</v>
      </c>
      <c r="K414" s="106" t="s">
        <v>403</v>
      </c>
      <c r="L414" s="55" t="s">
        <v>404</v>
      </c>
      <c r="M414" s="55" t="s">
        <v>7634</v>
      </c>
    </row>
    <row r="415" spans="1:13">
      <c r="A415" s="408" t="s">
        <v>1639</v>
      </c>
      <c r="B415" s="106" t="s">
        <v>327</v>
      </c>
      <c r="C415" s="106" t="s">
        <v>473</v>
      </c>
      <c r="D415" s="107" t="s">
        <v>1640</v>
      </c>
      <c r="E415" s="109" t="s">
        <v>355</v>
      </c>
      <c r="F415" s="109" t="s">
        <v>355</v>
      </c>
      <c r="G415" s="114"/>
      <c r="H415" s="108" t="s">
        <v>402</v>
      </c>
      <c r="I415" s="111" t="s">
        <v>402</v>
      </c>
      <c r="J415" s="111" t="s">
        <v>402</v>
      </c>
      <c r="K415" s="106" t="s">
        <v>403</v>
      </c>
      <c r="L415" s="55" t="s">
        <v>404</v>
      </c>
      <c r="M415" s="55" t="s">
        <v>7634</v>
      </c>
    </row>
    <row r="416" spans="1:13">
      <c r="A416" s="408" t="s">
        <v>1641</v>
      </c>
      <c r="B416" s="106" t="s">
        <v>327</v>
      </c>
      <c r="C416" s="106" t="s">
        <v>473</v>
      </c>
      <c r="D416" s="107" t="s">
        <v>1642</v>
      </c>
      <c r="E416" s="109" t="s">
        <v>355</v>
      </c>
      <c r="F416" s="109" t="s">
        <v>355</v>
      </c>
      <c r="G416" s="114"/>
      <c r="H416" s="108" t="s">
        <v>402</v>
      </c>
      <c r="I416" s="111" t="s">
        <v>402</v>
      </c>
      <c r="J416" s="111" t="s">
        <v>402</v>
      </c>
      <c r="K416" s="106" t="s">
        <v>403</v>
      </c>
      <c r="L416" s="55" t="s">
        <v>404</v>
      </c>
      <c r="M416" s="55" t="s">
        <v>7634</v>
      </c>
    </row>
    <row r="417" spans="1:13">
      <c r="A417" s="408" t="s">
        <v>1643</v>
      </c>
      <c r="B417" s="106" t="s">
        <v>327</v>
      </c>
      <c r="C417" s="106" t="s">
        <v>473</v>
      </c>
      <c r="D417" s="107" t="s">
        <v>1644</v>
      </c>
      <c r="E417" s="109" t="s">
        <v>355</v>
      </c>
      <c r="F417" s="109" t="s">
        <v>355</v>
      </c>
      <c r="G417" s="114"/>
      <c r="H417" s="108" t="s">
        <v>402</v>
      </c>
      <c r="I417" s="111" t="s">
        <v>402</v>
      </c>
      <c r="J417" s="111" t="s">
        <v>402</v>
      </c>
      <c r="K417" s="106" t="s">
        <v>403</v>
      </c>
      <c r="L417" s="55" t="s">
        <v>404</v>
      </c>
      <c r="M417" s="55" t="s">
        <v>7634</v>
      </c>
    </row>
    <row r="418" spans="1:13">
      <c r="A418" s="408" t="s">
        <v>1645</v>
      </c>
      <c r="B418" s="106" t="s">
        <v>327</v>
      </c>
      <c r="C418" s="106" t="s">
        <v>473</v>
      </c>
      <c r="D418" s="107" t="s">
        <v>1646</v>
      </c>
      <c r="E418" s="109" t="s">
        <v>355</v>
      </c>
      <c r="F418" s="109" t="s">
        <v>355</v>
      </c>
      <c r="G418" s="114"/>
      <c r="H418" s="108" t="s">
        <v>402</v>
      </c>
      <c r="I418" s="111" t="s">
        <v>402</v>
      </c>
      <c r="J418" s="111" t="s">
        <v>402</v>
      </c>
      <c r="K418" s="106" t="s">
        <v>403</v>
      </c>
      <c r="L418" s="55" t="s">
        <v>404</v>
      </c>
      <c r="M418" s="55" t="s">
        <v>7634</v>
      </c>
    </row>
    <row r="419" spans="1:13">
      <c r="A419" s="401" t="s">
        <v>1647</v>
      </c>
      <c r="B419" s="106" t="s">
        <v>327</v>
      </c>
      <c r="C419" s="106" t="s">
        <v>473</v>
      </c>
      <c r="D419" s="109" t="s">
        <v>1648</v>
      </c>
      <c r="E419" s="109" t="s">
        <v>1649</v>
      </c>
      <c r="F419" s="109" t="s">
        <v>1650</v>
      </c>
      <c r="G419" s="112" t="s">
        <v>1651</v>
      </c>
      <c r="H419" s="115" t="s">
        <v>402</v>
      </c>
      <c r="I419" s="111" t="s">
        <v>402</v>
      </c>
      <c r="J419" s="111" t="s">
        <v>402</v>
      </c>
      <c r="K419" s="106" t="s">
        <v>403</v>
      </c>
      <c r="L419" s="55" t="s">
        <v>404</v>
      </c>
      <c r="M419" s="55" t="s">
        <v>7634</v>
      </c>
    </row>
    <row r="420" spans="1:13">
      <c r="A420" s="408" t="s">
        <v>1652</v>
      </c>
      <c r="B420" s="106" t="s">
        <v>327</v>
      </c>
      <c r="C420" s="106" t="s">
        <v>473</v>
      </c>
      <c r="D420" s="107" t="s">
        <v>1653</v>
      </c>
      <c r="E420" s="109" t="s">
        <v>355</v>
      </c>
      <c r="F420" s="109" t="s">
        <v>355</v>
      </c>
      <c r="G420" s="114"/>
      <c r="H420" s="108" t="s">
        <v>402</v>
      </c>
      <c r="I420" s="111" t="s">
        <v>402</v>
      </c>
      <c r="J420" s="111" t="s">
        <v>402</v>
      </c>
      <c r="K420" s="106" t="s">
        <v>403</v>
      </c>
      <c r="L420" s="55" t="s">
        <v>404</v>
      </c>
      <c r="M420" s="55" t="s">
        <v>7634</v>
      </c>
    </row>
    <row r="421" spans="1:13">
      <c r="A421" s="408" t="s">
        <v>1654</v>
      </c>
      <c r="B421" s="106" t="s">
        <v>327</v>
      </c>
      <c r="C421" s="106" t="s">
        <v>473</v>
      </c>
      <c r="D421" s="107" t="s">
        <v>1655</v>
      </c>
      <c r="E421" s="109" t="s">
        <v>355</v>
      </c>
      <c r="F421" s="109" t="s">
        <v>355</v>
      </c>
      <c r="G421" s="114"/>
      <c r="H421" s="108" t="s">
        <v>402</v>
      </c>
      <c r="I421" s="111" t="s">
        <v>402</v>
      </c>
      <c r="J421" s="111" t="s">
        <v>402</v>
      </c>
      <c r="K421" s="106" t="s">
        <v>403</v>
      </c>
      <c r="L421" s="55" t="s">
        <v>404</v>
      </c>
      <c r="M421" s="55" t="s">
        <v>7634</v>
      </c>
    </row>
    <row r="422" spans="1:13">
      <c r="A422" s="408" t="s">
        <v>1656</v>
      </c>
      <c r="B422" s="106" t="s">
        <v>327</v>
      </c>
      <c r="C422" s="106" t="s">
        <v>473</v>
      </c>
      <c r="D422" s="107" t="s">
        <v>1657</v>
      </c>
      <c r="E422" s="109" t="s">
        <v>355</v>
      </c>
      <c r="F422" s="109" t="s">
        <v>355</v>
      </c>
      <c r="G422" s="114"/>
      <c r="H422" s="108" t="s">
        <v>402</v>
      </c>
      <c r="I422" s="111" t="s">
        <v>402</v>
      </c>
      <c r="J422" s="111" t="s">
        <v>402</v>
      </c>
      <c r="K422" s="106" t="s">
        <v>403</v>
      </c>
      <c r="L422" s="55" t="s">
        <v>404</v>
      </c>
      <c r="M422" s="55" t="s">
        <v>7634</v>
      </c>
    </row>
    <row r="423" spans="1:13">
      <c r="A423" s="408" t="s">
        <v>1658</v>
      </c>
      <c r="B423" s="106" t="s">
        <v>327</v>
      </c>
      <c r="C423" s="106" t="s">
        <v>473</v>
      </c>
      <c r="D423" s="107" t="s">
        <v>1659</v>
      </c>
      <c r="E423" s="109" t="s">
        <v>355</v>
      </c>
      <c r="F423" s="109" t="s">
        <v>355</v>
      </c>
      <c r="G423" s="114"/>
      <c r="H423" s="108" t="s">
        <v>402</v>
      </c>
      <c r="I423" s="111" t="s">
        <v>402</v>
      </c>
      <c r="J423" s="111" t="s">
        <v>402</v>
      </c>
      <c r="K423" s="106" t="s">
        <v>403</v>
      </c>
      <c r="L423" s="55" t="s">
        <v>404</v>
      </c>
      <c r="M423" s="55" t="s">
        <v>7634</v>
      </c>
    </row>
    <row r="424" spans="1:13">
      <c r="A424" s="401" t="s">
        <v>1660</v>
      </c>
      <c r="B424" s="106" t="s">
        <v>327</v>
      </c>
      <c r="C424" s="106" t="s">
        <v>473</v>
      </c>
      <c r="D424" s="109"/>
      <c r="E424" s="109" t="s">
        <v>355</v>
      </c>
      <c r="F424" s="109" t="s">
        <v>355</v>
      </c>
      <c r="G424" s="55"/>
      <c r="H424" s="115" t="s">
        <v>402</v>
      </c>
      <c r="I424" s="111" t="s">
        <v>402</v>
      </c>
      <c r="J424" s="111" t="s">
        <v>402</v>
      </c>
      <c r="K424" s="106"/>
      <c r="L424" s="55"/>
      <c r="M424" s="55" t="s">
        <v>7634</v>
      </c>
    </row>
    <row r="425" spans="1:13">
      <c r="A425" s="408" t="s">
        <v>1661</v>
      </c>
      <c r="B425" s="106" t="s">
        <v>327</v>
      </c>
      <c r="C425" s="106" t="s">
        <v>473</v>
      </c>
      <c r="D425" s="107" t="s">
        <v>1662</v>
      </c>
      <c r="E425" s="109" t="s">
        <v>355</v>
      </c>
      <c r="F425" s="109" t="s">
        <v>355</v>
      </c>
      <c r="G425" s="114"/>
      <c r="H425" s="108" t="s">
        <v>402</v>
      </c>
      <c r="I425" s="111" t="s">
        <v>402</v>
      </c>
      <c r="J425" s="111" t="s">
        <v>402</v>
      </c>
      <c r="K425" s="106" t="s">
        <v>403</v>
      </c>
      <c r="L425" s="55" t="s">
        <v>404</v>
      </c>
      <c r="M425" s="55" t="s">
        <v>7634</v>
      </c>
    </row>
    <row r="426" spans="1:13">
      <c r="A426" s="408" t="s">
        <v>1663</v>
      </c>
      <c r="B426" s="106" t="s">
        <v>327</v>
      </c>
      <c r="C426" s="106" t="s">
        <v>473</v>
      </c>
      <c r="D426" s="107" t="s">
        <v>1662</v>
      </c>
      <c r="E426" s="109" t="s">
        <v>355</v>
      </c>
      <c r="F426" s="109" t="s">
        <v>355</v>
      </c>
      <c r="G426" s="114"/>
      <c r="H426" s="108" t="s">
        <v>402</v>
      </c>
      <c r="I426" s="111" t="s">
        <v>402</v>
      </c>
      <c r="J426" s="111" t="s">
        <v>402</v>
      </c>
      <c r="K426" s="106" t="s">
        <v>403</v>
      </c>
      <c r="L426" s="55" t="s">
        <v>404</v>
      </c>
      <c r="M426" s="55" t="s">
        <v>7634</v>
      </c>
    </row>
    <row r="427" spans="1:13">
      <c r="A427" s="408" t="s">
        <v>1664</v>
      </c>
      <c r="B427" s="106" t="s">
        <v>327</v>
      </c>
      <c r="C427" s="106" t="s">
        <v>473</v>
      </c>
      <c r="D427" s="107" t="s">
        <v>1665</v>
      </c>
      <c r="E427" s="109" t="s">
        <v>355</v>
      </c>
      <c r="F427" s="109" t="s">
        <v>355</v>
      </c>
      <c r="G427" s="114"/>
      <c r="H427" s="108" t="s">
        <v>402</v>
      </c>
      <c r="I427" s="111" t="s">
        <v>402</v>
      </c>
      <c r="J427" s="111" t="s">
        <v>402</v>
      </c>
      <c r="K427" s="106" t="s">
        <v>403</v>
      </c>
      <c r="L427" s="55" t="s">
        <v>404</v>
      </c>
      <c r="M427" s="55" t="s">
        <v>7634</v>
      </c>
    </row>
    <row r="428" spans="1:13">
      <c r="A428" s="408" t="s">
        <v>1666</v>
      </c>
      <c r="B428" s="106" t="s">
        <v>327</v>
      </c>
      <c r="C428" s="106" t="s">
        <v>473</v>
      </c>
      <c r="D428" s="107" t="s">
        <v>1667</v>
      </c>
      <c r="E428" s="109" t="s">
        <v>355</v>
      </c>
      <c r="F428" s="109" t="s">
        <v>355</v>
      </c>
      <c r="G428" s="114"/>
      <c r="H428" s="108" t="s">
        <v>402</v>
      </c>
      <c r="I428" s="111" t="s">
        <v>402</v>
      </c>
      <c r="J428" s="111" t="s">
        <v>402</v>
      </c>
      <c r="K428" s="106" t="s">
        <v>403</v>
      </c>
      <c r="L428" s="55" t="s">
        <v>404</v>
      </c>
      <c r="M428" s="55" t="s">
        <v>7634</v>
      </c>
    </row>
    <row r="429" spans="1:13">
      <c r="A429" s="408" t="s">
        <v>1668</v>
      </c>
      <c r="B429" s="106" t="s">
        <v>327</v>
      </c>
      <c r="C429" s="106" t="s">
        <v>473</v>
      </c>
      <c r="D429" s="107" t="s">
        <v>1669</v>
      </c>
      <c r="E429" s="109" t="s">
        <v>355</v>
      </c>
      <c r="F429" s="109" t="s">
        <v>355</v>
      </c>
      <c r="G429" s="114"/>
      <c r="H429" s="108" t="s">
        <v>402</v>
      </c>
      <c r="I429" s="111" t="s">
        <v>402</v>
      </c>
      <c r="J429" s="111" t="s">
        <v>402</v>
      </c>
      <c r="K429" s="106" t="s">
        <v>403</v>
      </c>
      <c r="L429" s="55" t="s">
        <v>404</v>
      </c>
      <c r="M429" s="55" t="s">
        <v>7634</v>
      </c>
    </row>
    <row r="430" spans="1:13">
      <c r="A430" s="408" t="s">
        <v>1670</v>
      </c>
      <c r="B430" s="106" t="s">
        <v>327</v>
      </c>
      <c r="C430" s="106" t="s">
        <v>473</v>
      </c>
      <c r="D430" s="107" t="s">
        <v>1671</v>
      </c>
      <c r="E430" s="109" t="s">
        <v>355</v>
      </c>
      <c r="F430" s="109" t="s">
        <v>355</v>
      </c>
      <c r="G430" s="114"/>
      <c r="H430" s="108" t="s">
        <v>402</v>
      </c>
      <c r="I430" s="111" t="s">
        <v>402</v>
      </c>
      <c r="J430" s="111" t="s">
        <v>402</v>
      </c>
      <c r="K430" s="106" t="s">
        <v>403</v>
      </c>
      <c r="L430" s="55" t="s">
        <v>404</v>
      </c>
      <c r="M430" s="55" t="s">
        <v>7634</v>
      </c>
    </row>
    <row r="431" spans="1:13">
      <c r="A431" s="408" t="s">
        <v>1672</v>
      </c>
      <c r="B431" s="106" t="s">
        <v>327</v>
      </c>
      <c r="C431" s="106" t="s">
        <v>473</v>
      </c>
      <c r="D431" s="107" t="s">
        <v>1673</v>
      </c>
      <c r="E431" s="109" t="s">
        <v>355</v>
      </c>
      <c r="F431" s="109" t="s">
        <v>355</v>
      </c>
      <c r="G431" s="114"/>
      <c r="H431" s="108" t="s">
        <v>402</v>
      </c>
      <c r="I431" s="111" t="s">
        <v>402</v>
      </c>
      <c r="J431" s="111" t="s">
        <v>402</v>
      </c>
      <c r="K431" s="106" t="s">
        <v>403</v>
      </c>
      <c r="L431" s="55" t="s">
        <v>404</v>
      </c>
      <c r="M431" s="55" t="s">
        <v>7634</v>
      </c>
    </row>
    <row r="432" spans="1:13">
      <c r="A432" s="408" t="s">
        <v>1674</v>
      </c>
      <c r="B432" s="106" t="s">
        <v>327</v>
      </c>
      <c r="C432" s="106" t="s">
        <v>473</v>
      </c>
      <c r="D432" s="107" t="s">
        <v>1675</v>
      </c>
      <c r="E432" s="109" t="s">
        <v>355</v>
      </c>
      <c r="F432" s="109" t="s">
        <v>355</v>
      </c>
      <c r="G432" s="114"/>
      <c r="H432" s="108" t="s">
        <v>402</v>
      </c>
      <c r="I432" s="111" t="s">
        <v>402</v>
      </c>
      <c r="J432" s="111" t="s">
        <v>402</v>
      </c>
      <c r="K432" s="106" t="s">
        <v>403</v>
      </c>
      <c r="L432" s="55" t="s">
        <v>404</v>
      </c>
      <c r="M432" s="55" t="s">
        <v>7634</v>
      </c>
    </row>
    <row r="433" spans="1:13">
      <c r="A433" s="408" t="s">
        <v>1676</v>
      </c>
      <c r="B433" s="106" t="s">
        <v>327</v>
      </c>
      <c r="C433" s="106" t="s">
        <v>473</v>
      </c>
      <c r="D433" s="107" t="s">
        <v>1677</v>
      </c>
      <c r="E433" s="109" t="s">
        <v>355</v>
      </c>
      <c r="F433" s="109" t="s">
        <v>355</v>
      </c>
      <c r="G433" s="114"/>
      <c r="H433" s="108" t="s">
        <v>402</v>
      </c>
      <c r="I433" s="111" t="s">
        <v>402</v>
      </c>
      <c r="J433" s="111" t="s">
        <v>402</v>
      </c>
      <c r="K433" s="106" t="s">
        <v>403</v>
      </c>
      <c r="L433" s="55" t="s">
        <v>404</v>
      </c>
      <c r="M433" s="55" t="s">
        <v>7634</v>
      </c>
    </row>
    <row r="434" spans="1:13">
      <c r="A434" s="408" t="s">
        <v>1678</v>
      </c>
      <c r="B434" s="106" t="s">
        <v>327</v>
      </c>
      <c r="C434" s="106" t="s">
        <v>473</v>
      </c>
      <c r="D434" s="107" t="s">
        <v>1679</v>
      </c>
      <c r="E434" s="109" t="s">
        <v>355</v>
      </c>
      <c r="F434" s="109" t="s">
        <v>355</v>
      </c>
      <c r="G434" s="114"/>
      <c r="H434" s="108" t="s">
        <v>402</v>
      </c>
      <c r="I434" s="111" t="s">
        <v>402</v>
      </c>
      <c r="J434" s="111" t="s">
        <v>402</v>
      </c>
      <c r="K434" s="106" t="s">
        <v>403</v>
      </c>
      <c r="L434" s="55" t="s">
        <v>404</v>
      </c>
      <c r="M434" s="55" t="s">
        <v>7634</v>
      </c>
    </row>
    <row r="435" spans="1:13">
      <c r="A435" s="408" t="s">
        <v>1680</v>
      </c>
      <c r="B435" s="106" t="s">
        <v>327</v>
      </c>
      <c r="C435" s="106" t="s">
        <v>473</v>
      </c>
      <c r="D435" s="107" t="s">
        <v>1681</v>
      </c>
      <c r="E435" s="109" t="s">
        <v>355</v>
      </c>
      <c r="F435" s="109" t="s">
        <v>355</v>
      </c>
      <c r="G435" s="114"/>
      <c r="H435" s="108" t="s">
        <v>402</v>
      </c>
      <c r="I435" s="111" t="s">
        <v>402</v>
      </c>
      <c r="J435" s="111" t="s">
        <v>402</v>
      </c>
      <c r="K435" s="106" t="s">
        <v>403</v>
      </c>
      <c r="L435" s="55" t="s">
        <v>404</v>
      </c>
      <c r="M435" s="55" t="s">
        <v>7634</v>
      </c>
    </row>
    <row r="436" spans="1:13">
      <c r="A436" s="408" t="s">
        <v>1682</v>
      </c>
      <c r="B436" s="106" t="s">
        <v>327</v>
      </c>
      <c r="C436" s="106" t="s">
        <v>473</v>
      </c>
      <c r="D436" s="107" t="s">
        <v>1683</v>
      </c>
      <c r="E436" s="109" t="s">
        <v>355</v>
      </c>
      <c r="F436" s="109" t="s">
        <v>355</v>
      </c>
      <c r="G436" s="114"/>
      <c r="H436" s="108" t="s">
        <v>402</v>
      </c>
      <c r="I436" s="111" t="s">
        <v>402</v>
      </c>
      <c r="J436" s="111" t="s">
        <v>402</v>
      </c>
      <c r="K436" s="106" t="s">
        <v>403</v>
      </c>
      <c r="L436" s="55" t="s">
        <v>404</v>
      </c>
      <c r="M436" s="55" t="s">
        <v>7634</v>
      </c>
    </row>
    <row r="437" spans="1:13">
      <c r="A437" s="408" t="s">
        <v>1684</v>
      </c>
      <c r="B437" s="106" t="s">
        <v>327</v>
      </c>
      <c r="C437" s="106" t="s">
        <v>473</v>
      </c>
      <c r="D437" s="107" t="s">
        <v>1685</v>
      </c>
      <c r="E437" s="109" t="s">
        <v>355</v>
      </c>
      <c r="F437" s="109" t="s">
        <v>355</v>
      </c>
      <c r="G437" s="114"/>
      <c r="H437" s="108" t="s">
        <v>402</v>
      </c>
      <c r="I437" s="111" t="s">
        <v>402</v>
      </c>
      <c r="J437" s="111" t="s">
        <v>402</v>
      </c>
      <c r="K437" s="106" t="s">
        <v>403</v>
      </c>
      <c r="L437" s="55" t="s">
        <v>404</v>
      </c>
      <c r="M437" s="55" t="s">
        <v>7634</v>
      </c>
    </row>
    <row r="438" spans="1:13">
      <c r="A438" s="408" t="s">
        <v>1686</v>
      </c>
      <c r="B438" s="106" t="s">
        <v>327</v>
      </c>
      <c r="C438" s="106" t="s">
        <v>473</v>
      </c>
      <c r="D438" s="107" t="s">
        <v>1687</v>
      </c>
      <c r="E438" s="109" t="s">
        <v>355</v>
      </c>
      <c r="F438" s="109" t="s">
        <v>355</v>
      </c>
      <c r="G438" s="114"/>
      <c r="H438" s="108" t="s">
        <v>402</v>
      </c>
      <c r="I438" s="111" t="s">
        <v>402</v>
      </c>
      <c r="J438" s="111" t="s">
        <v>402</v>
      </c>
      <c r="K438" s="106" t="s">
        <v>403</v>
      </c>
      <c r="L438" s="55" t="s">
        <v>404</v>
      </c>
      <c r="M438" s="55" t="s">
        <v>7634</v>
      </c>
    </row>
    <row r="439" spans="1:13">
      <c r="A439" s="408" t="s">
        <v>1688</v>
      </c>
      <c r="B439" s="106" t="s">
        <v>327</v>
      </c>
      <c r="C439" s="106" t="s">
        <v>473</v>
      </c>
      <c r="D439" s="107" t="s">
        <v>1689</v>
      </c>
      <c r="E439" s="109" t="s">
        <v>355</v>
      </c>
      <c r="F439" s="109" t="s">
        <v>355</v>
      </c>
      <c r="G439" s="114"/>
      <c r="H439" s="108" t="s">
        <v>402</v>
      </c>
      <c r="I439" s="111" t="s">
        <v>402</v>
      </c>
      <c r="J439" s="111" t="s">
        <v>402</v>
      </c>
      <c r="K439" s="106" t="s">
        <v>403</v>
      </c>
      <c r="L439" s="55" t="s">
        <v>404</v>
      </c>
      <c r="M439" s="55" t="s">
        <v>7634</v>
      </c>
    </row>
    <row r="440" spans="1:13">
      <c r="A440" s="408" t="s">
        <v>1690</v>
      </c>
      <c r="B440" s="106" t="s">
        <v>327</v>
      </c>
      <c r="C440" s="106" t="s">
        <v>473</v>
      </c>
      <c r="D440" s="107" t="s">
        <v>1691</v>
      </c>
      <c r="E440" s="109" t="s">
        <v>355</v>
      </c>
      <c r="F440" s="109" t="s">
        <v>355</v>
      </c>
      <c r="G440" s="114"/>
      <c r="H440" s="108" t="s">
        <v>402</v>
      </c>
      <c r="I440" s="111" t="s">
        <v>402</v>
      </c>
      <c r="J440" s="111" t="s">
        <v>402</v>
      </c>
      <c r="K440" s="106" t="s">
        <v>403</v>
      </c>
      <c r="L440" s="55" t="s">
        <v>404</v>
      </c>
      <c r="M440" s="55" t="s">
        <v>7634</v>
      </c>
    </row>
    <row r="441" spans="1:13">
      <c r="A441" s="408" t="s">
        <v>1692</v>
      </c>
      <c r="B441" s="106" t="s">
        <v>327</v>
      </c>
      <c r="C441" s="106" t="s">
        <v>473</v>
      </c>
      <c r="D441" s="107" t="s">
        <v>1693</v>
      </c>
      <c r="E441" s="109" t="s">
        <v>355</v>
      </c>
      <c r="F441" s="109" t="s">
        <v>355</v>
      </c>
      <c r="G441" s="114"/>
      <c r="H441" s="108" t="s">
        <v>402</v>
      </c>
      <c r="I441" s="111" t="s">
        <v>402</v>
      </c>
      <c r="J441" s="111" t="s">
        <v>402</v>
      </c>
      <c r="K441" s="106" t="s">
        <v>403</v>
      </c>
      <c r="L441" s="55" t="s">
        <v>404</v>
      </c>
      <c r="M441" s="55" t="s">
        <v>7634</v>
      </c>
    </row>
    <row r="442" spans="1:13">
      <c r="A442" s="408" t="s">
        <v>1694</v>
      </c>
      <c r="B442" s="106" t="s">
        <v>327</v>
      </c>
      <c r="C442" s="106" t="s">
        <v>473</v>
      </c>
      <c r="D442" s="107" t="s">
        <v>1695</v>
      </c>
      <c r="E442" s="109" t="s">
        <v>355</v>
      </c>
      <c r="F442" s="109" t="s">
        <v>355</v>
      </c>
      <c r="G442" s="114"/>
      <c r="H442" s="108" t="s">
        <v>402</v>
      </c>
      <c r="I442" s="111" t="s">
        <v>402</v>
      </c>
      <c r="J442" s="111" t="s">
        <v>402</v>
      </c>
      <c r="K442" s="106" t="s">
        <v>403</v>
      </c>
      <c r="L442" s="55" t="s">
        <v>404</v>
      </c>
      <c r="M442" s="55" t="s">
        <v>7634</v>
      </c>
    </row>
    <row r="443" spans="1:13">
      <c r="A443" s="408" t="s">
        <v>1696</v>
      </c>
      <c r="B443" s="106" t="s">
        <v>327</v>
      </c>
      <c r="C443" s="106" t="s">
        <v>473</v>
      </c>
      <c r="D443" s="107" t="s">
        <v>1697</v>
      </c>
      <c r="E443" s="109" t="s">
        <v>355</v>
      </c>
      <c r="F443" s="109" t="s">
        <v>355</v>
      </c>
      <c r="G443" s="114"/>
      <c r="H443" s="108" t="s">
        <v>402</v>
      </c>
      <c r="I443" s="111" t="s">
        <v>402</v>
      </c>
      <c r="J443" s="111" t="s">
        <v>402</v>
      </c>
      <c r="K443" s="106" t="s">
        <v>403</v>
      </c>
      <c r="L443" s="55" t="s">
        <v>404</v>
      </c>
      <c r="M443" s="55" t="s">
        <v>7634</v>
      </c>
    </row>
    <row r="444" spans="1:13">
      <c r="A444" s="408" t="s">
        <v>1698</v>
      </c>
      <c r="B444" s="106" t="s">
        <v>327</v>
      </c>
      <c r="C444" s="106" t="s">
        <v>473</v>
      </c>
      <c r="D444" s="107" t="s">
        <v>1699</v>
      </c>
      <c r="E444" s="109" t="s">
        <v>355</v>
      </c>
      <c r="F444" s="109" t="s">
        <v>355</v>
      </c>
      <c r="G444" s="114"/>
      <c r="H444" s="108" t="s">
        <v>402</v>
      </c>
      <c r="I444" s="111" t="s">
        <v>402</v>
      </c>
      <c r="J444" s="111" t="s">
        <v>402</v>
      </c>
      <c r="K444" s="106" t="s">
        <v>403</v>
      </c>
      <c r="L444" s="55" t="s">
        <v>404</v>
      </c>
      <c r="M444" s="55" t="s">
        <v>7634</v>
      </c>
    </row>
    <row r="445" spans="1:13">
      <c r="A445" s="408" t="s">
        <v>1700</v>
      </c>
      <c r="B445" s="106" t="s">
        <v>327</v>
      </c>
      <c r="C445" s="106" t="s">
        <v>473</v>
      </c>
      <c r="D445" s="107" t="s">
        <v>1701</v>
      </c>
      <c r="E445" s="109" t="s">
        <v>355</v>
      </c>
      <c r="F445" s="109" t="s">
        <v>355</v>
      </c>
      <c r="G445" s="114"/>
      <c r="H445" s="108" t="s">
        <v>402</v>
      </c>
      <c r="I445" s="111" t="s">
        <v>402</v>
      </c>
      <c r="J445" s="111" t="s">
        <v>402</v>
      </c>
      <c r="K445" s="106" t="s">
        <v>403</v>
      </c>
      <c r="L445" s="55" t="s">
        <v>404</v>
      </c>
      <c r="M445" s="55" t="s">
        <v>7634</v>
      </c>
    </row>
    <row r="446" spans="1:13">
      <c r="A446" s="408" t="s">
        <v>1702</v>
      </c>
      <c r="B446" s="106" t="s">
        <v>327</v>
      </c>
      <c r="C446" s="106" t="s">
        <v>473</v>
      </c>
      <c r="D446" s="107" t="s">
        <v>1703</v>
      </c>
      <c r="E446" s="109" t="s">
        <v>355</v>
      </c>
      <c r="F446" s="109" t="s">
        <v>355</v>
      </c>
      <c r="G446" s="114"/>
      <c r="H446" s="108" t="s">
        <v>402</v>
      </c>
      <c r="I446" s="111" t="s">
        <v>402</v>
      </c>
      <c r="J446" s="111" t="s">
        <v>402</v>
      </c>
      <c r="K446" s="106" t="s">
        <v>403</v>
      </c>
      <c r="L446" s="55" t="s">
        <v>404</v>
      </c>
      <c r="M446" s="55" t="s">
        <v>7634</v>
      </c>
    </row>
    <row r="447" spans="1:13">
      <c r="A447" s="408" t="s">
        <v>1704</v>
      </c>
      <c r="B447" s="106" t="s">
        <v>327</v>
      </c>
      <c r="C447" s="106" t="s">
        <v>473</v>
      </c>
      <c r="D447" s="107" t="s">
        <v>1705</v>
      </c>
      <c r="E447" s="109" t="s">
        <v>355</v>
      </c>
      <c r="F447" s="109" t="s">
        <v>355</v>
      </c>
      <c r="G447" s="114"/>
      <c r="H447" s="108" t="s">
        <v>402</v>
      </c>
      <c r="I447" s="111" t="s">
        <v>402</v>
      </c>
      <c r="J447" s="111" t="s">
        <v>402</v>
      </c>
      <c r="K447" s="106" t="s">
        <v>403</v>
      </c>
      <c r="L447" s="55" t="s">
        <v>404</v>
      </c>
      <c r="M447" s="55" t="s">
        <v>7634</v>
      </c>
    </row>
    <row r="448" spans="1:13">
      <c r="A448" s="408" t="s">
        <v>1706</v>
      </c>
      <c r="B448" s="106" t="s">
        <v>327</v>
      </c>
      <c r="C448" s="106" t="s">
        <v>473</v>
      </c>
      <c r="D448" s="107" t="s">
        <v>1707</v>
      </c>
      <c r="E448" s="109" t="s">
        <v>355</v>
      </c>
      <c r="F448" s="109" t="s">
        <v>355</v>
      </c>
      <c r="G448" s="114"/>
      <c r="H448" s="108" t="s">
        <v>402</v>
      </c>
      <c r="I448" s="111" t="s">
        <v>402</v>
      </c>
      <c r="J448" s="111" t="s">
        <v>402</v>
      </c>
      <c r="K448" s="106" t="s">
        <v>403</v>
      </c>
      <c r="L448" s="55" t="s">
        <v>404</v>
      </c>
      <c r="M448" s="55" t="s">
        <v>7634</v>
      </c>
    </row>
    <row r="449" spans="1:13">
      <c r="A449" s="408" t="s">
        <v>1708</v>
      </c>
      <c r="B449" s="106" t="s">
        <v>327</v>
      </c>
      <c r="C449" s="106" t="s">
        <v>473</v>
      </c>
      <c r="D449" s="107" t="s">
        <v>1709</v>
      </c>
      <c r="E449" s="109" t="s">
        <v>355</v>
      </c>
      <c r="F449" s="109" t="s">
        <v>355</v>
      </c>
      <c r="G449" s="114"/>
      <c r="H449" s="108" t="s">
        <v>402</v>
      </c>
      <c r="I449" s="111" t="s">
        <v>402</v>
      </c>
      <c r="J449" s="111" t="s">
        <v>402</v>
      </c>
      <c r="K449" s="106" t="s">
        <v>403</v>
      </c>
      <c r="L449" s="55" t="s">
        <v>404</v>
      </c>
      <c r="M449" s="55" t="s">
        <v>7634</v>
      </c>
    </row>
    <row r="450" spans="1:13">
      <c r="A450" s="408" t="s">
        <v>1710</v>
      </c>
      <c r="B450" s="106" t="s">
        <v>327</v>
      </c>
      <c r="C450" s="106" t="s">
        <v>473</v>
      </c>
      <c r="D450" s="107" t="s">
        <v>1711</v>
      </c>
      <c r="E450" s="109" t="s">
        <v>355</v>
      </c>
      <c r="F450" s="109" t="s">
        <v>355</v>
      </c>
      <c r="G450" s="114"/>
      <c r="H450" s="108" t="s">
        <v>402</v>
      </c>
      <c r="I450" s="111" t="s">
        <v>402</v>
      </c>
      <c r="J450" s="111" t="s">
        <v>402</v>
      </c>
      <c r="K450" s="106" t="s">
        <v>403</v>
      </c>
      <c r="L450" s="55" t="s">
        <v>404</v>
      </c>
      <c r="M450" s="55" t="s">
        <v>7634</v>
      </c>
    </row>
    <row r="451" spans="1:13">
      <c r="A451" s="408" t="s">
        <v>1712</v>
      </c>
      <c r="B451" s="106" t="s">
        <v>327</v>
      </c>
      <c r="C451" s="106" t="s">
        <v>473</v>
      </c>
      <c r="D451" s="107" t="s">
        <v>1713</v>
      </c>
      <c r="E451" s="109" t="s">
        <v>355</v>
      </c>
      <c r="F451" s="109" t="s">
        <v>355</v>
      </c>
      <c r="G451" s="114"/>
      <c r="H451" s="108" t="s">
        <v>402</v>
      </c>
      <c r="I451" s="111" t="s">
        <v>402</v>
      </c>
      <c r="J451" s="111" t="s">
        <v>402</v>
      </c>
      <c r="K451" s="106" t="s">
        <v>403</v>
      </c>
      <c r="L451" s="55" t="s">
        <v>404</v>
      </c>
      <c r="M451" s="55" t="s">
        <v>7634</v>
      </c>
    </row>
    <row r="452" spans="1:13">
      <c r="A452" s="408" t="s">
        <v>1714</v>
      </c>
      <c r="B452" s="106" t="s">
        <v>327</v>
      </c>
      <c r="C452" s="106" t="s">
        <v>473</v>
      </c>
      <c r="D452" s="107" t="s">
        <v>1715</v>
      </c>
      <c r="E452" s="109" t="s">
        <v>355</v>
      </c>
      <c r="F452" s="109" t="s">
        <v>355</v>
      </c>
      <c r="G452" s="114"/>
      <c r="H452" s="108" t="s">
        <v>402</v>
      </c>
      <c r="I452" s="111" t="s">
        <v>402</v>
      </c>
      <c r="J452" s="111" t="s">
        <v>402</v>
      </c>
      <c r="K452" s="106" t="s">
        <v>403</v>
      </c>
      <c r="L452" s="55" t="s">
        <v>404</v>
      </c>
      <c r="M452" s="55" t="s">
        <v>7634</v>
      </c>
    </row>
    <row r="453" spans="1:13">
      <c r="A453" s="408" t="s">
        <v>1716</v>
      </c>
      <c r="B453" s="106" t="s">
        <v>327</v>
      </c>
      <c r="C453" s="106" t="s">
        <v>473</v>
      </c>
      <c r="D453" s="107" t="s">
        <v>1717</v>
      </c>
      <c r="E453" s="109" t="s">
        <v>355</v>
      </c>
      <c r="F453" s="109" t="s">
        <v>355</v>
      </c>
      <c r="G453" s="114"/>
      <c r="H453" s="108" t="s">
        <v>402</v>
      </c>
      <c r="I453" s="111" t="s">
        <v>402</v>
      </c>
      <c r="J453" s="111" t="s">
        <v>402</v>
      </c>
      <c r="K453" s="106" t="s">
        <v>403</v>
      </c>
      <c r="L453" s="55" t="s">
        <v>404</v>
      </c>
      <c r="M453" s="55" t="s">
        <v>7634</v>
      </c>
    </row>
    <row r="454" spans="1:13">
      <c r="A454" s="408" t="s">
        <v>1718</v>
      </c>
      <c r="B454" s="106" t="s">
        <v>327</v>
      </c>
      <c r="C454" s="106" t="s">
        <v>473</v>
      </c>
      <c r="D454" s="107" t="s">
        <v>1719</v>
      </c>
      <c r="E454" s="109" t="s">
        <v>355</v>
      </c>
      <c r="F454" s="109" t="s">
        <v>355</v>
      </c>
      <c r="G454" s="114"/>
      <c r="H454" s="108" t="s">
        <v>402</v>
      </c>
      <c r="I454" s="111" t="s">
        <v>402</v>
      </c>
      <c r="J454" s="111" t="s">
        <v>402</v>
      </c>
      <c r="K454" s="106" t="s">
        <v>403</v>
      </c>
      <c r="L454" s="55" t="s">
        <v>404</v>
      </c>
      <c r="M454" s="55" t="s">
        <v>7634</v>
      </c>
    </row>
    <row r="455" spans="1:13">
      <c r="A455" s="408" t="s">
        <v>1720</v>
      </c>
      <c r="B455" s="106" t="s">
        <v>327</v>
      </c>
      <c r="C455" s="106" t="s">
        <v>473</v>
      </c>
      <c r="D455" s="107" t="s">
        <v>1721</v>
      </c>
      <c r="E455" s="109" t="s">
        <v>355</v>
      </c>
      <c r="F455" s="109" t="s">
        <v>355</v>
      </c>
      <c r="G455" s="114"/>
      <c r="H455" s="108" t="s">
        <v>402</v>
      </c>
      <c r="I455" s="111" t="s">
        <v>402</v>
      </c>
      <c r="J455" s="111" t="s">
        <v>402</v>
      </c>
      <c r="K455" s="106" t="s">
        <v>403</v>
      </c>
      <c r="L455" s="55" t="s">
        <v>404</v>
      </c>
      <c r="M455" s="55" t="s">
        <v>7634</v>
      </c>
    </row>
    <row r="456" spans="1:13">
      <c r="A456" s="408" t="s">
        <v>1722</v>
      </c>
      <c r="B456" s="106" t="s">
        <v>327</v>
      </c>
      <c r="C456" s="106" t="s">
        <v>473</v>
      </c>
      <c r="D456" s="107" t="s">
        <v>1723</v>
      </c>
      <c r="E456" s="109" t="s">
        <v>355</v>
      </c>
      <c r="F456" s="109" t="s">
        <v>355</v>
      </c>
      <c r="G456" s="114"/>
      <c r="H456" s="108" t="s">
        <v>402</v>
      </c>
      <c r="I456" s="111" t="s">
        <v>402</v>
      </c>
      <c r="J456" s="111" t="s">
        <v>402</v>
      </c>
      <c r="K456" s="106" t="s">
        <v>403</v>
      </c>
      <c r="L456" s="55" t="s">
        <v>404</v>
      </c>
      <c r="M456" s="55" t="s">
        <v>7634</v>
      </c>
    </row>
    <row r="457" spans="1:13">
      <c r="A457" s="408" t="s">
        <v>1724</v>
      </c>
      <c r="B457" s="106" t="s">
        <v>327</v>
      </c>
      <c r="C457" s="106" t="s">
        <v>473</v>
      </c>
      <c r="D457" s="107" t="s">
        <v>1725</v>
      </c>
      <c r="E457" s="109" t="s">
        <v>355</v>
      </c>
      <c r="F457" s="109" t="s">
        <v>355</v>
      </c>
      <c r="G457" s="114"/>
      <c r="H457" s="108" t="s">
        <v>402</v>
      </c>
      <c r="I457" s="111" t="s">
        <v>402</v>
      </c>
      <c r="J457" s="111" t="s">
        <v>402</v>
      </c>
      <c r="K457" s="106" t="s">
        <v>403</v>
      </c>
      <c r="L457" s="55" t="s">
        <v>404</v>
      </c>
      <c r="M457" s="55" t="s">
        <v>7634</v>
      </c>
    </row>
    <row r="458" spans="1:13">
      <c r="A458" s="401" t="s">
        <v>1726</v>
      </c>
      <c r="B458" s="106" t="s">
        <v>327</v>
      </c>
      <c r="C458" s="106" t="s">
        <v>473</v>
      </c>
      <c r="D458" s="109"/>
      <c r="E458" s="109" t="s">
        <v>355</v>
      </c>
      <c r="F458" s="109" t="s">
        <v>355</v>
      </c>
      <c r="G458" s="55"/>
      <c r="H458" s="115" t="s">
        <v>402</v>
      </c>
      <c r="I458" s="111" t="s">
        <v>402</v>
      </c>
      <c r="J458" s="111" t="s">
        <v>402</v>
      </c>
      <c r="K458" s="106"/>
      <c r="L458" s="55"/>
      <c r="M458" s="55" t="s">
        <v>7634</v>
      </c>
    </row>
    <row r="459" spans="1:13">
      <c r="A459" s="401" t="s">
        <v>1727</v>
      </c>
      <c r="B459" s="106" t="s">
        <v>984</v>
      </c>
      <c r="C459" s="106" t="s">
        <v>473</v>
      </c>
      <c r="D459" s="109" t="s">
        <v>1728</v>
      </c>
      <c r="E459" s="109" t="s">
        <v>1729</v>
      </c>
      <c r="F459" s="109" t="s">
        <v>1730</v>
      </c>
      <c r="G459" s="112" t="s">
        <v>1731</v>
      </c>
      <c r="H459" s="115" t="s">
        <v>402</v>
      </c>
      <c r="I459" s="111" t="s">
        <v>402</v>
      </c>
      <c r="J459" s="111" t="s">
        <v>402</v>
      </c>
      <c r="K459" s="115" t="s">
        <v>403</v>
      </c>
      <c r="L459" s="55" t="s">
        <v>404</v>
      </c>
      <c r="M459" s="55" t="s">
        <v>1732</v>
      </c>
    </row>
    <row r="460" spans="1:13">
      <c r="A460" s="408" t="s">
        <v>1733</v>
      </c>
      <c r="B460" s="106" t="s">
        <v>327</v>
      </c>
      <c r="C460" s="106" t="s">
        <v>473</v>
      </c>
      <c r="D460" s="107" t="s">
        <v>1734</v>
      </c>
      <c r="E460" s="109" t="s">
        <v>355</v>
      </c>
      <c r="F460" s="109" t="s">
        <v>355</v>
      </c>
      <c r="G460" s="114"/>
      <c r="H460" s="108" t="s">
        <v>402</v>
      </c>
      <c r="I460" s="111" t="s">
        <v>402</v>
      </c>
      <c r="J460" s="111" t="s">
        <v>402</v>
      </c>
      <c r="K460" s="106" t="s">
        <v>403</v>
      </c>
      <c r="L460" s="55" t="s">
        <v>404</v>
      </c>
      <c r="M460" s="55" t="s">
        <v>7634</v>
      </c>
    </row>
    <row r="461" spans="1:13">
      <c r="A461" s="401" t="s">
        <v>8609</v>
      </c>
      <c r="B461" s="106" t="s">
        <v>327</v>
      </c>
      <c r="C461" s="132" t="s">
        <v>327</v>
      </c>
      <c r="D461" s="133" t="s">
        <v>8610</v>
      </c>
      <c r="E461" s="133" t="s">
        <v>8611</v>
      </c>
      <c r="F461" s="133" t="s">
        <v>8612</v>
      </c>
      <c r="G461" s="601" t="s">
        <v>8613</v>
      </c>
      <c r="H461" s="108" t="s">
        <v>402</v>
      </c>
      <c r="I461" s="111" t="s">
        <v>402</v>
      </c>
      <c r="J461" s="111" t="s">
        <v>402</v>
      </c>
      <c r="K461" s="106" t="s">
        <v>403</v>
      </c>
      <c r="L461" s="55" t="s">
        <v>404</v>
      </c>
      <c r="M461" s="55" t="s">
        <v>383</v>
      </c>
    </row>
    <row r="462" spans="1:13">
      <c r="A462" s="408" t="s">
        <v>1735</v>
      </c>
      <c r="B462" s="106" t="s">
        <v>327</v>
      </c>
      <c r="C462" s="106" t="s">
        <v>473</v>
      </c>
      <c r="D462" s="107" t="s">
        <v>1736</v>
      </c>
      <c r="E462" s="109" t="s">
        <v>355</v>
      </c>
      <c r="F462" s="109" t="s">
        <v>355</v>
      </c>
      <c r="G462" s="114"/>
      <c r="H462" s="108" t="s">
        <v>402</v>
      </c>
      <c r="I462" s="111" t="s">
        <v>402</v>
      </c>
      <c r="J462" s="111" t="s">
        <v>402</v>
      </c>
      <c r="K462" s="106" t="s">
        <v>403</v>
      </c>
      <c r="L462" s="55" t="s">
        <v>404</v>
      </c>
      <c r="M462" s="55" t="s">
        <v>7634</v>
      </c>
    </row>
    <row r="463" spans="1:13">
      <c r="A463" s="408" t="s">
        <v>1737</v>
      </c>
      <c r="B463" s="106" t="s">
        <v>327</v>
      </c>
      <c r="C463" s="106" t="s">
        <v>473</v>
      </c>
      <c r="D463" s="107" t="s">
        <v>1738</v>
      </c>
      <c r="E463" s="109" t="s">
        <v>355</v>
      </c>
      <c r="F463" s="109" t="s">
        <v>355</v>
      </c>
      <c r="G463" s="114"/>
      <c r="H463" s="108" t="s">
        <v>402</v>
      </c>
      <c r="I463" s="111" t="s">
        <v>402</v>
      </c>
      <c r="J463" s="111" t="s">
        <v>402</v>
      </c>
      <c r="K463" s="106" t="s">
        <v>403</v>
      </c>
      <c r="L463" s="55" t="s">
        <v>404</v>
      </c>
      <c r="M463" s="55" t="s">
        <v>7634</v>
      </c>
    </row>
    <row r="464" spans="1:13">
      <c r="A464" s="408" t="s">
        <v>1739</v>
      </c>
      <c r="B464" s="106" t="s">
        <v>327</v>
      </c>
      <c r="C464" s="106" t="s">
        <v>473</v>
      </c>
      <c r="D464" s="107" t="s">
        <v>1740</v>
      </c>
      <c r="E464" s="109" t="s">
        <v>355</v>
      </c>
      <c r="F464" s="109" t="s">
        <v>355</v>
      </c>
      <c r="G464" s="114"/>
      <c r="H464" s="108" t="s">
        <v>402</v>
      </c>
      <c r="I464" s="111" t="s">
        <v>402</v>
      </c>
      <c r="J464" s="111" t="s">
        <v>402</v>
      </c>
      <c r="K464" s="106" t="s">
        <v>403</v>
      </c>
      <c r="L464" s="55" t="s">
        <v>404</v>
      </c>
      <c r="M464" s="55" t="s">
        <v>7634</v>
      </c>
    </row>
    <row r="465" spans="1:13">
      <c r="A465" s="401" t="s">
        <v>1741</v>
      </c>
      <c r="B465" s="106" t="s">
        <v>327</v>
      </c>
      <c r="C465" s="106" t="s">
        <v>473</v>
      </c>
      <c r="D465" s="109"/>
      <c r="E465" s="109" t="s">
        <v>1742</v>
      </c>
      <c r="F465" s="109" t="s">
        <v>1743</v>
      </c>
      <c r="G465" s="112" t="s">
        <v>1744</v>
      </c>
      <c r="H465" s="115" t="s">
        <v>402</v>
      </c>
      <c r="I465" s="111" t="s">
        <v>402</v>
      </c>
      <c r="J465" s="111" t="s">
        <v>402</v>
      </c>
      <c r="K465" s="108"/>
      <c r="L465" s="55"/>
      <c r="M465" s="55" t="s">
        <v>7634</v>
      </c>
    </row>
    <row r="466" spans="1:13">
      <c r="A466" s="408" t="s">
        <v>1745</v>
      </c>
      <c r="B466" s="106" t="s">
        <v>327</v>
      </c>
      <c r="C466" s="106" t="s">
        <v>473</v>
      </c>
      <c r="D466" s="107" t="s">
        <v>1746</v>
      </c>
      <c r="E466" s="109" t="s">
        <v>355</v>
      </c>
      <c r="F466" s="109" t="s">
        <v>355</v>
      </c>
      <c r="G466" s="114"/>
      <c r="H466" s="108" t="s">
        <v>402</v>
      </c>
      <c r="I466" s="111" t="s">
        <v>402</v>
      </c>
      <c r="J466" s="111" t="s">
        <v>402</v>
      </c>
      <c r="K466" s="106" t="s">
        <v>403</v>
      </c>
      <c r="L466" s="55" t="s">
        <v>404</v>
      </c>
      <c r="M466" s="55" t="s">
        <v>7634</v>
      </c>
    </row>
    <row r="467" spans="1:13">
      <c r="A467" s="401" t="s">
        <v>1747</v>
      </c>
      <c r="B467" s="106" t="s">
        <v>1059</v>
      </c>
      <c r="C467" s="106" t="s">
        <v>473</v>
      </c>
      <c r="D467" s="109"/>
      <c r="E467" s="109" t="s">
        <v>1748</v>
      </c>
      <c r="F467" s="110" t="s">
        <v>383</v>
      </c>
      <c r="G467" s="117" t="s">
        <v>383</v>
      </c>
      <c r="H467" s="115" t="s">
        <v>402</v>
      </c>
      <c r="I467" s="111" t="s">
        <v>402</v>
      </c>
      <c r="J467" s="111" t="s">
        <v>402</v>
      </c>
      <c r="K467" s="106" t="s">
        <v>403</v>
      </c>
      <c r="L467" s="55" t="s">
        <v>404</v>
      </c>
      <c r="M467" s="113" t="s">
        <v>1173</v>
      </c>
    </row>
    <row r="468" spans="1:13">
      <c r="A468" s="408" t="s">
        <v>1749</v>
      </c>
      <c r="B468" s="106" t="s">
        <v>327</v>
      </c>
      <c r="C468" s="106" t="s">
        <v>473</v>
      </c>
      <c r="D468" s="107" t="s">
        <v>1750</v>
      </c>
      <c r="E468" s="109" t="s">
        <v>355</v>
      </c>
      <c r="F468" s="109" t="s">
        <v>355</v>
      </c>
      <c r="G468" s="114"/>
      <c r="H468" s="108" t="s">
        <v>402</v>
      </c>
      <c r="I468" s="111" t="s">
        <v>402</v>
      </c>
      <c r="J468" s="111" t="s">
        <v>402</v>
      </c>
      <c r="K468" s="106" t="s">
        <v>403</v>
      </c>
      <c r="L468" s="55" t="s">
        <v>404</v>
      </c>
      <c r="M468" s="55" t="s">
        <v>7634</v>
      </c>
    </row>
    <row r="469" spans="1:13">
      <c r="A469" s="408" t="s">
        <v>1751</v>
      </c>
      <c r="B469" s="106" t="s">
        <v>327</v>
      </c>
      <c r="C469" s="106" t="s">
        <v>473</v>
      </c>
      <c r="D469" s="107" t="s">
        <v>1752</v>
      </c>
      <c r="E469" s="109" t="s">
        <v>355</v>
      </c>
      <c r="F469" s="109" t="s">
        <v>355</v>
      </c>
      <c r="G469" s="114"/>
      <c r="H469" s="108" t="s">
        <v>402</v>
      </c>
      <c r="I469" s="111" t="s">
        <v>402</v>
      </c>
      <c r="J469" s="111" t="s">
        <v>402</v>
      </c>
      <c r="K469" s="106" t="s">
        <v>403</v>
      </c>
      <c r="L469" s="55" t="s">
        <v>404</v>
      </c>
      <c r="M469" s="55" t="s">
        <v>7634</v>
      </c>
    </row>
    <row r="470" spans="1:13">
      <c r="A470" s="408" t="s">
        <v>1753</v>
      </c>
      <c r="B470" s="106" t="s">
        <v>327</v>
      </c>
      <c r="C470" s="106" t="s">
        <v>473</v>
      </c>
      <c r="D470" s="107" t="s">
        <v>1754</v>
      </c>
      <c r="E470" s="109" t="s">
        <v>355</v>
      </c>
      <c r="F470" s="109" t="s">
        <v>355</v>
      </c>
      <c r="G470" s="114"/>
      <c r="H470" s="108" t="s">
        <v>402</v>
      </c>
      <c r="I470" s="111" t="s">
        <v>402</v>
      </c>
      <c r="J470" s="111" t="s">
        <v>402</v>
      </c>
      <c r="K470" s="106" t="s">
        <v>403</v>
      </c>
      <c r="L470" s="55" t="s">
        <v>404</v>
      </c>
      <c r="M470" s="55" t="s">
        <v>7634</v>
      </c>
    </row>
    <row r="471" spans="1:13">
      <c r="A471" s="401" t="s">
        <v>1755</v>
      </c>
      <c r="B471" s="106" t="s">
        <v>327</v>
      </c>
      <c r="C471" s="106" t="s">
        <v>473</v>
      </c>
      <c r="D471" s="107" t="s">
        <v>1756</v>
      </c>
      <c r="E471" s="107" t="s">
        <v>1757</v>
      </c>
      <c r="F471" s="107" t="s">
        <v>1758</v>
      </c>
      <c r="G471" s="108" t="s">
        <v>1759</v>
      </c>
      <c r="H471" s="54" t="s">
        <v>359</v>
      </c>
      <c r="I471" s="583" t="s">
        <v>359</v>
      </c>
      <c r="J471" s="582" t="s">
        <v>359</v>
      </c>
      <c r="K471" s="584" t="s">
        <v>360</v>
      </c>
      <c r="L471" s="54" t="s">
        <v>361</v>
      </c>
      <c r="M471" s="55" t="s">
        <v>7634</v>
      </c>
    </row>
    <row r="472" spans="1:13">
      <c r="A472" s="401" t="s">
        <v>1760</v>
      </c>
      <c r="B472" s="106" t="s">
        <v>327</v>
      </c>
      <c r="C472" s="106" t="s">
        <v>473</v>
      </c>
      <c r="D472" s="109" t="s">
        <v>383</v>
      </c>
      <c r="E472" s="109" t="s">
        <v>1761</v>
      </c>
      <c r="F472" s="109" t="s">
        <v>383</v>
      </c>
      <c r="G472" s="114" t="s">
        <v>383</v>
      </c>
      <c r="H472" s="115" t="s">
        <v>402</v>
      </c>
      <c r="I472" s="111" t="s">
        <v>402</v>
      </c>
      <c r="J472" s="111" t="s">
        <v>402</v>
      </c>
      <c r="K472" s="106" t="s">
        <v>403</v>
      </c>
      <c r="L472" s="55" t="s">
        <v>404</v>
      </c>
      <c r="M472" s="55" t="s">
        <v>383</v>
      </c>
    </row>
    <row r="473" spans="1:13">
      <c r="A473" s="408" t="s">
        <v>1762</v>
      </c>
      <c r="B473" s="106" t="s">
        <v>327</v>
      </c>
      <c r="C473" s="106" t="s">
        <v>473</v>
      </c>
      <c r="D473" s="107" t="s">
        <v>1763</v>
      </c>
      <c r="E473" s="109" t="s">
        <v>355</v>
      </c>
      <c r="F473" s="109" t="s">
        <v>355</v>
      </c>
      <c r="G473" s="114"/>
      <c r="H473" s="108" t="s">
        <v>402</v>
      </c>
      <c r="I473" s="111" t="s">
        <v>402</v>
      </c>
      <c r="J473" s="111" t="s">
        <v>402</v>
      </c>
      <c r="K473" s="106" t="s">
        <v>403</v>
      </c>
      <c r="L473" s="55" t="s">
        <v>404</v>
      </c>
      <c r="M473" s="55" t="s">
        <v>7634</v>
      </c>
    </row>
    <row r="474" spans="1:13">
      <c r="A474" s="408" t="s">
        <v>1764</v>
      </c>
      <c r="B474" s="106" t="s">
        <v>327</v>
      </c>
      <c r="C474" s="106" t="s">
        <v>473</v>
      </c>
      <c r="D474" s="107" t="s">
        <v>1763</v>
      </c>
      <c r="E474" s="109" t="s">
        <v>355</v>
      </c>
      <c r="F474" s="109" t="s">
        <v>355</v>
      </c>
      <c r="G474" s="114"/>
      <c r="H474" s="108" t="s">
        <v>402</v>
      </c>
      <c r="I474" s="111" t="s">
        <v>402</v>
      </c>
      <c r="J474" s="111" t="s">
        <v>402</v>
      </c>
      <c r="K474" s="106" t="s">
        <v>403</v>
      </c>
      <c r="L474" s="55" t="s">
        <v>404</v>
      </c>
      <c r="M474" s="55" t="s">
        <v>7634</v>
      </c>
    </row>
    <row r="475" spans="1:13">
      <c r="A475" s="408" t="s">
        <v>1765</v>
      </c>
      <c r="B475" s="106" t="s">
        <v>327</v>
      </c>
      <c r="C475" s="106" t="s">
        <v>473</v>
      </c>
      <c r="D475" s="107" t="s">
        <v>1763</v>
      </c>
      <c r="E475" s="109" t="s">
        <v>355</v>
      </c>
      <c r="F475" s="109" t="s">
        <v>355</v>
      </c>
      <c r="G475" s="114"/>
      <c r="H475" s="108" t="s">
        <v>402</v>
      </c>
      <c r="I475" s="111" t="s">
        <v>402</v>
      </c>
      <c r="J475" s="111" t="s">
        <v>402</v>
      </c>
      <c r="K475" s="106" t="s">
        <v>403</v>
      </c>
      <c r="L475" s="55" t="s">
        <v>404</v>
      </c>
      <c r="M475" s="55" t="s">
        <v>7634</v>
      </c>
    </row>
    <row r="476" spans="1:13">
      <c r="A476" s="408" t="s">
        <v>1766</v>
      </c>
      <c r="B476" s="106" t="s">
        <v>327</v>
      </c>
      <c r="C476" s="106" t="s">
        <v>473</v>
      </c>
      <c r="D476" s="107" t="s">
        <v>1767</v>
      </c>
      <c r="E476" s="109" t="s">
        <v>355</v>
      </c>
      <c r="F476" s="109" t="s">
        <v>355</v>
      </c>
      <c r="G476" s="114"/>
      <c r="H476" s="108" t="s">
        <v>402</v>
      </c>
      <c r="I476" s="111" t="s">
        <v>402</v>
      </c>
      <c r="J476" s="111" t="s">
        <v>402</v>
      </c>
      <c r="K476" s="106" t="s">
        <v>403</v>
      </c>
      <c r="L476" s="55" t="s">
        <v>404</v>
      </c>
      <c r="M476" s="55" t="s">
        <v>7634</v>
      </c>
    </row>
    <row r="477" spans="1:13">
      <c r="A477" s="408" t="s">
        <v>1768</v>
      </c>
      <c r="B477" s="106" t="s">
        <v>327</v>
      </c>
      <c r="C477" s="106" t="s">
        <v>473</v>
      </c>
      <c r="D477" s="107" t="s">
        <v>1769</v>
      </c>
      <c r="E477" s="109" t="s">
        <v>355</v>
      </c>
      <c r="F477" s="109" t="s">
        <v>355</v>
      </c>
      <c r="G477" s="114"/>
      <c r="H477" s="108" t="s">
        <v>402</v>
      </c>
      <c r="I477" s="111" t="s">
        <v>402</v>
      </c>
      <c r="J477" s="111" t="s">
        <v>402</v>
      </c>
      <c r="K477" s="106" t="s">
        <v>403</v>
      </c>
      <c r="L477" s="55" t="s">
        <v>404</v>
      </c>
      <c r="M477" s="55" t="s">
        <v>7634</v>
      </c>
    </row>
    <row r="478" spans="1:13">
      <c r="A478" s="408" t="s">
        <v>1770</v>
      </c>
      <c r="B478" s="106" t="s">
        <v>327</v>
      </c>
      <c r="C478" s="106" t="s">
        <v>473</v>
      </c>
      <c r="D478" s="107" t="s">
        <v>1771</v>
      </c>
      <c r="E478" s="109" t="s">
        <v>355</v>
      </c>
      <c r="F478" s="109" t="s">
        <v>355</v>
      </c>
      <c r="G478" s="114"/>
      <c r="H478" s="108" t="s">
        <v>402</v>
      </c>
      <c r="I478" s="111" t="s">
        <v>402</v>
      </c>
      <c r="J478" s="111" t="s">
        <v>402</v>
      </c>
      <c r="K478" s="106" t="s">
        <v>403</v>
      </c>
      <c r="L478" s="55" t="s">
        <v>404</v>
      </c>
      <c r="M478" s="55" t="s">
        <v>7634</v>
      </c>
    </row>
    <row r="479" spans="1:13">
      <c r="A479" s="408" t="s">
        <v>1772</v>
      </c>
      <c r="B479" s="106" t="s">
        <v>327</v>
      </c>
      <c r="C479" s="106" t="s">
        <v>473</v>
      </c>
      <c r="D479" s="107" t="s">
        <v>1773</v>
      </c>
      <c r="E479" s="109" t="s">
        <v>355</v>
      </c>
      <c r="F479" s="109" t="s">
        <v>355</v>
      </c>
      <c r="G479" s="114"/>
      <c r="H479" s="108" t="s">
        <v>402</v>
      </c>
      <c r="I479" s="111" t="s">
        <v>402</v>
      </c>
      <c r="J479" s="111" t="s">
        <v>402</v>
      </c>
      <c r="K479" s="106" t="s">
        <v>403</v>
      </c>
      <c r="L479" s="55" t="s">
        <v>404</v>
      </c>
      <c r="M479" s="55" t="s">
        <v>7634</v>
      </c>
    </row>
    <row r="480" spans="1:13">
      <c r="A480" s="408" t="s">
        <v>1774</v>
      </c>
      <c r="B480" s="106" t="s">
        <v>327</v>
      </c>
      <c r="C480" s="106" t="s">
        <v>473</v>
      </c>
      <c r="D480" s="107" t="s">
        <v>1775</v>
      </c>
      <c r="E480" s="109" t="s">
        <v>355</v>
      </c>
      <c r="F480" s="109" t="s">
        <v>355</v>
      </c>
      <c r="G480" s="114"/>
      <c r="H480" s="108" t="s">
        <v>402</v>
      </c>
      <c r="I480" s="111" t="s">
        <v>402</v>
      </c>
      <c r="J480" s="111" t="s">
        <v>402</v>
      </c>
      <c r="K480" s="106" t="s">
        <v>403</v>
      </c>
      <c r="L480" s="55" t="s">
        <v>404</v>
      </c>
      <c r="M480" s="55" t="s">
        <v>7634</v>
      </c>
    </row>
    <row r="481" spans="1:13">
      <c r="A481" s="408" t="s">
        <v>1776</v>
      </c>
      <c r="B481" s="106" t="s">
        <v>327</v>
      </c>
      <c r="C481" s="106" t="s">
        <v>473</v>
      </c>
      <c r="D481" s="107" t="s">
        <v>1777</v>
      </c>
      <c r="E481" s="109" t="s">
        <v>355</v>
      </c>
      <c r="F481" s="109" t="s">
        <v>355</v>
      </c>
      <c r="G481" s="114"/>
      <c r="H481" s="108" t="s">
        <v>402</v>
      </c>
      <c r="I481" s="111" t="s">
        <v>402</v>
      </c>
      <c r="J481" s="111" t="s">
        <v>402</v>
      </c>
      <c r="K481" s="106" t="s">
        <v>403</v>
      </c>
      <c r="L481" s="55" t="s">
        <v>404</v>
      </c>
      <c r="M481" s="55" t="s">
        <v>7634</v>
      </c>
    </row>
    <row r="482" spans="1:13">
      <c r="A482" s="408" t="s">
        <v>1778</v>
      </c>
      <c r="B482" s="106" t="s">
        <v>327</v>
      </c>
      <c r="C482" s="106" t="s">
        <v>473</v>
      </c>
      <c r="D482" s="107" t="s">
        <v>1779</v>
      </c>
      <c r="E482" s="109" t="s">
        <v>355</v>
      </c>
      <c r="F482" s="109" t="s">
        <v>355</v>
      </c>
      <c r="G482" s="114"/>
      <c r="H482" s="108" t="s">
        <v>402</v>
      </c>
      <c r="I482" s="111" t="s">
        <v>402</v>
      </c>
      <c r="J482" s="111" t="s">
        <v>402</v>
      </c>
      <c r="K482" s="106" t="s">
        <v>403</v>
      </c>
      <c r="L482" s="55" t="s">
        <v>404</v>
      </c>
      <c r="M482" s="55" t="s">
        <v>7634</v>
      </c>
    </row>
    <row r="483" spans="1:13">
      <c r="A483" s="408" t="s">
        <v>1780</v>
      </c>
      <c r="B483" s="106" t="s">
        <v>327</v>
      </c>
      <c r="C483" s="106" t="s">
        <v>473</v>
      </c>
      <c r="D483" s="107" t="s">
        <v>1781</v>
      </c>
      <c r="E483" s="109" t="s">
        <v>355</v>
      </c>
      <c r="F483" s="109" t="s">
        <v>355</v>
      </c>
      <c r="G483" s="114"/>
      <c r="H483" s="108" t="s">
        <v>402</v>
      </c>
      <c r="I483" s="111" t="s">
        <v>402</v>
      </c>
      <c r="J483" s="111" t="s">
        <v>402</v>
      </c>
      <c r="K483" s="106" t="s">
        <v>403</v>
      </c>
      <c r="L483" s="55" t="s">
        <v>404</v>
      </c>
      <c r="M483" s="55" t="s">
        <v>7634</v>
      </c>
    </row>
    <row r="484" spans="1:13">
      <c r="A484" s="408" t="s">
        <v>1782</v>
      </c>
      <c r="B484" s="106" t="s">
        <v>327</v>
      </c>
      <c r="C484" s="106" t="s">
        <v>473</v>
      </c>
      <c r="D484" s="107" t="s">
        <v>1781</v>
      </c>
      <c r="E484" s="109" t="s">
        <v>355</v>
      </c>
      <c r="F484" s="109" t="s">
        <v>355</v>
      </c>
      <c r="G484" s="114"/>
      <c r="H484" s="108" t="s">
        <v>402</v>
      </c>
      <c r="I484" s="111" t="s">
        <v>402</v>
      </c>
      <c r="J484" s="111" t="s">
        <v>402</v>
      </c>
      <c r="K484" s="106" t="s">
        <v>403</v>
      </c>
      <c r="L484" s="55" t="s">
        <v>404</v>
      </c>
      <c r="M484" s="55" t="s">
        <v>7634</v>
      </c>
    </row>
    <row r="485" spans="1:13">
      <c r="A485" s="408" t="s">
        <v>1783</v>
      </c>
      <c r="B485" s="106" t="s">
        <v>327</v>
      </c>
      <c r="C485" s="106" t="s">
        <v>473</v>
      </c>
      <c r="D485" s="107" t="s">
        <v>1784</v>
      </c>
      <c r="E485" s="109" t="s">
        <v>355</v>
      </c>
      <c r="F485" s="109" t="s">
        <v>355</v>
      </c>
      <c r="G485" s="114"/>
      <c r="H485" s="108" t="s">
        <v>402</v>
      </c>
      <c r="I485" s="111" t="s">
        <v>402</v>
      </c>
      <c r="J485" s="111" t="s">
        <v>402</v>
      </c>
      <c r="K485" s="106" t="s">
        <v>403</v>
      </c>
      <c r="L485" s="55" t="s">
        <v>404</v>
      </c>
      <c r="M485" s="55" t="s">
        <v>7634</v>
      </c>
    </row>
    <row r="486" spans="1:13">
      <c r="A486" s="408" t="s">
        <v>1785</v>
      </c>
      <c r="B486" s="106" t="s">
        <v>327</v>
      </c>
      <c r="C486" s="106" t="s">
        <v>473</v>
      </c>
      <c r="D486" s="107" t="s">
        <v>1784</v>
      </c>
      <c r="E486" s="109" t="s">
        <v>355</v>
      </c>
      <c r="F486" s="109" t="s">
        <v>355</v>
      </c>
      <c r="G486" s="114"/>
      <c r="H486" s="108" t="s">
        <v>402</v>
      </c>
      <c r="I486" s="111" t="s">
        <v>402</v>
      </c>
      <c r="J486" s="111" t="s">
        <v>402</v>
      </c>
      <c r="K486" s="106" t="s">
        <v>403</v>
      </c>
      <c r="L486" s="55" t="s">
        <v>404</v>
      </c>
      <c r="M486" s="55" t="s">
        <v>7634</v>
      </c>
    </row>
    <row r="487" spans="1:13">
      <c r="A487" s="408" t="s">
        <v>1786</v>
      </c>
      <c r="B487" s="106" t="s">
        <v>327</v>
      </c>
      <c r="C487" s="106" t="s">
        <v>473</v>
      </c>
      <c r="D487" s="107" t="s">
        <v>1787</v>
      </c>
      <c r="E487" s="109" t="s">
        <v>355</v>
      </c>
      <c r="F487" s="109" t="s">
        <v>355</v>
      </c>
      <c r="G487" s="114"/>
      <c r="H487" s="108" t="s">
        <v>402</v>
      </c>
      <c r="I487" s="111" t="s">
        <v>402</v>
      </c>
      <c r="J487" s="111" t="s">
        <v>402</v>
      </c>
      <c r="K487" s="106" t="s">
        <v>403</v>
      </c>
      <c r="L487" s="55" t="s">
        <v>404</v>
      </c>
      <c r="M487" s="55" t="s">
        <v>7634</v>
      </c>
    </row>
    <row r="488" spans="1:13">
      <c r="A488" s="408" t="s">
        <v>1788</v>
      </c>
      <c r="B488" s="106" t="s">
        <v>327</v>
      </c>
      <c r="C488" s="106" t="s">
        <v>473</v>
      </c>
      <c r="D488" s="107" t="s">
        <v>1789</v>
      </c>
      <c r="E488" s="109" t="s">
        <v>355</v>
      </c>
      <c r="F488" s="109" t="s">
        <v>355</v>
      </c>
      <c r="G488" s="114"/>
      <c r="H488" s="108" t="s">
        <v>402</v>
      </c>
      <c r="I488" s="111" t="s">
        <v>402</v>
      </c>
      <c r="J488" s="111" t="s">
        <v>402</v>
      </c>
      <c r="K488" s="106" t="s">
        <v>403</v>
      </c>
      <c r="L488" s="55" t="s">
        <v>404</v>
      </c>
      <c r="M488" s="55" t="s">
        <v>7634</v>
      </c>
    </row>
    <row r="489" spans="1:13">
      <c r="A489" s="408" t="s">
        <v>1790</v>
      </c>
      <c r="B489" s="106" t="s">
        <v>327</v>
      </c>
      <c r="C489" s="106" t="s">
        <v>473</v>
      </c>
      <c r="D489" s="107" t="s">
        <v>1791</v>
      </c>
      <c r="E489" s="109" t="s">
        <v>355</v>
      </c>
      <c r="F489" s="109" t="s">
        <v>355</v>
      </c>
      <c r="G489" s="114"/>
      <c r="H489" s="108" t="s">
        <v>402</v>
      </c>
      <c r="I489" s="111" t="s">
        <v>402</v>
      </c>
      <c r="J489" s="111" t="s">
        <v>402</v>
      </c>
      <c r="K489" s="106" t="s">
        <v>403</v>
      </c>
      <c r="L489" s="55" t="s">
        <v>404</v>
      </c>
      <c r="M489" s="55" t="s">
        <v>7634</v>
      </c>
    </row>
    <row r="490" spans="1:13">
      <c r="A490" s="408" t="s">
        <v>1792</v>
      </c>
      <c r="B490" s="106" t="s">
        <v>327</v>
      </c>
      <c r="C490" s="106" t="s">
        <v>473</v>
      </c>
      <c r="D490" s="107" t="s">
        <v>1793</v>
      </c>
      <c r="E490" s="109" t="s">
        <v>355</v>
      </c>
      <c r="F490" s="109" t="s">
        <v>355</v>
      </c>
      <c r="G490" s="114"/>
      <c r="H490" s="108" t="s">
        <v>402</v>
      </c>
      <c r="I490" s="111" t="s">
        <v>402</v>
      </c>
      <c r="J490" s="111" t="s">
        <v>402</v>
      </c>
      <c r="K490" s="106" t="s">
        <v>403</v>
      </c>
      <c r="L490" s="55" t="s">
        <v>404</v>
      </c>
      <c r="M490" s="55" t="s">
        <v>7634</v>
      </c>
    </row>
    <row r="491" spans="1:13">
      <c r="A491" s="408" t="s">
        <v>1794</v>
      </c>
      <c r="B491" s="106" t="s">
        <v>327</v>
      </c>
      <c r="C491" s="106" t="s">
        <v>473</v>
      </c>
      <c r="D491" s="107" t="s">
        <v>1795</v>
      </c>
      <c r="E491" s="109" t="s">
        <v>355</v>
      </c>
      <c r="F491" s="109" t="s">
        <v>355</v>
      </c>
      <c r="G491" s="114"/>
      <c r="H491" s="108" t="s">
        <v>402</v>
      </c>
      <c r="I491" s="111" t="s">
        <v>402</v>
      </c>
      <c r="J491" s="111" t="s">
        <v>402</v>
      </c>
      <c r="K491" s="106" t="s">
        <v>403</v>
      </c>
      <c r="L491" s="55" t="s">
        <v>404</v>
      </c>
      <c r="M491" s="55" t="s">
        <v>7634</v>
      </c>
    </row>
    <row r="492" spans="1:13">
      <c r="A492" s="408" t="s">
        <v>1796</v>
      </c>
      <c r="B492" s="106" t="s">
        <v>327</v>
      </c>
      <c r="C492" s="106" t="s">
        <v>473</v>
      </c>
      <c r="D492" s="107" t="s">
        <v>1797</v>
      </c>
      <c r="E492" s="109" t="s">
        <v>355</v>
      </c>
      <c r="F492" s="109" t="s">
        <v>355</v>
      </c>
      <c r="G492" s="114"/>
      <c r="H492" s="108" t="s">
        <v>402</v>
      </c>
      <c r="I492" s="111" t="s">
        <v>402</v>
      </c>
      <c r="J492" s="111" t="s">
        <v>402</v>
      </c>
      <c r="K492" s="106" t="s">
        <v>403</v>
      </c>
      <c r="L492" s="55" t="s">
        <v>404</v>
      </c>
      <c r="M492" s="55" t="s">
        <v>7634</v>
      </c>
    </row>
    <row r="493" spans="1:13">
      <c r="A493" s="408" t="s">
        <v>1798</v>
      </c>
      <c r="B493" s="106" t="s">
        <v>327</v>
      </c>
      <c r="C493" s="106" t="s">
        <v>473</v>
      </c>
      <c r="D493" s="107" t="s">
        <v>1799</v>
      </c>
      <c r="E493" s="109" t="s">
        <v>355</v>
      </c>
      <c r="F493" s="109" t="s">
        <v>355</v>
      </c>
      <c r="G493" s="114"/>
      <c r="H493" s="108" t="s">
        <v>402</v>
      </c>
      <c r="I493" s="111" t="s">
        <v>402</v>
      </c>
      <c r="J493" s="111" t="s">
        <v>402</v>
      </c>
      <c r="K493" s="106" t="s">
        <v>403</v>
      </c>
      <c r="L493" s="55" t="s">
        <v>404</v>
      </c>
      <c r="M493" s="55" t="s">
        <v>7634</v>
      </c>
    </row>
    <row r="494" spans="1:13">
      <c r="A494" s="578" t="s">
        <v>1800</v>
      </c>
      <c r="B494" s="586" t="s">
        <v>473</v>
      </c>
      <c r="C494" s="586" t="s">
        <v>473</v>
      </c>
      <c r="D494" s="586" t="s">
        <v>1801</v>
      </c>
      <c r="E494" s="586" t="s">
        <v>1802</v>
      </c>
      <c r="F494" s="586" t="s">
        <v>1803</v>
      </c>
      <c r="G494" s="586" t="s">
        <v>377</v>
      </c>
      <c r="H494" s="586" t="s">
        <v>359</v>
      </c>
      <c r="I494" s="587" t="s">
        <v>359</v>
      </c>
      <c r="J494" s="586"/>
      <c r="K494" s="586" t="s">
        <v>360</v>
      </c>
      <c r="L494" s="586" t="s">
        <v>361</v>
      </c>
      <c r="M494" s="55" t="s">
        <v>7634</v>
      </c>
    </row>
    <row r="495" spans="1:13">
      <c r="A495" s="408" t="s">
        <v>1804</v>
      </c>
      <c r="B495" s="106" t="s">
        <v>327</v>
      </c>
      <c r="C495" s="106" t="s">
        <v>473</v>
      </c>
      <c r="D495" s="107" t="s">
        <v>1805</v>
      </c>
      <c r="E495" s="109" t="s">
        <v>355</v>
      </c>
      <c r="F495" s="109" t="s">
        <v>355</v>
      </c>
      <c r="G495" s="114"/>
      <c r="H495" s="108" t="s">
        <v>402</v>
      </c>
      <c r="I495" s="111" t="s">
        <v>402</v>
      </c>
      <c r="J495" s="111" t="s">
        <v>402</v>
      </c>
      <c r="K495" s="106" t="s">
        <v>403</v>
      </c>
      <c r="L495" s="55" t="s">
        <v>404</v>
      </c>
      <c r="M495" s="55" t="s">
        <v>7634</v>
      </c>
    </row>
    <row r="496" spans="1:13">
      <c r="A496" s="408" t="s">
        <v>1806</v>
      </c>
      <c r="B496" s="106" t="s">
        <v>327</v>
      </c>
      <c r="C496" s="106" t="s">
        <v>473</v>
      </c>
      <c r="D496" s="107" t="s">
        <v>1807</v>
      </c>
      <c r="E496" s="109" t="s">
        <v>355</v>
      </c>
      <c r="F496" s="109" t="s">
        <v>355</v>
      </c>
      <c r="G496" s="114"/>
      <c r="H496" s="108" t="s">
        <v>402</v>
      </c>
      <c r="I496" s="111" t="s">
        <v>402</v>
      </c>
      <c r="J496" s="111" t="s">
        <v>402</v>
      </c>
      <c r="K496" s="106" t="s">
        <v>403</v>
      </c>
      <c r="L496" s="55" t="s">
        <v>404</v>
      </c>
      <c r="M496" s="55" t="s">
        <v>7634</v>
      </c>
    </row>
    <row r="497" spans="1:13">
      <c r="A497" s="408" t="s">
        <v>1808</v>
      </c>
      <c r="B497" s="106" t="s">
        <v>327</v>
      </c>
      <c r="C497" s="106" t="s">
        <v>473</v>
      </c>
      <c r="D497" s="107" t="s">
        <v>1809</v>
      </c>
      <c r="E497" s="109" t="s">
        <v>355</v>
      </c>
      <c r="F497" s="109" t="s">
        <v>355</v>
      </c>
      <c r="G497" s="114"/>
      <c r="H497" s="108" t="s">
        <v>402</v>
      </c>
      <c r="I497" s="111" t="s">
        <v>402</v>
      </c>
      <c r="J497" s="111" t="s">
        <v>402</v>
      </c>
      <c r="K497" s="106" t="s">
        <v>403</v>
      </c>
      <c r="L497" s="55" t="s">
        <v>404</v>
      </c>
      <c r="M497" s="55" t="s">
        <v>7634</v>
      </c>
    </row>
    <row r="498" spans="1:13">
      <c r="A498" s="408" t="s">
        <v>1810</v>
      </c>
      <c r="B498" s="106" t="s">
        <v>327</v>
      </c>
      <c r="C498" s="106" t="s">
        <v>473</v>
      </c>
      <c r="D498" s="107" t="s">
        <v>1811</v>
      </c>
      <c r="E498" s="109" t="s">
        <v>355</v>
      </c>
      <c r="F498" s="109" t="s">
        <v>355</v>
      </c>
      <c r="G498" s="114"/>
      <c r="H498" s="108" t="s">
        <v>402</v>
      </c>
      <c r="I498" s="111" t="s">
        <v>402</v>
      </c>
      <c r="J498" s="111" t="s">
        <v>402</v>
      </c>
      <c r="K498" s="106" t="s">
        <v>403</v>
      </c>
      <c r="L498" s="55" t="s">
        <v>404</v>
      </c>
      <c r="M498" s="55" t="s">
        <v>7634</v>
      </c>
    </row>
    <row r="499" spans="1:13">
      <c r="A499" s="401" t="s">
        <v>8649</v>
      </c>
      <c r="B499" s="106" t="s">
        <v>8650</v>
      </c>
      <c r="C499" s="132" t="s">
        <v>8650</v>
      </c>
      <c r="D499" s="133" t="s">
        <v>8651</v>
      </c>
      <c r="E499" s="133" t="s">
        <v>8652</v>
      </c>
      <c r="F499" s="133" t="s">
        <v>8653</v>
      </c>
      <c r="G499" s="601" t="s">
        <v>8654</v>
      </c>
      <c r="H499" s="108" t="s">
        <v>402</v>
      </c>
      <c r="I499" s="111" t="s">
        <v>402</v>
      </c>
      <c r="J499" s="111" t="s">
        <v>402</v>
      </c>
      <c r="K499" s="106" t="s">
        <v>403</v>
      </c>
      <c r="L499" s="55" t="s">
        <v>404</v>
      </c>
      <c r="M499" s="55" t="s">
        <v>383</v>
      </c>
    </row>
    <row r="500" spans="1:13">
      <c r="A500" s="408" t="s">
        <v>1812</v>
      </c>
      <c r="B500" s="106" t="s">
        <v>327</v>
      </c>
      <c r="C500" s="106" t="s">
        <v>473</v>
      </c>
      <c r="D500" s="107" t="s">
        <v>1813</v>
      </c>
      <c r="E500" s="109" t="s">
        <v>355</v>
      </c>
      <c r="F500" s="109" t="s">
        <v>355</v>
      </c>
      <c r="G500" s="114"/>
      <c r="H500" s="108" t="s">
        <v>402</v>
      </c>
      <c r="I500" s="111" t="s">
        <v>402</v>
      </c>
      <c r="J500" s="111" t="s">
        <v>402</v>
      </c>
      <c r="K500" s="106" t="s">
        <v>403</v>
      </c>
      <c r="L500" s="55" t="s">
        <v>404</v>
      </c>
      <c r="M500" s="55" t="s">
        <v>7634</v>
      </c>
    </row>
    <row r="501" spans="1:13">
      <c r="A501" s="408" t="s">
        <v>1814</v>
      </c>
      <c r="B501" s="106" t="s">
        <v>327</v>
      </c>
      <c r="C501" s="106" t="s">
        <v>473</v>
      </c>
      <c r="D501" s="107" t="s">
        <v>1815</v>
      </c>
      <c r="E501" s="109" t="s">
        <v>355</v>
      </c>
      <c r="F501" s="109" t="s">
        <v>355</v>
      </c>
      <c r="G501" s="114"/>
      <c r="H501" s="108" t="s">
        <v>402</v>
      </c>
      <c r="I501" s="111" t="s">
        <v>402</v>
      </c>
      <c r="J501" s="111" t="s">
        <v>402</v>
      </c>
      <c r="K501" s="106" t="s">
        <v>403</v>
      </c>
      <c r="L501" s="55" t="s">
        <v>404</v>
      </c>
      <c r="M501" s="55" t="s">
        <v>7634</v>
      </c>
    </row>
    <row r="502" spans="1:13">
      <c r="A502" s="408" t="s">
        <v>1816</v>
      </c>
      <c r="B502" s="106" t="s">
        <v>327</v>
      </c>
      <c r="C502" s="106" t="s">
        <v>473</v>
      </c>
      <c r="D502" s="107" t="s">
        <v>1815</v>
      </c>
      <c r="E502" s="109" t="s">
        <v>355</v>
      </c>
      <c r="F502" s="109" t="s">
        <v>355</v>
      </c>
      <c r="G502" s="114"/>
      <c r="H502" s="108" t="s">
        <v>402</v>
      </c>
      <c r="I502" s="111" t="s">
        <v>402</v>
      </c>
      <c r="J502" s="111" t="s">
        <v>402</v>
      </c>
      <c r="K502" s="106" t="s">
        <v>403</v>
      </c>
      <c r="L502" s="55" t="s">
        <v>404</v>
      </c>
      <c r="M502" s="55" t="s">
        <v>7634</v>
      </c>
    </row>
    <row r="503" spans="1:13">
      <c r="A503" s="408" t="s">
        <v>1817</v>
      </c>
      <c r="B503" s="106" t="s">
        <v>327</v>
      </c>
      <c r="C503" s="106" t="s">
        <v>473</v>
      </c>
      <c r="D503" s="107" t="s">
        <v>1818</v>
      </c>
      <c r="E503" s="109" t="s">
        <v>355</v>
      </c>
      <c r="F503" s="109" t="s">
        <v>355</v>
      </c>
      <c r="G503" s="114"/>
      <c r="H503" s="108" t="s">
        <v>402</v>
      </c>
      <c r="I503" s="111" t="s">
        <v>402</v>
      </c>
      <c r="J503" s="111" t="s">
        <v>402</v>
      </c>
      <c r="K503" s="106" t="s">
        <v>403</v>
      </c>
      <c r="L503" s="55" t="s">
        <v>404</v>
      </c>
      <c r="M503" s="55" t="s">
        <v>7634</v>
      </c>
    </row>
    <row r="504" spans="1:13">
      <c r="A504" s="401" t="s">
        <v>1819</v>
      </c>
      <c r="B504" s="106" t="s">
        <v>327</v>
      </c>
      <c r="C504" s="106" t="s">
        <v>473</v>
      </c>
      <c r="D504" s="109" t="s">
        <v>1820</v>
      </c>
      <c r="E504" s="109" t="s">
        <v>1821</v>
      </c>
      <c r="F504" s="109" t="s">
        <v>1822</v>
      </c>
      <c r="G504" s="112" t="s">
        <v>1823</v>
      </c>
      <c r="H504" s="115" t="s">
        <v>402</v>
      </c>
      <c r="I504" s="111" t="s">
        <v>402</v>
      </c>
      <c r="J504" s="111" t="s">
        <v>402</v>
      </c>
      <c r="K504" s="106" t="s">
        <v>403</v>
      </c>
      <c r="L504" s="55" t="s">
        <v>404</v>
      </c>
      <c r="M504" s="113" t="s">
        <v>383</v>
      </c>
    </row>
    <row r="505" spans="1:13">
      <c r="A505" s="408" t="s">
        <v>1824</v>
      </c>
      <c r="B505" s="106" t="s">
        <v>327</v>
      </c>
      <c r="C505" s="106" t="s">
        <v>473</v>
      </c>
      <c r="D505" s="107" t="s">
        <v>1818</v>
      </c>
      <c r="E505" s="109" t="s">
        <v>355</v>
      </c>
      <c r="F505" s="109" t="s">
        <v>355</v>
      </c>
      <c r="G505" s="114"/>
      <c r="H505" s="108" t="s">
        <v>402</v>
      </c>
      <c r="I505" s="111" t="s">
        <v>402</v>
      </c>
      <c r="J505" s="111" t="s">
        <v>402</v>
      </c>
      <c r="K505" s="106" t="s">
        <v>403</v>
      </c>
      <c r="L505" s="55" t="s">
        <v>404</v>
      </c>
      <c r="M505" s="55" t="s">
        <v>7634</v>
      </c>
    </row>
    <row r="506" spans="1:13">
      <c r="A506" s="408" t="s">
        <v>1825</v>
      </c>
      <c r="B506" s="106" t="s">
        <v>327</v>
      </c>
      <c r="C506" s="106" t="s">
        <v>473</v>
      </c>
      <c r="D506" s="107" t="s">
        <v>1826</v>
      </c>
      <c r="E506" s="109" t="s">
        <v>355</v>
      </c>
      <c r="F506" s="109" t="s">
        <v>355</v>
      </c>
      <c r="G506" s="114"/>
      <c r="H506" s="108" t="s">
        <v>402</v>
      </c>
      <c r="I506" s="111" t="s">
        <v>402</v>
      </c>
      <c r="J506" s="111" t="s">
        <v>402</v>
      </c>
      <c r="K506" s="106" t="s">
        <v>403</v>
      </c>
      <c r="L506" s="55" t="s">
        <v>404</v>
      </c>
      <c r="M506" s="55" t="s">
        <v>7634</v>
      </c>
    </row>
    <row r="507" spans="1:13">
      <c r="A507" s="408" t="s">
        <v>1827</v>
      </c>
      <c r="B507" s="106" t="s">
        <v>327</v>
      </c>
      <c r="C507" s="106" t="s">
        <v>473</v>
      </c>
      <c r="D507" s="107" t="s">
        <v>1828</v>
      </c>
      <c r="E507" s="109" t="s">
        <v>355</v>
      </c>
      <c r="F507" s="109" t="s">
        <v>355</v>
      </c>
      <c r="G507" s="114"/>
      <c r="H507" s="108" t="s">
        <v>402</v>
      </c>
      <c r="I507" s="111" t="s">
        <v>402</v>
      </c>
      <c r="J507" s="111" t="s">
        <v>402</v>
      </c>
      <c r="K507" s="106" t="s">
        <v>403</v>
      </c>
      <c r="L507" s="55" t="s">
        <v>404</v>
      </c>
      <c r="M507" s="55" t="s">
        <v>7634</v>
      </c>
    </row>
    <row r="508" spans="1:13">
      <c r="A508" s="408" t="s">
        <v>1829</v>
      </c>
      <c r="B508" s="106" t="s">
        <v>327</v>
      </c>
      <c r="C508" s="106" t="s">
        <v>473</v>
      </c>
      <c r="D508" s="107" t="s">
        <v>1830</v>
      </c>
      <c r="E508" s="109" t="s">
        <v>355</v>
      </c>
      <c r="F508" s="109" t="s">
        <v>355</v>
      </c>
      <c r="G508" s="114"/>
      <c r="H508" s="108" t="s">
        <v>402</v>
      </c>
      <c r="I508" s="111" t="s">
        <v>402</v>
      </c>
      <c r="J508" s="111" t="s">
        <v>402</v>
      </c>
      <c r="K508" s="106" t="s">
        <v>403</v>
      </c>
      <c r="L508" s="55" t="s">
        <v>404</v>
      </c>
      <c r="M508" s="55" t="s">
        <v>7634</v>
      </c>
    </row>
    <row r="509" spans="1:13">
      <c r="A509" s="408" t="s">
        <v>1831</v>
      </c>
      <c r="B509" s="106" t="s">
        <v>327</v>
      </c>
      <c r="C509" s="106" t="s">
        <v>473</v>
      </c>
      <c r="D509" s="107" t="s">
        <v>1832</v>
      </c>
      <c r="E509" s="109" t="s">
        <v>355</v>
      </c>
      <c r="F509" s="109" t="s">
        <v>355</v>
      </c>
      <c r="G509" s="114"/>
      <c r="H509" s="108" t="s">
        <v>402</v>
      </c>
      <c r="I509" s="111" t="s">
        <v>402</v>
      </c>
      <c r="J509" s="111" t="s">
        <v>402</v>
      </c>
      <c r="K509" s="106" t="s">
        <v>403</v>
      </c>
      <c r="L509" s="55" t="s">
        <v>404</v>
      </c>
      <c r="M509" s="55" t="s">
        <v>7634</v>
      </c>
    </row>
    <row r="510" spans="1:13">
      <c r="A510" s="408" t="s">
        <v>1833</v>
      </c>
      <c r="B510" s="106" t="s">
        <v>327</v>
      </c>
      <c r="C510" s="106" t="s">
        <v>473</v>
      </c>
      <c r="D510" s="107" t="s">
        <v>1834</v>
      </c>
      <c r="E510" s="109" t="s">
        <v>355</v>
      </c>
      <c r="F510" s="109" t="s">
        <v>355</v>
      </c>
      <c r="G510" s="114"/>
      <c r="H510" s="108" t="s">
        <v>402</v>
      </c>
      <c r="I510" s="111" t="s">
        <v>402</v>
      </c>
      <c r="J510" s="111" t="s">
        <v>402</v>
      </c>
      <c r="K510" s="106" t="s">
        <v>403</v>
      </c>
      <c r="L510" s="55" t="s">
        <v>404</v>
      </c>
      <c r="M510" s="55" t="s">
        <v>7634</v>
      </c>
    </row>
    <row r="511" spans="1:13">
      <c r="A511" s="401" t="s">
        <v>1835</v>
      </c>
      <c r="B511" s="106" t="s">
        <v>327</v>
      </c>
      <c r="C511" s="106" t="s">
        <v>473</v>
      </c>
      <c r="D511" s="109" t="s">
        <v>1836</v>
      </c>
      <c r="E511" s="109" t="s">
        <v>1837</v>
      </c>
      <c r="F511" s="110" t="s">
        <v>1838</v>
      </c>
      <c r="G511" s="112" t="s">
        <v>1839</v>
      </c>
      <c r="H511" s="115" t="s">
        <v>402</v>
      </c>
      <c r="I511" s="111" t="s">
        <v>402</v>
      </c>
      <c r="J511" s="111" t="s">
        <v>402</v>
      </c>
      <c r="K511" s="106" t="s">
        <v>404</v>
      </c>
      <c r="L511" s="55" t="s">
        <v>592</v>
      </c>
      <c r="M511" s="55" t="s">
        <v>1840</v>
      </c>
    </row>
    <row r="512" spans="1:13">
      <c r="A512" s="408" t="s">
        <v>1841</v>
      </c>
      <c r="B512" s="106" t="s">
        <v>327</v>
      </c>
      <c r="C512" s="106" t="s">
        <v>473</v>
      </c>
      <c r="D512" s="107" t="s">
        <v>1842</v>
      </c>
      <c r="E512" s="109" t="s">
        <v>355</v>
      </c>
      <c r="F512" s="109" t="s">
        <v>355</v>
      </c>
      <c r="G512" s="114"/>
      <c r="H512" s="108" t="s">
        <v>402</v>
      </c>
      <c r="I512" s="111" t="s">
        <v>402</v>
      </c>
      <c r="J512" s="111" t="s">
        <v>402</v>
      </c>
      <c r="K512" s="106" t="s">
        <v>403</v>
      </c>
      <c r="L512" s="55" t="s">
        <v>404</v>
      </c>
      <c r="M512" s="55" t="s">
        <v>7634</v>
      </c>
    </row>
    <row r="513" spans="1:13">
      <c r="A513" s="408" t="s">
        <v>1843</v>
      </c>
      <c r="B513" s="106" t="s">
        <v>327</v>
      </c>
      <c r="C513" s="106" t="s">
        <v>473</v>
      </c>
      <c r="D513" s="107" t="s">
        <v>1844</v>
      </c>
      <c r="E513" s="109" t="s">
        <v>355</v>
      </c>
      <c r="F513" s="109" t="s">
        <v>355</v>
      </c>
      <c r="G513" s="114"/>
      <c r="H513" s="108" t="s">
        <v>402</v>
      </c>
      <c r="I513" s="111" t="s">
        <v>402</v>
      </c>
      <c r="J513" s="111" t="s">
        <v>402</v>
      </c>
      <c r="K513" s="106" t="s">
        <v>403</v>
      </c>
      <c r="L513" s="55" t="s">
        <v>404</v>
      </c>
      <c r="M513" s="55" t="s">
        <v>7634</v>
      </c>
    </row>
    <row r="514" spans="1:13">
      <c r="A514" s="408" t="s">
        <v>1845</v>
      </c>
      <c r="B514" s="106" t="s">
        <v>327</v>
      </c>
      <c r="C514" s="106" t="s">
        <v>473</v>
      </c>
      <c r="D514" s="107" t="s">
        <v>1846</v>
      </c>
      <c r="E514" s="109" t="s">
        <v>355</v>
      </c>
      <c r="F514" s="109" t="s">
        <v>355</v>
      </c>
      <c r="G514" s="114"/>
      <c r="H514" s="108" t="s">
        <v>402</v>
      </c>
      <c r="I514" s="111" t="s">
        <v>402</v>
      </c>
      <c r="J514" s="111" t="s">
        <v>402</v>
      </c>
      <c r="K514" s="106" t="s">
        <v>403</v>
      </c>
      <c r="L514" s="55" t="s">
        <v>404</v>
      </c>
      <c r="M514" s="55" t="s">
        <v>7634</v>
      </c>
    </row>
    <row r="515" spans="1:13">
      <c r="A515" s="408" t="s">
        <v>1847</v>
      </c>
      <c r="B515" s="106" t="s">
        <v>327</v>
      </c>
      <c r="C515" s="106" t="s">
        <v>473</v>
      </c>
      <c r="D515" s="107" t="s">
        <v>1846</v>
      </c>
      <c r="E515" s="109" t="s">
        <v>355</v>
      </c>
      <c r="F515" s="109" t="s">
        <v>355</v>
      </c>
      <c r="G515" s="114"/>
      <c r="H515" s="108" t="s">
        <v>402</v>
      </c>
      <c r="I515" s="111" t="s">
        <v>402</v>
      </c>
      <c r="J515" s="111" t="s">
        <v>402</v>
      </c>
      <c r="K515" s="106" t="s">
        <v>403</v>
      </c>
      <c r="L515" s="55" t="s">
        <v>404</v>
      </c>
      <c r="M515" s="55" t="s">
        <v>7634</v>
      </c>
    </row>
    <row r="516" spans="1:13">
      <c r="A516" s="408" t="s">
        <v>1848</v>
      </c>
      <c r="B516" s="106" t="s">
        <v>327</v>
      </c>
      <c r="C516" s="106" t="s">
        <v>473</v>
      </c>
      <c r="D516" s="107" t="s">
        <v>1846</v>
      </c>
      <c r="E516" s="109" t="s">
        <v>355</v>
      </c>
      <c r="F516" s="109" t="s">
        <v>355</v>
      </c>
      <c r="G516" s="114"/>
      <c r="H516" s="108" t="s">
        <v>402</v>
      </c>
      <c r="I516" s="111" t="s">
        <v>402</v>
      </c>
      <c r="J516" s="111" t="s">
        <v>402</v>
      </c>
      <c r="K516" s="106" t="s">
        <v>403</v>
      </c>
      <c r="L516" s="55" t="s">
        <v>404</v>
      </c>
      <c r="M516" s="55" t="s">
        <v>7634</v>
      </c>
    </row>
    <row r="517" spans="1:13">
      <c r="A517" s="408" t="s">
        <v>1849</v>
      </c>
      <c r="B517" s="106" t="s">
        <v>327</v>
      </c>
      <c r="C517" s="106" t="s">
        <v>473</v>
      </c>
      <c r="D517" s="107" t="s">
        <v>1846</v>
      </c>
      <c r="E517" s="109" t="s">
        <v>355</v>
      </c>
      <c r="F517" s="109" t="s">
        <v>355</v>
      </c>
      <c r="G517" s="114"/>
      <c r="H517" s="108" t="s">
        <v>402</v>
      </c>
      <c r="I517" s="111" t="s">
        <v>402</v>
      </c>
      <c r="J517" s="111" t="s">
        <v>402</v>
      </c>
      <c r="K517" s="106" t="s">
        <v>403</v>
      </c>
      <c r="L517" s="55" t="s">
        <v>404</v>
      </c>
      <c r="M517" s="55" t="s">
        <v>7634</v>
      </c>
    </row>
    <row r="518" spans="1:13">
      <c r="A518" s="401" t="s">
        <v>1850</v>
      </c>
      <c r="B518" s="106" t="s">
        <v>327</v>
      </c>
      <c r="C518" s="106" t="s">
        <v>473</v>
      </c>
      <c r="D518" s="109" t="s">
        <v>1851</v>
      </c>
      <c r="E518" s="129" t="s">
        <v>1852</v>
      </c>
      <c r="F518" s="109" t="s">
        <v>1853</v>
      </c>
      <c r="G518" s="112" t="s">
        <v>1854</v>
      </c>
      <c r="H518" s="115" t="s">
        <v>402</v>
      </c>
      <c r="I518" s="111" t="s">
        <v>402</v>
      </c>
      <c r="J518" s="111" t="s">
        <v>402</v>
      </c>
      <c r="K518" s="108" t="s">
        <v>592</v>
      </c>
      <c r="L518" s="55" t="s">
        <v>404</v>
      </c>
      <c r="M518" s="55" t="s">
        <v>383</v>
      </c>
    </row>
    <row r="519" spans="1:13">
      <c r="A519" s="401" t="s">
        <v>1855</v>
      </c>
      <c r="B519" s="106" t="s">
        <v>327</v>
      </c>
      <c r="C519" s="106" t="s">
        <v>473</v>
      </c>
      <c r="D519" s="109" t="s">
        <v>1856</v>
      </c>
      <c r="E519" s="109" t="s">
        <v>1857</v>
      </c>
      <c r="F519" s="109" t="s">
        <v>1858</v>
      </c>
      <c r="G519" s="55" t="s">
        <v>383</v>
      </c>
      <c r="H519" s="115" t="s">
        <v>402</v>
      </c>
      <c r="I519" s="111" t="s">
        <v>402</v>
      </c>
      <c r="J519" s="111" t="s">
        <v>402</v>
      </c>
      <c r="K519" s="106" t="s">
        <v>592</v>
      </c>
      <c r="L519" s="55" t="s">
        <v>404</v>
      </c>
      <c r="M519" s="55" t="s">
        <v>383</v>
      </c>
    </row>
    <row r="520" spans="1:13">
      <c r="A520" s="408" t="s">
        <v>1859</v>
      </c>
      <c r="B520" s="106" t="s">
        <v>327</v>
      </c>
      <c r="C520" s="106" t="s">
        <v>473</v>
      </c>
      <c r="D520" s="107" t="s">
        <v>1860</v>
      </c>
      <c r="E520" s="109" t="s">
        <v>355</v>
      </c>
      <c r="F520" s="109" t="s">
        <v>355</v>
      </c>
      <c r="G520" s="114"/>
      <c r="H520" s="108" t="s">
        <v>402</v>
      </c>
      <c r="I520" s="111" t="s">
        <v>402</v>
      </c>
      <c r="J520" s="111" t="s">
        <v>402</v>
      </c>
      <c r="K520" s="106" t="s">
        <v>403</v>
      </c>
      <c r="L520" s="55" t="s">
        <v>404</v>
      </c>
      <c r="M520" s="55" t="s">
        <v>7634</v>
      </c>
    </row>
    <row r="521" spans="1:13">
      <c r="A521" s="408" t="s">
        <v>1861</v>
      </c>
      <c r="B521" s="106" t="s">
        <v>327</v>
      </c>
      <c r="C521" s="106" t="s">
        <v>473</v>
      </c>
      <c r="D521" s="107" t="s">
        <v>1862</v>
      </c>
      <c r="E521" s="109" t="s">
        <v>355</v>
      </c>
      <c r="F521" s="109" t="s">
        <v>355</v>
      </c>
      <c r="G521" s="114"/>
      <c r="H521" s="108" t="s">
        <v>402</v>
      </c>
      <c r="I521" s="111" t="s">
        <v>402</v>
      </c>
      <c r="J521" s="111" t="s">
        <v>402</v>
      </c>
      <c r="K521" s="106" t="s">
        <v>403</v>
      </c>
      <c r="L521" s="55" t="s">
        <v>404</v>
      </c>
      <c r="M521" s="55" t="s">
        <v>7634</v>
      </c>
    </row>
    <row r="522" spans="1:13">
      <c r="A522" s="408" t="s">
        <v>1863</v>
      </c>
      <c r="B522" s="106" t="s">
        <v>327</v>
      </c>
      <c r="C522" s="106" t="s">
        <v>473</v>
      </c>
      <c r="D522" s="107" t="s">
        <v>1864</v>
      </c>
      <c r="E522" s="109" t="s">
        <v>355</v>
      </c>
      <c r="F522" s="109" t="s">
        <v>355</v>
      </c>
      <c r="G522" s="114"/>
      <c r="H522" s="108" t="s">
        <v>402</v>
      </c>
      <c r="I522" s="111" t="s">
        <v>402</v>
      </c>
      <c r="J522" s="111" t="s">
        <v>402</v>
      </c>
      <c r="K522" s="106" t="s">
        <v>403</v>
      </c>
      <c r="L522" s="55" t="s">
        <v>404</v>
      </c>
      <c r="M522" s="55" t="s">
        <v>7634</v>
      </c>
    </row>
    <row r="523" spans="1:13">
      <c r="A523" s="401" t="s">
        <v>1865</v>
      </c>
      <c r="B523" s="106" t="s">
        <v>327</v>
      </c>
      <c r="C523" s="106" t="s">
        <v>473</v>
      </c>
      <c r="D523" s="109"/>
      <c r="E523" s="109" t="s">
        <v>355</v>
      </c>
      <c r="F523" s="109" t="s">
        <v>355</v>
      </c>
      <c r="G523" s="112" t="s">
        <v>1866</v>
      </c>
      <c r="H523" s="115" t="s">
        <v>402</v>
      </c>
      <c r="I523" s="111" t="s">
        <v>402</v>
      </c>
      <c r="J523" s="111" t="s">
        <v>402</v>
      </c>
      <c r="K523" s="108"/>
      <c r="L523" s="55"/>
      <c r="M523" s="55" t="s">
        <v>7634</v>
      </c>
    </row>
    <row r="524" spans="1:13">
      <c r="A524" s="401" t="s">
        <v>1867</v>
      </c>
      <c r="B524" s="106" t="s">
        <v>327</v>
      </c>
      <c r="C524" s="106" t="s">
        <v>473</v>
      </c>
      <c r="D524" s="109"/>
      <c r="E524" s="109" t="s">
        <v>355</v>
      </c>
      <c r="F524" s="109" t="s">
        <v>355</v>
      </c>
      <c r="G524" s="55" t="s">
        <v>355</v>
      </c>
      <c r="H524" s="115" t="s">
        <v>402</v>
      </c>
      <c r="I524" s="111" t="s">
        <v>402</v>
      </c>
      <c r="J524" s="111" t="s">
        <v>402</v>
      </c>
      <c r="K524" s="106"/>
      <c r="L524" s="55"/>
      <c r="M524" s="55" t="s">
        <v>7634</v>
      </c>
    </row>
    <row r="525" spans="1:13">
      <c r="A525" s="408" t="s">
        <v>1868</v>
      </c>
      <c r="B525" s="106" t="s">
        <v>327</v>
      </c>
      <c r="C525" s="106" t="s">
        <v>473</v>
      </c>
      <c r="D525" s="107" t="s">
        <v>1869</v>
      </c>
      <c r="E525" s="109" t="s">
        <v>355</v>
      </c>
      <c r="F525" s="109" t="s">
        <v>355</v>
      </c>
      <c r="G525" s="55" t="s">
        <v>355</v>
      </c>
      <c r="H525" s="108" t="s">
        <v>402</v>
      </c>
      <c r="I525" s="111" t="s">
        <v>402</v>
      </c>
      <c r="J525" s="111" t="s">
        <v>402</v>
      </c>
      <c r="K525" s="106" t="s">
        <v>403</v>
      </c>
      <c r="L525" s="55" t="s">
        <v>404</v>
      </c>
      <c r="M525" s="55" t="s">
        <v>7634</v>
      </c>
    </row>
    <row r="526" spans="1:13">
      <c r="A526" s="408" t="s">
        <v>1870</v>
      </c>
      <c r="B526" s="106" t="s">
        <v>327</v>
      </c>
      <c r="C526" s="106" t="s">
        <v>473</v>
      </c>
      <c r="D526" s="107" t="s">
        <v>1871</v>
      </c>
      <c r="E526" s="109" t="s">
        <v>355</v>
      </c>
      <c r="F526" s="109" t="s">
        <v>355</v>
      </c>
      <c r="G526" s="55" t="s">
        <v>355</v>
      </c>
      <c r="H526" s="108" t="s">
        <v>402</v>
      </c>
      <c r="I526" s="111" t="s">
        <v>402</v>
      </c>
      <c r="J526" s="111" t="s">
        <v>402</v>
      </c>
      <c r="K526" s="106" t="s">
        <v>403</v>
      </c>
      <c r="L526" s="55" t="s">
        <v>404</v>
      </c>
      <c r="M526" s="55" t="s">
        <v>7634</v>
      </c>
    </row>
    <row r="527" spans="1:13">
      <c r="A527" s="408" t="s">
        <v>1872</v>
      </c>
      <c r="B527" s="106" t="s">
        <v>327</v>
      </c>
      <c r="C527" s="106" t="s">
        <v>473</v>
      </c>
      <c r="D527" s="107" t="s">
        <v>1873</v>
      </c>
      <c r="E527" s="109" t="s">
        <v>355</v>
      </c>
      <c r="F527" s="109" t="s">
        <v>355</v>
      </c>
      <c r="G527" s="55" t="s">
        <v>355</v>
      </c>
      <c r="H527" s="108" t="s">
        <v>402</v>
      </c>
      <c r="I527" s="111" t="s">
        <v>402</v>
      </c>
      <c r="J527" s="111" t="s">
        <v>402</v>
      </c>
      <c r="K527" s="106" t="s">
        <v>403</v>
      </c>
      <c r="L527" s="55" t="s">
        <v>404</v>
      </c>
      <c r="M527" s="55" t="s">
        <v>7634</v>
      </c>
    </row>
    <row r="528" spans="1:13">
      <c r="A528" s="408" t="s">
        <v>1874</v>
      </c>
      <c r="B528" s="106" t="s">
        <v>327</v>
      </c>
      <c r="C528" s="106" t="s">
        <v>473</v>
      </c>
      <c r="D528" s="107" t="s">
        <v>1875</v>
      </c>
      <c r="E528" s="109" t="s">
        <v>355</v>
      </c>
      <c r="F528" s="109" t="s">
        <v>355</v>
      </c>
      <c r="G528" s="55" t="s">
        <v>355</v>
      </c>
      <c r="H528" s="108" t="s">
        <v>402</v>
      </c>
      <c r="I528" s="111" t="s">
        <v>402</v>
      </c>
      <c r="J528" s="111" t="s">
        <v>402</v>
      </c>
      <c r="K528" s="106" t="s">
        <v>403</v>
      </c>
      <c r="L528" s="55" t="s">
        <v>404</v>
      </c>
      <c r="M528" s="55" t="s">
        <v>7634</v>
      </c>
    </row>
    <row r="529" spans="1:13">
      <c r="A529" s="408" t="s">
        <v>1876</v>
      </c>
      <c r="B529" s="106" t="s">
        <v>327</v>
      </c>
      <c r="C529" s="106" t="s">
        <v>473</v>
      </c>
      <c r="D529" s="107" t="s">
        <v>1877</v>
      </c>
      <c r="E529" s="109" t="s">
        <v>355</v>
      </c>
      <c r="F529" s="109" t="s">
        <v>355</v>
      </c>
      <c r="G529" s="55" t="s">
        <v>355</v>
      </c>
      <c r="H529" s="108" t="s">
        <v>402</v>
      </c>
      <c r="I529" s="111" t="s">
        <v>402</v>
      </c>
      <c r="J529" s="111" t="s">
        <v>402</v>
      </c>
      <c r="K529" s="106" t="s">
        <v>403</v>
      </c>
      <c r="L529" s="55" t="s">
        <v>404</v>
      </c>
      <c r="M529" s="55" t="s">
        <v>7634</v>
      </c>
    </row>
    <row r="530" spans="1:13">
      <c r="A530" s="408" t="s">
        <v>1878</v>
      </c>
      <c r="B530" s="106" t="s">
        <v>327</v>
      </c>
      <c r="C530" s="106" t="s">
        <v>473</v>
      </c>
      <c r="D530" s="107" t="s">
        <v>1879</v>
      </c>
      <c r="E530" s="109" t="s">
        <v>355</v>
      </c>
      <c r="F530" s="109" t="s">
        <v>355</v>
      </c>
      <c r="G530" s="55" t="s">
        <v>355</v>
      </c>
      <c r="H530" s="108" t="s">
        <v>402</v>
      </c>
      <c r="I530" s="111" t="s">
        <v>402</v>
      </c>
      <c r="J530" s="111" t="s">
        <v>402</v>
      </c>
      <c r="K530" s="106" t="s">
        <v>403</v>
      </c>
      <c r="L530" s="55" t="s">
        <v>404</v>
      </c>
      <c r="M530" s="55" t="s">
        <v>7634</v>
      </c>
    </row>
    <row r="531" spans="1:13">
      <c r="A531" s="408" t="s">
        <v>1880</v>
      </c>
      <c r="B531" s="106" t="s">
        <v>327</v>
      </c>
      <c r="C531" s="106" t="s">
        <v>473</v>
      </c>
      <c r="D531" s="107" t="s">
        <v>1881</v>
      </c>
      <c r="E531" s="109" t="s">
        <v>355</v>
      </c>
      <c r="F531" s="109" t="s">
        <v>355</v>
      </c>
      <c r="G531" s="55" t="s">
        <v>355</v>
      </c>
      <c r="H531" s="108" t="s">
        <v>402</v>
      </c>
      <c r="I531" s="111" t="s">
        <v>402</v>
      </c>
      <c r="J531" s="111" t="s">
        <v>402</v>
      </c>
      <c r="K531" s="106" t="s">
        <v>403</v>
      </c>
      <c r="L531" s="55" t="s">
        <v>404</v>
      </c>
      <c r="M531" s="55" t="s">
        <v>7634</v>
      </c>
    </row>
    <row r="532" spans="1:13">
      <c r="A532" s="408" t="s">
        <v>1882</v>
      </c>
      <c r="B532" s="106" t="s">
        <v>327</v>
      </c>
      <c r="C532" s="106" t="s">
        <v>473</v>
      </c>
      <c r="D532" s="107" t="s">
        <v>1883</v>
      </c>
      <c r="E532" s="109" t="s">
        <v>355</v>
      </c>
      <c r="F532" s="109" t="s">
        <v>355</v>
      </c>
      <c r="G532" s="55" t="s">
        <v>355</v>
      </c>
      <c r="H532" s="108" t="s">
        <v>402</v>
      </c>
      <c r="I532" s="111" t="s">
        <v>402</v>
      </c>
      <c r="J532" s="111" t="s">
        <v>402</v>
      </c>
      <c r="K532" s="106" t="s">
        <v>403</v>
      </c>
      <c r="L532" s="55" t="s">
        <v>404</v>
      </c>
      <c r="M532" s="55" t="s">
        <v>7634</v>
      </c>
    </row>
    <row r="533" spans="1:13">
      <c r="A533" s="401" t="s">
        <v>1884</v>
      </c>
      <c r="B533" s="106" t="s">
        <v>327</v>
      </c>
      <c r="C533" s="106" t="s">
        <v>473</v>
      </c>
      <c r="D533" s="109" t="s">
        <v>1885</v>
      </c>
      <c r="E533" s="109" t="s">
        <v>1886</v>
      </c>
      <c r="F533" s="109" t="s">
        <v>1887</v>
      </c>
      <c r="G533" s="117" t="s">
        <v>383</v>
      </c>
      <c r="H533" s="115" t="s">
        <v>402</v>
      </c>
      <c r="I533" s="111" t="s">
        <v>402</v>
      </c>
      <c r="J533" s="111" t="s">
        <v>402</v>
      </c>
      <c r="K533" s="115" t="s">
        <v>403</v>
      </c>
      <c r="L533" s="55" t="s">
        <v>404</v>
      </c>
      <c r="M533" s="113" t="s">
        <v>1173</v>
      </c>
    </row>
    <row r="534" spans="1:13">
      <c r="A534" s="408" t="s">
        <v>1888</v>
      </c>
      <c r="B534" s="106" t="s">
        <v>327</v>
      </c>
      <c r="C534" s="106" t="s">
        <v>473</v>
      </c>
      <c r="D534" s="107" t="s">
        <v>1889</v>
      </c>
      <c r="E534" s="109" t="s">
        <v>355</v>
      </c>
      <c r="F534" s="109" t="s">
        <v>355</v>
      </c>
      <c r="G534" s="55" t="s">
        <v>355</v>
      </c>
      <c r="H534" s="108" t="s">
        <v>402</v>
      </c>
      <c r="I534" s="111" t="s">
        <v>402</v>
      </c>
      <c r="J534" s="111" t="s">
        <v>402</v>
      </c>
      <c r="K534" s="106" t="s">
        <v>403</v>
      </c>
      <c r="L534" s="55" t="s">
        <v>404</v>
      </c>
      <c r="M534" s="55" t="s">
        <v>7634</v>
      </c>
    </row>
    <row r="535" spans="1:13">
      <c r="A535" s="408" t="s">
        <v>1890</v>
      </c>
      <c r="B535" s="106" t="s">
        <v>327</v>
      </c>
      <c r="C535" s="106" t="s">
        <v>473</v>
      </c>
      <c r="D535" s="107" t="s">
        <v>1891</v>
      </c>
      <c r="E535" s="109" t="s">
        <v>355</v>
      </c>
      <c r="F535" s="109" t="s">
        <v>355</v>
      </c>
      <c r="G535" s="55" t="s">
        <v>355</v>
      </c>
      <c r="H535" s="108" t="s">
        <v>402</v>
      </c>
      <c r="I535" s="111" t="s">
        <v>402</v>
      </c>
      <c r="J535" s="111" t="s">
        <v>402</v>
      </c>
      <c r="K535" s="106" t="s">
        <v>403</v>
      </c>
      <c r="L535" s="55" t="s">
        <v>404</v>
      </c>
      <c r="M535" s="55" t="s">
        <v>7634</v>
      </c>
    </row>
    <row r="536" spans="1:13">
      <c r="A536" s="408" t="s">
        <v>1892</v>
      </c>
      <c r="B536" s="106" t="s">
        <v>327</v>
      </c>
      <c r="C536" s="106" t="s">
        <v>473</v>
      </c>
      <c r="D536" s="107" t="s">
        <v>1893</v>
      </c>
      <c r="E536" s="109" t="s">
        <v>355</v>
      </c>
      <c r="F536" s="109" t="s">
        <v>355</v>
      </c>
      <c r="G536" s="55" t="s">
        <v>355</v>
      </c>
      <c r="H536" s="108" t="s">
        <v>402</v>
      </c>
      <c r="I536" s="111" t="s">
        <v>402</v>
      </c>
      <c r="J536" s="111" t="s">
        <v>402</v>
      </c>
      <c r="K536" s="106" t="s">
        <v>403</v>
      </c>
      <c r="L536" s="55" t="s">
        <v>404</v>
      </c>
      <c r="M536" s="55" t="s">
        <v>7634</v>
      </c>
    </row>
    <row r="537" spans="1:13">
      <c r="A537" s="408" t="s">
        <v>1894</v>
      </c>
      <c r="B537" s="106" t="s">
        <v>327</v>
      </c>
      <c r="C537" s="106" t="s">
        <v>473</v>
      </c>
      <c r="D537" s="107" t="s">
        <v>1895</v>
      </c>
      <c r="E537" s="109" t="s">
        <v>355</v>
      </c>
      <c r="F537" s="109" t="s">
        <v>355</v>
      </c>
      <c r="G537" s="55" t="s">
        <v>355</v>
      </c>
      <c r="H537" s="108" t="s">
        <v>402</v>
      </c>
      <c r="I537" s="111" t="s">
        <v>402</v>
      </c>
      <c r="J537" s="111" t="s">
        <v>402</v>
      </c>
      <c r="K537" s="106" t="s">
        <v>403</v>
      </c>
      <c r="L537" s="55" t="s">
        <v>404</v>
      </c>
      <c r="M537" s="55" t="s">
        <v>7634</v>
      </c>
    </row>
    <row r="538" spans="1:13">
      <c r="A538" s="408" t="s">
        <v>1896</v>
      </c>
      <c r="B538" s="106" t="s">
        <v>327</v>
      </c>
      <c r="C538" s="106" t="s">
        <v>473</v>
      </c>
      <c r="D538" s="107" t="s">
        <v>1897</v>
      </c>
      <c r="E538" s="109" t="s">
        <v>355</v>
      </c>
      <c r="F538" s="109" t="s">
        <v>355</v>
      </c>
      <c r="G538" s="55" t="s">
        <v>355</v>
      </c>
      <c r="H538" s="108" t="s">
        <v>402</v>
      </c>
      <c r="I538" s="111" t="s">
        <v>402</v>
      </c>
      <c r="J538" s="111" t="s">
        <v>402</v>
      </c>
      <c r="K538" s="106" t="s">
        <v>403</v>
      </c>
      <c r="L538" s="55" t="s">
        <v>404</v>
      </c>
      <c r="M538" s="55" t="s">
        <v>7634</v>
      </c>
    </row>
    <row r="539" spans="1:13">
      <c r="A539" s="408" t="s">
        <v>1898</v>
      </c>
      <c r="B539" s="106" t="s">
        <v>327</v>
      </c>
      <c r="C539" s="106" t="s">
        <v>473</v>
      </c>
      <c r="D539" s="107" t="s">
        <v>1899</v>
      </c>
      <c r="E539" s="109" t="s">
        <v>355</v>
      </c>
      <c r="F539" s="109" t="s">
        <v>355</v>
      </c>
      <c r="G539" s="55" t="s">
        <v>355</v>
      </c>
      <c r="H539" s="108" t="s">
        <v>402</v>
      </c>
      <c r="I539" s="111" t="s">
        <v>402</v>
      </c>
      <c r="J539" s="111" t="s">
        <v>402</v>
      </c>
      <c r="K539" s="106" t="s">
        <v>403</v>
      </c>
      <c r="L539" s="55" t="s">
        <v>404</v>
      </c>
      <c r="M539" s="55" t="s">
        <v>7634</v>
      </c>
    </row>
    <row r="540" spans="1:13">
      <c r="A540" s="408" t="s">
        <v>1900</v>
      </c>
      <c r="B540" s="106" t="s">
        <v>327</v>
      </c>
      <c r="C540" s="106" t="s">
        <v>473</v>
      </c>
      <c r="D540" s="107" t="s">
        <v>1901</v>
      </c>
      <c r="E540" s="109" t="s">
        <v>355</v>
      </c>
      <c r="F540" s="109" t="s">
        <v>355</v>
      </c>
      <c r="G540" s="55" t="s">
        <v>355</v>
      </c>
      <c r="H540" s="108" t="s">
        <v>402</v>
      </c>
      <c r="I540" s="111" t="s">
        <v>402</v>
      </c>
      <c r="J540" s="111" t="s">
        <v>402</v>
      </c>
      <c r="K540" s="106" t="s">
        <v>403</v>
      </c>
      <c r="L540" s="55" t="s">
        <v>404</v>
      </c>
      <c r="M540" s="55" t="s">
        <v>7634</v>
      </c>
    </row>
    <row r="541" spans="1:13">
      <c r="A541" s="408" t="s">
        <v>1902</v>
      </c>
      <c r="B541" s="106" t="s">
        <v>327</v>
      </c>
      <c r="C541" s="106" t="s">
        <v>473</v>
      </c>
      <c r="D541" s="107" t="s">
        <v>1903</v>
      </c>
      <c r="E541" s="109" t="s">
        <v>355</v>
      </c>
      <c r="F541" s="109" t="s">
        <v>355</v>
      </c>
      <c r="G541" s="55" t="s">
        <v>355</v>
      </c>
      <c r="H541" s="108" t="s">
        <v>402</v>
      </c>
      <c r="I541" s="111" t="s">
        <v>402</v>
      </c>
      <c r="J541" s="111" t="s">
        <v>402</v>
      </c>
      <c r="K541" s="106" t="s">
        <v>403</v>
      </c>
      <c r="L541" s="55" t="s">
        <v>404</v>
      </c>
      <c r="M541" s="55" t="s">
        <v>7634</v>
      </c>
    </row>
    <row r="542" spans="1:13">
      <c r="A542" s="408" t="s">
        <v>1904</v>
      </c>
      <c r="B542" s="106" t="s">
        <v>327</v>
      </c>
      <c r="C542" s="106" t="s">
        <v>473</v>
      </c>
      <c r="D542" s="107" t="s">
        <v>1905</v>
      </c>
      <c r="E542" s="109" t="s">
        <v>355</v>
      </c>
      <c r="F542" s="109" t="s">
        <v>355</v>
      </c>
      <c r="G542" s="55" t="s">
        <v>355</v>
      </c>
      <c r="H542" s="108" t="s">
        <v>402</v>
      </c>
      <c r="I542" s="111" t="s">
        <v>402</v>
      </c>
      <c r="J542" s="111" t="s">
        <v>402</v>
      </c>
      <c r="K542" s="106" t="s">
        <v>403</v>
      </c>
      <c r="L542" s="55" t="s">
        <v>404</v>
      </c>
      <c r="M542" s="55" t="s">
        <v>7634</v>
      </c>
    </row>
    <row r="543" spans="1:13">
      <c r="A543" s="408" t="s">
        <v>1906</v>
      </c>
      <c r="B543" s="106" t="s">
        <v>327</v>
      </c>
      <c r="C543" s="106" t="s">
        <v>473</v>
      </c>
      <c r="D543" s="107" t="s">
        <v>1905</v>
      </c>
      <c r="E543" s="109" t="s">
        <v>355</v>
      </c>
      <c r="F543" s="109" t="s">
        <v>355</v>
      </c>
      <c r="G543" s="55" t="s">
        <v>355</v>
      </c>
      <c r="H543" s="108" t="s">
        <v>402</v>
      </c>
      <c r="I543" s="111" t="s">
        <v>402</v>
      </c>
      <c r="J543" s="111" t="s">
        <v>402</v>
      </c>
      <c r="K543" s="106" t="s">
        <v>403</v>
      </c>
      <c r="L543" s="55" t="s">
        <v>404</v>
      </c>
      <c r="M543" s="55" t="s">
        <v>7634</v>
      </c>
    </row>
    <row r="544" spans="1:13">
      <c r="A544" s="408" t="s">
        <v>1907</v>
      </c>
      <c r="B544" s="106" t="s">
        <v>327</v>
      </c>
      <c r="C544" s="106" t="s">
        <v>473</v>
      </c>
      <c r="D544" s="107" t="s">
        <v>1908</v>
      </c>
      <c r="E544" s="109" t="s">
        <v>355</v>
      </c>
      <c r="F544" s="109" t="s">
        <v>355</v>
      </c>
      <c r="G544" s="55" t="s">
        <v>355</v>
      </c>
      <c r="H544" s="108" t="s">
        <v>402</v>
      </c>
      <c r="I544" s="111" t="s">
        <v>402</v>
      </c>
      <c r="J544" s="111" t="s">
        <v>402</v>
      </c>
      <c r="K544" s="106" t="s">
        <v>403</v>
      </c>
      <c r="L544" s="55" t="s">
        <v>404</v>
      </c>
      <c r="M544" s="55" t="s">
        <v>7634</v>
      </c>
    </row>
    <row r="545" spans="1:13">
      <c r="A545" s="408" t="s">
        <v>1909</v>
      </c>
      <c r="B545" s="106" t="s">
        <v>327</v>
      </c>
      <c r="C545" s="106" t="s">
        <v>473</v>
      </c>
      <c r="D545" s="107" t="s">
        <v>1908</v>
      </c>
      <c r="E545" s="109" t="s">
        <v>355</v>
      </c>
      <c r="F545" s="109" t="s">
        <v>355</v>
      </c>
      <c r="G545" s="55" t="s">
        <v>355</v>
      </c>
      <c r="H545" s="108" t="s">
        <v>402</v>
      </c>
      <c r="I545" s="111" t="s">
        <v>402</v>
      </c>
      <c r="J545" s="111" t="s">
        <v>402</v>
      </c>
      <c r="K545" s="106" t="s">
        <v>403</v>
      </c>
      <c r="L545" s="55" t="s">
        <v>404</v>
      </c>
      <c r="M545" s="55" t="s">
        <v>7634</v>
      </c>
    </row>
    <row r="546" spans="1:13">
      <c r="A546" s="401" t="s">
        <v>1910</v>
      </c>
      <c r="B546" s="106" t="s">
        <v>327</v>
      </c>
      <c r="C546" s="106" t="s">
        <v>473</v>
      </c>
      <c r="D546" s="110" t="s">
        <v>383</v>
      </c>
      <c r="E546" s="110" t="s">
        <v>383</v>
      </c>
      <c r="F546" s="109"/>
      <c r="G546" s="112" t="s">
        <v>1911</v>
      </c>
      <c r="H546" s="115" t="s">
        <v>402</v>
      </c>
      <c r="I546" s="111" t="s">
        <v>402</v>
      </c>
      <c r="J546" s="111" t="s">
        <v>402</v>
      </c>
      <c r="K546" s="106" t="s">
        <v>403</v>
      </c>
      <c r="L546" s="55" t="s">
        <v>404</v>
      </c>
      <c r="M546" s="113" t="s">
        <v>383</v>
      </c>
    </row>
    <row r="547" spans="1:13">
      <c r="A547" s="408" t="s">
        <v>1912</v>
      </c>
      <c r="B547" s="106" t="s">
        <v>327</v>
      </c>
      <c r="C547" s="106" t="s">
        <v>473</v>
      </c>
      <c r="D547" s="107" t="s">
        <v>1913</v>
      </c>
      <c r="E547" s="109" t="s">
        <v>355</v>
      </c>
      <c r="F547" s="109" t="s">
        <v>355</v>
      </c>
      <c r="G547" s="55" t="s">
        <v>355</v>
      </c>
      <c r="H547" s="108" t="s">
        <v>402</v>
      </c>
      <c r="I547" s="111" t="s">
        <v>402</v>
      </c>
      <c r="J547" s="111" t="s">
        <v>402</v>
      </c>
      <c r="K547" s="106" t="s">
        <v>403</v>
      </c>
      <c r="L547" s="55" t="s">
        <v>404</v>
      </c>
      <c r="M547" s="55" t="s">
        <v>7634</v>
      </c>
    </row>
    <row r="548" spans="1:13">
      <c r="A548" s="408" t="s">
        <v>1914</v>
      </c>
      <c r="B548" s="106" t="s">
        <v>327</v>
      </c>
      <c r="C548" s="106" t="s">
        <v>473</v>
      </c>
      <c r="D548" s="107" t="s">
        <v>1915</v>
      </c>
      <c r="E548" s="109" t="s">
        <v>355</v>
      </c>
      <c r="F548" s="109" t="s">
        <v>355</v>
      </c>
      <c r="G548" s="55" t="s">
        <v>355</v>
      </c>
      <c r="H548" s="108" t="s">
        <v>402</v>
      </c>
      <c r="I548" s="111" t="s">
        <v>402</v>
      </c>
      <c r="J548" s="111" t="s">
        <v>402</v>
      </c>
      <c r="K548" s="106" t="s">
        <v>403</v>
      </c>
      <c r="L548" s="55" t="s">
        <v>404</v>
      </c>
      <c r="M548" s="55" t="s">
        <v>7634</v>
      </c>
    </row>
    <row r="549" spans="1:13">
      <c r="A549" s="408" t="s">
        <v>1916</v>
      </c>
      <c r="B549" s="106" t="s">
        <v>327</v>
      </c>
      <c r="C549" s="106" t="s">
        <v>473</v>
      </c>
      <c r="D549" s="107" t="s">
        <v>1917</v>
      </c>
      <c r="E549" s="109" t="s">
        <v>355</v>
      </c>
      <c r="F549" s="109" t="s">
        <v>355</v>
      </c>
      <c r="G549" s="55" t="s">
        <v>355</v>
      </c>
      <c r="H549" s="108" t="s">
        <v>402</v>
      </c>
      <c r="I549" s="111" t="s">
        <v>402</v>
      </c>
      <c r="J549" s="111" t="s">
        <v>402</v>
      </c>
      <c r="K549" s="106" t="s">
        <v>403</v>
      </c>
      <c r="L549" s="55" t="s">
        <v>404</v>
      </c>
      <c r="M549" s="55" t="s">
        <v>7634</v>
      </c>
    </row>
    <row r="550" spans="1:13">
      <c r="A550" s="401" t="s">
        <v>1918</v>
      </c>
      <c r="B550" s="106" t="s">
        <v>327</v>
      </c>
      <c r="C550" s="106" t="s">
        <v>473</v>
      </c>
      <c r="D550" s="109" t="s">
        <v>1919</v>
      </c>
      <c r="E550" s="109" t="s">
        <v>1920</v>
      </c>
      <c r="F550" s="109" t="s">
        <v>1921</v>
      </c>
      <c r="G550" s="117" t="s">
        <v>383</v>
      </c>
      <c r="H550" s="115" t="s">
        <v>402</v>
      </c>
      <c r="I550" s="111" t="s">
        <v>402</v>
      </c>
      <c r="J550" s="111" t="s">
        <v>402</v>
      </c>
      <c r="K550" s="106" t="s">
        <v>403</v>
      </c>
      <c r="L550" s="55" t="s">
        <v>404</v>
      </c>
      <c r="M550" s="55" t="s">
        <v>1173</v>
      </c>
    </row>
    <row r="551" spans="1:13">
      <c r="A551" s="408" t="s">
        <v>1922</v>
      </c>
      <c r="B551" s="106" t="s">
        <v>327</v>
      </c>
      <c r="C551" s="106" t="s">
        <v>473</v>
      </c>
      <c r="D551" s="107" t="s">
        <v>1923</v>
      </c>
      <c r="E551" s="109" t="s">
        <v>355</v>
      </c>
      <c r="F551" s="109" t="s">
        <v>355</v>
      </c>
      <c r="G551" s="55" t="s">
        <v>355</v>
      </c>
      <c r="H551" s="108" t="s">
        <v>402</v>
      </c>
      <c r="I551" s="111" t="s">
        <v>402</v>
      </c>
      <c r="J551" s="111" t="s">
        <v>402</v>
      </c>
      <c r="K551" s="106" t="s">
        <v>403</v>
      </c>
      <c r="L551" s="55" t="s">
        <v>404</v>
      </c>
      <c r="M551" s="55" t="s">
        <v>7634</v>
      </c>
    </row>
    <row r="552" spans="1:13">
      <c r="A552" s="408" t="s">
        <v>1924</v>
      </c>
      <c r="B552" s="106" t="s">
        <v>327</v>
      </c>
      <c r="C552" s="106" t="s">
        <v>473</v>
      </c>
      <c r="D552" s="107" t="s">
        <v>1925</v>
      </c>
      <c r="E552" s="109" t="s">
        <v>355</v>
      </c>
      <c r="F552" s="109" t="s">
        <v>355</v>
      </c>
      <c r="G552" s="55" t="s">
        <v>355</v>
      </c>
      <c r="H552" s="108" t="s">
        <v>402</v>
      </c>
      <c r="I552" s="111" t="s">
        <v>402</v>
      </c>
      <c r="J552" s="111" t="s">
        <v>402</v>
      </c>
      <c r="K552" s="106" t="s">
        <v>403</v>
      </c>
      <c r="L552" s="55" t="s">
        <v>404</v>
      </c>
      <c r="M552" s="55" t="s">
        <v>7634</v>
      </c>
    </row>
    <row r="553" spans="1:13">
      <c r="A553" s="408" t="s">
        <v>1926</v>
      </c>
      <c r="B553" s="106" t="s">
        <v>327</v>
      </c>
      <c r="C553" s="106" t="s">
        <v>473</v>
      </c>
      <c r="D553" s="107" t="s">
        <v>1927</v>
      </c>
      <c r="E553" s="109" t="s">
        <v>355</v>
      </c>
      <c r="F553" s="109" t="s">
        <v>355</v>
      </c>
      <c r="G553" s="55" t="s">
        <v>355</v>
      </c>
      <c r="H553" s="108" t="s">
        <v>402</v>
      </c>
      <c r="I553" s="111" t="s">
        <v>402</v>
      </c>
      <c r="J553" s="111" t="s">
        <v>402</v>
      </c>
      <c r="K553" s="106" t="s">
        <v>403</v>
      </c>
      <c r="L553" s="55" t="s">
        <v>404</v>
      </c>
      <c r="M553" s="55" t="s">
        <v>7634</v>
      </c>
    </row>
    <row r="554" spans="1:13">
      <c r="A554" s="408" t="s">
        <v>1928</v>
      </c>
      <c r="B554" s="106" t="s">
        <v>327</v>
      </c>
      <c r="C554" s="106" t="s">
        <v>473</v>
      </c>
      <c r="D554" s="107" t="s">
        <v>1929</v>
      </c>
      <c r="E554" s="107" t="s">
        <v>1930</v>
      </c>
      <c r="F554" s="107" t="s">
        <v>1931</v>
      </c>
      <c r="G554" s="114" t="s">
        <v>355</v>
      </c>
      <c r="H554" s="108" t="s">
        <v>402</v>
      </c>
      <c r="I554" s="111" t="s">
        <v>402</v>
      </c>
      <c r="J554" s="111" t="s">
        <v>402</v>
      </c>
      <c r="K554" s="106" t="s">
        <v>403</v>
      </c>
      <c r="L554" s="55" t="s">
        <v>404</v>
      </c>
      <c r="M554" s="55" t="s">
        <v>7634</v>
      </c>
    </row>
    <row r="555" spans="1:13">
      <c r="A555" s="408" t="s">
        <v>1932</v>
      </c>
      <c r="B555" s="106" t="s">
        <v>327</v>
      </c>
      <c r="C555" s="106" t="s">
        <v>473</v>
      </c>
      <c r="D555" s="107" t="s">
        <v>1933</v>
      </c>
      <c r="E555" s="109" t="s">
        <v>355</v>
      </c>
      <c r="F555" s="109" t="s">
        <v>355</v>
      </c>
      <c r="G555" s="55" t="s">
        <v>355</v>
      </c>
      <c r="H555" s="108" t="s">
        <v>402</v>
      </c>
      <c r="I555" s="111" t="s">
        <v>402</v>
      </c>
      <c r="J555" s="111" t="s">
        <v>402</v>
      </c>
      <c r="K555" s="106" t="s">
        <v>403</v>
      </c>
      <c r="L555" s="55" t="s">
        <v>404</v>
      </c>
      <c r="M555" s="55" t="s">
        <v>7634</v>
      </c>
    </row>
    <row r="556" spans="1:13">
      <c r="A556" s="408" t="s">
        <v>1934</v>
      </c>
      <c r="B556" s="106" t="s">
        <v>327</v>
      </c>
      <c r="C556" s="106" t="s">
        <v>473</v>
      </c>
      <c r="D556" s="107" t="s">
        <v>1935</v>
      </c>
      <c r="E556" s="109" t="s">
        <v>355</v>
      </c>
      <c r="F556" s="109" t="s">
        <v>355</v>
      </c>
      <c r="G556" s="55" t="s">
        <v>355</v>
      </c>
      <c r="H556" s="108" t="s">
        <v>402</v>
      </c>
      <c r="I556" s="111" t="s">
        <v>402</v>
      </c>
      <c r="J556" s="111" t="s">
        <v>402</v>
      </c>
      <c r="K556" s="106" t="s">
        <v>403</v>
      </c>
      <c r="L556" s="55" t="s">
        <v>404</v>
      </c>
      <c r="M556" s="55" t="s">
        <v>7634</v>
      </c>
    </row>
    <row r="557" spans="1:13">
      <c r="A557" s="408" t="s">
        <v>1936</v>
      </c>
      <c r="B557" s="106" t="s">
        <v>327</v>
      </c>
      <c r="C557" s="106" t="s">
        <v>473</v>
      </c>
      <c r="D557" s="107" t="s">
        <v>1937</v>
      </c>
      <c r="E557" s="109" t="s">
        <v>355</v>
      </c>
      <c r="F557" s="109" t="s">
        <v>355</v>
      </c>
      <c r="G557" s="55" t="s">
        <v>355</v>
      </c>
      <c r="H557" s="108" t="s">
        <v>402</v>
      </c>
      <c r="I557" s="111" t="s">
        <v>402</v>
      </c>
      <c r="J557" s="111" t="s">
        <v>402</v>
      </c>
      <c r="K557" s="106" t="s">
        <v>403</v>
      </c>
      <c r="L557" s="55" t="s">
        <v>404</v>
      </c>
      <c r="M557" s="55" t="s">
        <v>7634</v>
      </c>
    </row>
    <row r="558" spans="1:13">
      <c r="A558" s="408" t="s">
        <v>1938</v>
      </c>
      <c r="B558" s="106" t="s">
        <v>327</v>
      </c>
      <c r="C558" s="106" t="s">
        <v>473</v>
      </c>
      <c r="D558" s="107" t="s">
        <v>1939</v>
      </c>
      <c r="E558" s="109" t="s">
        <v>355</v>
      </c>
      <c r="F558" s="109" t="s">
        <v>355</v>
      </c>
      <c r="G558" s="55" t="s">
        <v>355</v>
      </c>
      <c r="H558" s="108" t="s">
        <v>402</v>
      </c>
      <c r="I558" s="111" t="s">
        <v>402</v>
      </c>
      <c r="J558" s="111" t="s">
        <v>402</v>
      </c>
      <c r="K558" s="106" t="s">
        <v>403</v>
      </c>
      <c r="L558" s="55" t="s">
        <v>404</v>
      </c>
      <c r="M558" s="55" t="s">
        <v>7634</v>
      </c>
    </row>
    <row r="559" spans="1:13">
      <c r="A559" s="408" t="s">
        <v>1940</v>
      </c>
      <c r="B559" s="106" t="s">
        <v>327</v>
      </c>
      <c r="C559" s="106" t="s">
        <v>473</v>
      </c>
      <c r="D559" s="107" t="s">
        <v>1941</v>
      </c>
      <c r="E559" s="109" t="s">
        <v>355</v>
      </c>
      <c r="F559" s="109" t="s">
        <v>355</v>
      </c>
      <c r="G559" s="55" t="s">
        <v>355</v>
      </c>
      <c r="H559" s="108" t="s">
        <v>402</v>
      </c>
      <c r="I559" s="111" t="s">
        <v>402</v>
      </c>
      <c r="J559" s="111" t="s">
        <v>402</v>
      </c>
      <c r="K559" s="106" t="s">
        <v>403</v>
      </c>
      <c r="L559" s="55" t="s">
        <v>404</v>
      </c>
      <c r="M559" s="55" t="s">
        <v>7634</v>
      </c>
    </row>
    <row r="560" spans="1:13">
      <c r="A560" s="408" t="s">
        <v>1942</v>
      </c>
      <c r="B560" s="106" t="s">
        <v>327</v>
      </c>
      <c r="C560" s="106" t="s">
        <v>473</v>
      </c>
      <c r="D560" s="107" t="s">
        <v>1943</v>
      </c>
      <c r="E560" s="109" t="s">
        <v>355</v>
      </c>
      <c r="F560" s="109" t="s">
        <v>355</v>
      </c>
      <c r="G560" s="55" t="s">
        <v>355</v>
      </c>
      <c r="H560" s="108" t="s">
        <v>402</v>
      </c>
      <c r="I560" s="111" t="s">
        <v>402</v>
      </c>
      <c r="J560" s="111" t="s">
        <v>402</v>
      </c>
      <c r="K560" s="106" t="s">
        <v>403</v>
      </c>
      <c r="L560" s="55" t="s">
        <v>404</v>
      </c>
      <c r="M560" s="55" t="s">
        <v>7634</v>
      </c>
    </row>
    <row r="561" spans="1:13">
      <c r="A561" s="408" t="s">
        <v>1944</v>
      </c>
      <c r="B561" s="106" t="s">
        <v>327</v>
      </c>
      <c r="C561" s="106" t="s">
        <v>473</v>
      </c>
      <c r="D561" s="107" t="s">
        <v>1945</v>
      </c>
      <c r="E561" s="109" t="s">
        <v>355</v>
      </c>
      <c r="F561" s="109" t="s">
        <v>355</v>
      </c>
      <c r="G561" s="55" t="s">
        <v>355</v>
      </c>
      <c r="H561" s="108" t="s">
        <v>402</v>
      </c>
      <c r="I561" s="111" t="s">
        <v>402</v>
      </c>
      <c r="J561" s="111" t="s">
        <v>402</v>
      </c>
      <c r="K561" s="106" t="s">
        <v>403</v>
      </c>
      <c r="L561" s="55" t="s">
        <v>404</v>
      </c>
      <c r="M561" s="55" t="s">
        <v>7634</v>
      </c>
    </row>
    <row r="562" spans="1:13">
      <c r="A562" s="408" t="s">
        <v>1946</v>
      </c>
      <c r="B562" s="106" t="s">
        <v>327</v>
      </c>
      <c r="C562" s="106" t="s">
        <v>473</v>
      </c>
      <c r="D562" s="107" t="s">
        <v>1947</v>
      </c>
      <c r="E562" s="109" t="s">
        <v>355</v>
      </c>
      <c r="F562" s="109" t="s">
        <v>355</v>
      </c>
      <c r="G562" s="55" t="s">
        <v>355</v>
      </c>
      <c r="H562" s="108" t="s">
        <v>402</v>
      </c>
      <c r="I562" s="111" t="s">
        <v>402</v>
      </c>
      <c r="J562" s="111" t="s">
        <v>402</v>
      </c>
      <c r="K562" s="106" t="s">
        <v>403</v>
      </c>
      <c r="L562" s="55" t="s">
        <v>404</v>
      </c>
      <c r="M562" s="55" t="s">
        <v>7634</v>
      </c>
    </row>
    <row r="563" spans="1:13">
      <c r="A563" s="408" t="s">
        <v>1948</v>
      </c>
      <c r="B563" s="106" t="s">
        <v>327</v>
      </c>
      <c r="C563" s="106" t="s">
        <v>473</v>
      </c>
      <c r="D563" s="107" t="s">
        <v>1949</v>
      </c>
      <c r="E563" s="109" t="s">
        <v>355</v>
      </c>
      <c r="F563" s="109" t="s">
        <v>355</v>
      </c>
      <c r="G563" s="55" t="s">
        <v>355</v>
      </c>
      <c r="H563" s="108" t="s">
        <v>402</v>
      </c>
      <c r="I563" s="111" t="s">
        <v>402</v>
      </c>
      <c r="J563" s="111" t="s">
        <v>402</v>
      </c>
      <c r="K563" s="106" t="s">
        <v>403</v>
      </c>
      <c r="L563" s="55" t="s">
        <v>404</v>
      </c>
      <c r="M563" s="55" t="s">
        <v>7634</v>
      </c>
    </row>
    <row r="564" spans="1:13">
      <c r="A564" s="408" t="s">
        <v>1950</v>
      </c>
      <c r="B564" s="106" t="s">
        <v>327</v>
      </c>
      <c r="C564" s="106" t="s">
        <v>473</v>
      </c>
      <c r="D564" s="107" t="s">
        <v>1951</v>
      </c>
      <c r="E564" s="109" t="s">
        <v>355</v>
      </c>
      <c r="F564" s="109" t="s">
        <v>355</v>
      </c>
      <c r="G564" s="55" t="s">
        <v>355</v>
      </c>
      <c r="H564" s="108" t="s">
        <v>402</v>
      </c>
      <c r="I564" s="111" t="s">
        <v>402</v>
      </c>
      <c r="J564" s="111" t="s">
        <v>402</v>
      </c>
      <c r="K564" s="106" t="s">
        <v>403</v>
      </c>
      <c r="L564" s="55" t="s">
        <v>404</v>
      </c>
      <c r="M564" s="55" t="s">
        <v>7634</v>
      </c>
    </row>
    <row r="565" spans="1:13">
      <c r="A565" s="408" t="s">
        <v>1952</v>
      </c>
      <c r="B565" s="106" t="s">
        <v>327</v>
      </c>
      <c r="C565" s="106" t="s">
        <v>473</v>
      </c>
      <c r="D565" s="107" t="s">
        <v>1953</v>
      </c>
      <c r="E565" s="109" t="s">
        <v>355</v>
      </c>
      <c r="F565" s="109" t="s">
        <v>355</v>
      </c>
      <c r="G565" s="55" t="s">
        <v>355</v>
      </c>
      <c r="H565" s="108" t="s">
        <v>402</v>
      </c>
      <c r="I565" s="111" t="s">
        <v>402</v>
      </c>
      <c r="J565" s="111" t="s">
        <v>402</v>
      </c>
      <c r="K565" s="106" t="s">
        <v>403</v>
      </c>
      <c r="L565" s="55" t="s">
        <v>404</v>
      </c>
      <c r="M565" s="55" t="s">
        <v>7634</v>
      </c>
    </row>
    <row r="566" spans="1:13">
      <c r="A566" s="408" t="s">
        <v>1954</v>
      </c>
      <c r="B566" s="106" t="s">
        <v>327</v>
      </c>
      <c r="C566" s="106" t="s">
        <v>473</v>
      </c>
      <c r="D566" s="107" t="s">
        <v>1955</v>
      </c>
      <c r="E566" s="109" t="s">
        <v>355</v>
      </c>
      <c r="F566" s="109" t="s">
        <v>355</v>
      </c>
      <c r="G566" s="55" t="s">
        <v>355</v>
      </c>
      <c r="H566" s="108" t="s">
        <v>402</v>
      </c>
      <c r="I566" s="111" t="s">
        <v>402</v>
      </c>
      <c r="J566" s="111" t="s">
        <v>402</v>
      </c>
      <c r="K566" s="106" t="s">
        <v>403</v>
      </c>
      <c r="L566" s="55" t="s">
        <v>404</v>
      </c>
      <c r="M566" s="55" t="s">
        <v>7634</v>
      </c>
    </row>
    <row r="567" spans="1:13">
      <c r="A567" s="408" t="s">
        <v>1956</v>
      </c>
      <c r="B567" s="106" t="s">
        <v>327</v>
      </c>
      <c r="C567" s="106" t="s">
        <v>473</v>
      </c>
      <c r="D567" s="107" t="s">
        <v>1957</v>
      </c>
      <c r="E567" s="109" t="s">
        <v>355</v>
      </c>
      <c r="F567" s="109" t="s">
        <v>355</v>
      </c>
      <c r="G567" s="55" t="s">
        <v>355</v>
      </c>
      <c r="H567" s="108" t="s">
        <v>402</v>
      </c>
      <c r="I567" s="111" t="s">
        <v>402</v>
      </c>
      <c r="J567" s="111" t="s">
        <v>402</v>
      </c>
      <c r="K567" s="106" t="s">
        <v>403</v>
      </c>
      <c r="L567" s="55" t="s">
        <v>404</v>
      </c>
      <c r="M567" s="55" t="s">
        <v>7634</v>
      </c>
    </row>
    <row r="568" spans="1:13">
      <c r="A568" s="408" t="s">
        <v>1958</v>
      </c>
      <c r="B568" s="106" t="s">
        <v>327</v>
      </c>
      <c r="C568" s="106" t="s">
        <v>473</v>
      </c>
      <c r="D568" s="107" t="s">
        <v>1959</v>
      </c>
      <c r="E568" s="109" t="s">
        <v>355</v>
      </c>
      <c r="F568" s="109" t="s">
        <v>355</v>
      </c>
      <c r="G568" s="55" t="s">
        <v>355</v>
      </c>
      <c r="H568" s="108" t="s">
        <v>402</v>
      </c>
      <c r="I568" s="111" t="s">
        <v>402</v>
      </c>
      <c r="J568" s="111" t="s">
        <v>402</v>
      </c>
      <c r="K568" s="106" t="s">
        <v>403</v>
      </c>
      <c r="L568" s="55" t="s">
        <v>404</v>
      </c>
      <c r="M568" s="55" t="s">
        <v>7634</v>
      </c>
    </row>
    <row r="569" spans="1:13">
      <c r="A569" s="408" t="s">
        <v>1960</v>
      </c>
      <c r="B569" s="106" t="s">
        <v>327</v>
      </c>
      <c r="C569" s="106" t="s">
        <v>473</v>
      </c>
      <c r="D569" s="107" t="s">
        <v>1959</v>
      </c>
      <c r="E569" s="109" t="s">
        <v>355</v>
      </c>
      <c r="F569" s="109" t="s">
        <v>355</v>
      </c>
      <c r="G569" s="55" t="s">
        <v>355</v>
      </c>
      <c r="H569" s="108" t="s">
        <v>402</v>
      </c>
      <c r="I569" s="111" t="s">
        <v>402</v>
      </c>
      <c r="J569" s="111" t="s">
        <v>402</v>
      </c>
      <c r="K569" s="106" t="s">
        <v>403</v>
      </c>
      <c r="L569" s="55" t="s">
        <v>404</v>
      </c>
      <c r="M569" s="55" t="s">
        <v>7634</v>
      </c>
    </row>
    <row r="570" spans="1:13">
      <c r="A570" s="408" t="s">
        <v>1961</v>
      </c>
      <c r="B570" s="106" t="s">
        <v>327</v>
      </c>
      <c r="C570" s="106" t="s">
        <v>473</v>
      </c>
      <c r="D570" s="107" t="s">
        <v>1957</v>
      </c>
      <c r="E570" s="109" t="s">
        <v>355</v>
      </c>
      <c r="F570" s="109" t="s">
        <v>355</v>
      </c>
      <c r="G570" s="55" t="s">
        <v>355</v>
      </c>
      <c r="H570" s="108" t="s">
        <v>402</v>
      </c>
      <c r="I570" s="111" t="s">
        <v>402</v>
      </c>
      <c r="J570" s="111" t="s">
        <v>402</v>
      </c>
      <c r="K570" s="106" t="s">
        <v>403</v>
      </c>
      <c r="L570" s="55" t="s">
        <v>404</v>
      </c>
      <c r="M570" s="55" t="s">
        <v>7634</v>
      </c>
    </row>
    <row r="571" spans="1:13">
      <c r="A571" s="408" t="s">
        <v>1962</v>
      </c>
      <c r="B571" s="106" t="s">
        <v>327</v>
      </c>
      <c r="C571" s="106" t="s">
        <v>473</v>
      </c>
      <c r="D571" s="107" t="s">
        <v>1963</v>
      </c>
      <c r="E571" s="109" t="s">
        <v>355</v>
      </c>
      <c r="F571" s="109" t="s">
        <v>355</v>
      </c>
      <c r="G571" s="55" t="s">
        <v>355</v>
      </c>
      <c r="H571" s="108" t="s">
        <v>402</v>
      </c>
      <c r="I571" s="111" t="s">
        <v>402</v>
      </c>
      <c r="J571" s="111" t="s">
        <v>402</v>
      </c>
      <c r="K571" s="106" t="s">
        <v>403</v>
      </c>
      <c r="L571" s="55" t="s">
        <v>404</v>
      </c>
      <c r="M571" s="55" t="s">
        <v>7634</v>
      </c>
    </row>
    <row r="572" spans="1:13">
      <c r="A572" s="408" t="s">
        <v>1964</v>
      </c>
      <c r="B572" s="106" t="s">
        <v>327</v>
      </c>
      <c r="C572" s="106" t="s">
        <v>473</v>
      </c>
      <c r="D572" s="107" t="s">
        <v>1963</v>
      </c>
      <c r="E572" s="109" t="s">
        <v>355</v>
      </c>
      <c r="F572" s="109" t="s">
        <v>355</v>
      </c>
      <c r="G572" s="55" t="s">
        <v>355</v>
      </c>
      <c r="H572" s="108" t="s">
        <v>402</v>
      </c>
      <c r="I572" s="111" t="s">
        <v>402</v>
      </c>
      <c r="J572" s="111" t="s">
        <v>402</v>
      </c>
      <c r="K572" s="106" t="s">
        <v>403</v>
      </c>
      <c r="L572" s="55" t="s">
        <v>404</v>
      </c>
      <c r="M572" s="55" t="s">
        <v>7634</v>
      </c>
    </row>
    <row r="573" spans="1:13">
      <c r="A573" s="408" t="s">
        <v>1965</v>
      </c>
      <c r="B573" s="106" t="s">
        <v>327</v>
      </c>
      <c r="C573" s="106" t="s">
        <v>473</v>
      </c>
      <c r="D573" s="107" t="s">
        <v>1966</v>
      </c>
      <c r="E573" s="109" t="s">
        <v>355</v>
      </c>
      <c r="F573" s="109" t="s">
        <v>355</v>
      </c>
      <c r="G573" s="55" t="s">
        <v>355</v>
      </c>
      <c r="H573" s="108" t="s">
        <v>402</v>
      </c>
      <c r="I573" s="111" t="s">
        <v>402</v>
      </c>
      <c r="J573" s="111" t="s">
        <v>402</v>
      </c>
      <c r="K573" s="106" t="s">
        <v>403</v>
      </c>
      <c r="L573" s="55" t="s">
        <v>404</v>
      </c>
      <c r="M573" s="55" t="s">
        <v>7634</v>
      </c>
    </row>
    <row r="574" spans="1:13">
      <c r="A574" s="408" t="s">
        <v>1967</v>
      </c>
      <c r="B574" s="106" t="s">
        <v>327</v>
      </c>
      <c r="C574" s="106" t="s">
        <v>473</v>
      </c>
      <c r="D574" s="107" t="s">
        <v>1968</v>
      </c>
      <c r="E574" s="109" t="s">
        <v>355</v>
      </c>
      <c r="F574" s="109" t="s">
        <v>355</v>
      </c>
      <c r="G574" s="55" t="s">
        <v>355</v>
      </c>
      <c r="H574" s="108" t="s">
        <v>402</v>
      </c>
      <c r="I574" s="111" t="s">
        <v>402</v>
      </c>
      <c r="J574" s="111" t="s">
        <v>402</v>
      </c>
      <c r="K574" s="106" t="s">
        <v>403</v>
      </c>
      <c r="L574" s="55" t="s">
        <v>404</v>
      </c>
      <c r="M574" s="55" t="s">
        <v>7634</v>
      </c>
    </row>
    <row r="575" spans="1:13">
      <c r="A575" s="408" t="s">
        <v>1969</v>
      </c>
      <c r="B575" s="106" t="s">
        <v>327</v>
      </c>
      <c r="C575" s="106" t="s">
        <v>473</v>
      </c>
      <c r="D575" s="107" t="s">
        <v>1970</v>
      </c>
      <c r="E575" s="109" t="s">
        <v>355</v>
      </c>
      <c r="F575" s="109" t="s">
        <v>355</v>
      </c>
      <c r="G575" s="55" t="s">
        <v>355</v>
      </c>
      <c r="H575" s="108" t="s">
        <v>402</v>
      </c>
      <c r="I575" s="111" t="s">
        <v>402</v>
      </c>
      <c r="J575" s="111" t="s">
        <v>402</v>
      </c>
      <c r="K575" s="106" t="s">
        <v>403</v>
      </c>
      <c r="L575" s="55" t="s">
        <v>404</v>
      </c>
      <c r="M575" s="55" t="s">
        <v>7634</v>
      </c>
    </row>
    <row r="576" spans="1:13">
      <c r="A576" s="408" t="s">
        <v>1971</v>
      </c>
      <c r="B576" s="106" t="s">
        <v>327</v>
      </c>
      <c r="C576" s="106" t="s">
        <v>473</v>
      </c>
      <c r="D576" s="107" t="s">
        <v>1972</v>
      </c>
      <c r="E576" s="109" t="s">
        <v>355</v>
      </c>
      <c r="F576" s="109" t="s">
        <v>355</v>
      </c>
      <c r="G576" s="55" t="s">
        <v>355</v>
      </c>
      <c r="H576" s="108" t="s">
        <v>402</v>
      </c>
      <c r="I576" s="111" t="s">
        <v>402</v>
      </c>
      <c r="J576" s="111" t="s">
        <v>402</v>
      </c>
      <c r="K576" s="106" t="s">
        <v>403</v>
      </c>
      <c r="L576" s="55" t="s">
        <v>404</v>
      </c>
      <c r="M576" s="55" t="s">
        <v>7634</v>
      </c>
    </row>
    <row r="577" spans="1:13">
      <c r="A577" s="408" t="s">
        <v>1973</v>
      </c>
      <c r="B577" s="106" t="s">
        <v>327</v>
      </c>
      <c r="C577" s="106" t="s">
        <v>473</v>
      </c>
      <c r="D577" s="107" t="s">
        <v>1974</v>
      </c>
      <c r="E577" s="109" t="s">
        <v>355</v>
      </c>
      <c r="F577" s="109" t="s">
        <v>355</v>
      </c>
      <c r="G577" s="55" t="s">
        <v>355</v>
      </c>
      <c r="H577" s="108" t="s">
        <v>402</v>
      </c>
      <c r="I577" s="111" t="s">
        <v>402</v>
      </c>
      <c r="J577" s="111" t="s">
        <v>402</v>
      </c>
      <c r="K577" s="106" t="s">
        <v>403</v>
      </c>
      <c r="L577" s="55" t="s">
        <v>404</v>
      </c>
      <c r="M577" s="55" t="s">
        <v>7634</v>
      </c>
    </row>
    <row r="578" spans="1:13">
      <c r="A578" s="408" t="s">
        <v>1975</v>
      </c>
      <c r="B578" s="106" t="s">
        <v>327</v>
      </c>
      <c r="C578" s="106" t="s">
        <v>473</v>
      </c>
      <c r="D578" s="107" t="s">
        <v>1976</v>
      </c>
      <c r="E578" s="109" t="s">
        <v>355</v>
      </c>
      <c r="F578" s="109" t="s">
        <v>355</v>
      </c>
      <c r="G578" s="55" t="s">
        <v>355</v>
      </c>
      <c r="H578" s="108" t="s">
        <v>402</v>
      </c>
      <c r="I578" s="111" t="s">
        <v>402</v>
      </c>
      <c r="J578" s="111" t="s">
        <v>402</v>
      </c>
      <c r="K578" s="106" t="s">
        <v>403</v>
      </c>
      <c r="L578" s="55" t="s">
        <v>404</v>
      </c>
      <c r="M578" s="55" t="s">
        <v>7634</v>
      </c>
    </row>
    <row r="579" spans="1:13">
      <c r="A579" s="408" t="s">
        <v>1977</v>
      </c>
      <c r="B579" s="106" t="s">
        <v>327</v>
      </c>
      <c r="C579" s="106" t="s">
        <v>473</v>
      </c>
      <c r="D579" s="107" t="s">
        <v>1978</v>
      </c>
      <c r="E579" s="109" t="s">
        <v>355</v>
      </c>
      <c r="F579" s="109" t="s">
        <v>355</v>
      </c>
      <c r="G579" s="55" t="s">
        <v>355</v>
      </c>
      <c r="H579" s="108" t="s">
        <v>402</v>
      </c>
      <c r="I579" s="111" t="s">
        <v>402</v>
      </c>
      <c r="J579" s="111" t="s">
        <v>402</v>
      </c>
      <c r="K579" s="106" t="s">
        <v>403</v>
      </c>
      <c r="L579" s="55" t="s">
        <v>404</v>
      </c>
      <c r="M579" s="55" t="s">
        <v>7634</v>
      </c>
    </row>
    <row r="580" spans="1:13">
      <c r="A580" s="408" t="s">
        <v>1979</v>
      </c>
      <c r="B580" s="106" t="s">
        <v>327</v>
      </c>
      <c r="C580" s="106" t="s">
        <v>473</v>
      </c>
      <c r="D580" s="107" t="s">
        <v>1980</v>
      </c>
      <c r="E580" s="109" t="s">
        <v>355</v>
      </c>
      <c r="F580" s="109" t="s">
        <v>355</v>
      </c>
      <c r="G580" s="55" t="s">
        <v>355</v>
      </c>
      <c r="H580" s="108" t="s">
        <v>402</v>
      </c>
      <c r="I580" s="111" t="s">
        <v>402</v>
      </c>
      <c r="J580" s="111" t="s">
        <v>402</v>
      </c>
      <c r="K580" s="106" t="s">
        <v>403</v>
      </c>
      <c r="L580" s="55" t="s">
        <v>404</v>
      </c>
      <c r="M580" s="55" t="s">
        <v>7634</v>
      </c>
    </row>
    <row r="581" spans="1:13">
      <c r="A581" s="408" t="s">
        <v>1981</v>
      </c>
      <c r="B581" s="106" t="s">
        <v>327</v>
      </c>
      <c r="C581" s="106" t="s">
        <v>473</v>
      </c>
      <c r="D581" s="107" t="s">
        <v>1982</v>
      </c>
      <c r="E581" s="109" t="s">
        <v>355</v>
      </c>
      <c r="F581" s="109" t="s">
        <v>355</v>
      </c>
      <c r="G581" s="55" t="s">
        <v>355</v>
      </c>
      <c r="H581" s="108" t="s">
        <v>402</v>
      </c>
      <c r="I581" s="111" t="s">
        <v>402</v>
      </c>
      <c r="J581" s="111" t="s">
        <v>402</v>
      </c>
      <c r="K581" s="106" t="s">
        <v>403</v>
      </c>
      <c r="L581" s="55" t="s">
        <v>404</v>
      </c>
      <c r="M581" s="55" t="s">
        <v>7634</v>
      </c>
    </row>
    <row r="582" spans="1:13">
      <c r="A582" s="408" t="s">
        <v>1983</v>
      </c>
      <c r="B582" s="106" t="s">
        <v>327</v>
      </c>
      <c r="C582" s="106" t="s">
        <v>473</v>
      </c>
      <c r="D582" s="107" t="s">
        <v>1984</v>
      </c>
      <c r="E582" s="109" t="s">
        <v>355</v>
      </c>
      <c r="F582" s="109" t="s">
        <v>355</v>
      </c>
      <c r="G582" s="55" t="s">
        <v>355</v>
      </c>
      <c r="H582" s="108" t="s">
        <v>402</v>
      </c>
      <c r="I582" s="111" t="s">
        <v>402</v>
      </c>
      <c r="J582" s="111" t="s">
        <v>402</v>
      </c>
      <c r="K582" s="106" t="s">
        <v>403</v>
      </c>
      <c r="L582" s="55" t="s">
        <v>404</v>
      </c>
      <c r="M582" s="55" t="s">
        <v>7634</v>
      </c>
    </row>
    <row r="583" spans="1:13">
      <c r="A583" s="408" t="s">
        <v>1985</v>
      </c>
      <c r="B583" s="106" t="s">
        <v>327</v>
      </c>
      <c r="C583" s="106" t="s">
        <v>473</v>
      </c>
      <c r="D583" s="107" t="s">
        <v>1986</v>
      </c>
      <c r="E583" s="109" t="s">
        <v>355</v>
      </c>
      <c r="F583" s="109" t="s">
        <v>355</v>
      </c>
      <c r="G583" s="55" t="s">
        <v>355</v>
      </c>
      <c r="H583" s="108" t="s">
        <v>402</v>
      </c>
      <c r="I583" s="111" t="s">
        <v>402</v>
      </c>
      <c r="J583" s="111" t="s">
        <v>402</v>
      </c>
      <c r="K583" s="106" t="s">
        <v>403</v>
      </c>
      <c r="L583" s="55" t="s">
        <v>404</v>
      </c>
      <c r="M583" s="55" t="s">
        <v>7634</v>
      </c>
    </row>
    <row r="584" spans="1:13">
      <c r="A584" s="408" t="s">
        <v>1987</v>
      </c>
      <c r="B584" s="106" t="s">
        <v>327</v>
      </c>
      <c r="C584" s="106" t="s">
        <v>473</v>
      </c>
      <c r="D584" s="107" t="s">
        <v>1988</v>
      </c>
      <c r="E584" s="109" t="s">
        <v>355</v>
      </c>
      <c r="F584" s="109" t="s">
        <v>355</v>
      </c>
      <c r="G584" s="55" t="s">
        <v>355</v>
      </c>
      <c r="H584" s="108" t="s">
        <v>402</v>
      </c>
      <c r="I584" s="111" t="s">
        <v>402</v>
      </c>
      <c r="J584" s="111" t="s">
        <v>402</v>
      </c>
      <c r="K584" s="106" t="s">
        <v>403</v>
      </c>
      <c r="L584" s="55" t="s">
        <v>404</v>
      </c>
      <c r="M584" s="55" t="s">
        <v>7634</v>
      </c>
    </row>
    <row r="585" spans="1:13">
      <c r="A585" s="408" t="s">
        <v>1989</v>
      </c>
      <c r="B585" s="106" t="s">
        <v>327</v>
      </c>
      <c r="C585" s="106" t="s">
        <v>473</v>
      </c>
      <c r="D585" s="107" t="s">
        <v>1990</v>
      </c>
      <c r="E585" s="109" t="s">
        <v>355</v>
      </c>
      <c r="F585" s="109" t="s">
        <v>355</v>
      </c>
      <c r="G585" s="55" t="s">
        <v>355</v>
      </c>
      <c r="H585" s="108" t="s">
        <v>402</v>
      </c>
      <c r="I585" s="111" t="s">
        <v>402</v>
      </c>
      <c r="J585" s="111" t="s">
        <v>402</v>
      </c>
      <c r="K585" s="106" t="s">
        <v>403</v>
      </c>
      <c r="L585" s="55" t="s">
        <v>404</v>
      </c>
      <c r="M585" s="55" t="s">
        <v>7634</v>
      </c>
    </row>
    <row r="586" spans="1:13">
      <c r="A586" s="401" t="s">
        <v>1991</v>
      </c>
      <c r="B586" s="106" t="s">
        <v>327</v>
      </c>
      <c r="C586" s="106" t="s">
        <v>473</v>
      </c>
      <c r="D586" s="109" t="s">
        <v>1992</v>
      </c>
      <c r="E586" s="109" t="s">
        <v>1886</v>
      </c>
      <c r="F586" s="109" t="s">
        <v>1993</v>
      </c>
      <c r="G586" s="117" t="s">
        <v>383</v>
      </c>
      <c r="H586" s="115" t="s">
        <v>402</v>
      </c>
      <c r="I586" s="111" t="s">
        <v>402</v>
      </c>
      <c r="J586" s="111" t="s">
        <v>402</v>
      </c>
      <c r="K586" s="106" t="s">
        <v>403</v>
      </c>
      <c r="L586" s="55" t="s">
        <v>404</v>
      </c>
      <c r="M586" s="55" t="s">
        <v>1173</v>
      </c>
    </row>
    <row r="587" spans="1:13">
      <c r="A587" s="408" t="s">
        <v>1994</v>
      </c>
      <c r="B587" s="106" t="s">
        <v>327</v>
      </c>
      <c r="C587" s="106" t="s">
        <v>473</v>
      </c>
      <c r="D587" s="107" t="s">
        <v>1995</v>
      </c>
      <c r="E587" s="109" t="s">
        <v>355</v>
      </c>
      <c r="F587" s="109" t="s">
        <v>355</v>
      </c>
      <c r="G587" s="55" t="s">
        <v>355</v>
      </c>
      <c r="H587" s="108" t="s">
        <v>402</v>
      </c>
      <c r="I587" s="111" t="s">
        <v>402</v>
      </c>
      <c r="J587" s="111" t="s">
        <v>402</v>
      </c>
      <c r="K587" s="106" t="s">
        <v>403</v>
      </c>
      <c r="L587" s="55" t="s">
        <v>404</v>
      </c>
      <c r="M587" s="55" t="s">
        <v>7634</v>
      </c>
    </row>
    <row r="588" spans="1:13">
      <c r="A588" s="408" t="s">
        <v>1996</v>
      </c>
      <c r="B588" s="106" t="s">
        <v>327</v>
      </c>
      <c r="C588" s="106" t="s">
        <v>473</v>
      </c>
      <c r="D588" s="107" t="s">
        <v>1997</v>
      </c>
      <c r="E588" s="109" t="s">
        <v>355</v>
      </c>
      <c r="F588" s="109" t="s">
        <v>355</v>
      </c>
      <c r="G588" s="55" t="s">
        <v>355</v>
      </c>
      <c r="H588" s="108" t="s">
        <v>402</v>
      </c>
      <c r="I588" s="111" t="s">
        <v>402</v>
      </c>
      <c r="J588" s="111" t="s">
        <v>402</v>
      </c>
      <c r="K588" s="106" t="s">
        <v>403</v>
      </c>
      <c r="L588" s="55" t="s">
        <v>404</v>
      </c>
      <c r="M588" s="55" t="s">
        <v>7634</v>
      </c>
    </row>
    <row r="589" spans="1:13">
      <c r="A589" s="408" t="s">
        <v>1998</v>
      </c>
      <c r="B589" s="106" t="s">
        <v>327</v>
      </c>
      <c r="C589" s="106" t="s">
        <v>473</v>
      </c>
      <c r="D589" s="107" t="s">
        <v>1999</v>
      </c>
      <c r="E589" s="109" t="s">
        <v>355</v>
      </c>
      <c r="F589" s="109" t="s">
        <v>355</v>
      </c>
      <c r="G589" s="55" t="s">
        <v>355</v>
      </c>
      <c r="H589" s="108" t="s">
        <v>402</v>
      </c>
      <c r="I589" s="111" t="s">
        <v>402</v>
      </c>
      <c r="J589" s="111" t="s">
        <v>402</v>
      </c>
      <c r="K589" s="106" t="s">
        <v>403</v>
      </c>
      <c r="L589" s="55" t="s">
        <v>404</v>
      </c>
      <c r="M589" s="55" t="s">
        <v>7634</v>
      </c>
    </row>
    <row r="590" spans="1:13">
      <c r="A590" s="408" t="s">
        <v>2000</v>
      </c>
      <c r="B590" s="106" t="s">
        <v>327</v>
      </c>
      <c r="C590" s="106" t="s">
        <v>473</v>
      </c>
      <c r="D590" s="107" t="s">
        <v>2001</v>
      </c>
      <c r="E590" s="109" t="s">
        <v>355</v>
      </c>
      <c r="F590" s="109" t="s">
        <v>355</v>
      </c>
      <c r="G590" s="55" t="s">
        <v>355</v>
      </c>
      <c r="H590" s="108" t="s">
        <v>402</v>
      </c>
      <c r="I590" s="111" t="s">
        <v>402</v>
      </c>
      <c r="J590" s="111" t="s">
        <v>402</v>
      </c>
      <c r="K590" s="106" t="s">
        <v>403</v>
      </c>
      <c r="L590" s="55" t="s">
        <v>404</v>
      </c>
      <c r="M590" s="55" t="s">
        <v>7634</v>
      </c>
    </row>
    <row r="591" spans="1:13">
      <c r="A591" s="408" t="s">
        <v>2002</v>
      </c>
      <c r="B591" s="106" t="s">
        <v>327</v>
      </c>
      <c r="C591" s="106" t="s">
        <v>473</v>
      </c>
      <c r="D591" s="107" t="s">
        <v>2003</v>
      </c>
      <c r="E591" s="109" t="s">
        <v>355</v>
      </c>
      <c r="F591" s="109" t="s">
        <v>355</v>
      </c>
      <c r="G591" s="55" t="s">
        <v>355</v>
      </c>
      <c r="H591" s="108" t="s">
        <v>402</v>
      </c>
      <c r="I591" s="111" t="s">
        <v>402</v>
      </c>
      <c r="J591" s="111" t="s">
        <v>402</v>
      </c>
      <c r="K591" s="106" t="s">
        <v>403</v>
      </c>
      <c r="L591" s="55" t="s">
        <v>404</v>
      </c>
      <c r="M591" s="55" t="s">
        <v>7634</v>
      </c>
    </row>
    <row r="592" spans="1:13">
      <c r="A592" s="408" t="s">
        <v>2004</v>
      </c>
      <c r="B592" s="106" t="s">
        <v>327</v>
      </c>
      <c r="C592" s="106" t="s">
        <v>473</v>
      </c>
      <c r="D592" s="107" t="s">
        <v>2003</v>
      </c>
      <c r="E592" s="109" t="s">
        <v>355</v>
      </c>
      <c r="F592" s="109" t="s">
        <v>355</v>
      </c>
      <c r="G592" s="55" t="s">
        <v>355</v>
      </c>
      <c r="H592" s="108" t="s">
        <v>402</v>
      </c>
      <c r="I592" s="111" t="s">
        <v>402</v>
      </c>
      <c r="J592" s="111" t="s">
        <v>402</v>
      </c>
      <c r="K592" s="106" t="s">
        <v>403</v>
      </c>
      <c r="L592" s="55" t="s">
        <v>404</v>
      </c>
      <c r="M592" s="55" t="s">
        <v>7634</v>
      </c>
    </row>
    <row r="593" spans="1:13">
      <c r="A593" s="408" t="s">
        <v>2005</v>
      </c>
      <c r="B593" s="106" t="s">
        <v>327</v>
      </c>
      <c r="C593" s="106" t="s">
        <v>473</v>
      </c>
      <c r="D593" s="107" t="s">
        <v>2006</v>
      </c>
      <c r="E593" s="109" t="s">
        <v>355</v>
      </c>
      <c r="F593" s="109" t="s">
        <v>355</v>
      </c>
      <c r="G593" s="55" t="s">
        <v>355</v>
      </c>
      <c r="H593" s="108" t="s">
        <v>402</v>
      </c>
      <c r="I593" s="111" t="s">
        <v>402</v>
      </c>
      <c r="J593" s="111" t="s">
        <v>402</v>
      </c>
      <c r="K593" s="106" t="s">
        <v>403</v>
      </c>
      <c r="L593" s="55" t="s">
        <v>404</v>
      </c>
      <c r="M593" s="55" t="s">
        <v>7634</v>
      </c>
    </row>
    <row r="594" spans="1:13">
      <c r="A594" s="408" t="s">
        <v>2007</v>
      </c>
      <c r="B594" s="106" t="s">
        <v>327</v>
      </c>
      <c r="C594" s="106" t="s">
        <v>473</v>
      </c>
      <c r="D594" s="107" t="s">
        <v>2008</v>
      </c>
      <c r="E594" s="109" t="s">
        <v>355</v>
      </c>
      <c r="F594" s="109" t="s">
        <v>355</v>
      </c>
      <c r="G594" s="55" t="s">
        <v>355</v>
      </c>
      <c r="H594" s="108" t="s">
        <v>402</v>
      </c>
      <c r="I594" s="111" t="s">
        <v>402</v>
      </c>
      <c r="J594" s="111" t="s">
        <v>402</v>
      </c>
      <c r="K594" s="106" t="s">
        <v>403</v>
      </c>
      <c r="L594" s="55" t="s">
        <v>404</v>
      </c>
      <c r="M594" s="55" t="s">
        <v>7634</v>
      </c>
    </row>
    <row r="595" spans="1:13">
      <c r="A595" s="408" t="s">
        <v>2009</v>
      </c>
      <c r="B595" s="106" t="s">
        <v>327</v>
      </c>
      <c r="C595" s="106" t="s">
        <v>473</v>
      </c>
      <c r="D595" s="107" t="s">
        <v>2010</v>
      </c>
      <c r="E595" s="109" t="s">
        <v>355</v>
      </c>
      <c r="F595" s="109" t="s">
        <v>355</v>
      </c>
      <c r="G595" s="55" t="s">
        <v>355</v>
      </c>
      <c r="H595" s="108" t="s">
        <v>402</v>
      </c>
      <c r="I595" s="111" t="s">
        <v>402</v>
      </c>
      <c r="J595" s="111" t="s">
        <v>402</v>
      </c>
      <c r="K595" s="106" t="s">
        <v>403</v>
      </c>
      <c r="L595" s="55" t="s">
        <v>404</v>
      </c>
      <c r="M595" s="55" t="s">
        <v>7634</v>
      </c>
    </row>
    <row r="596" spans="1:13">
      <c r="A596" s="408" t="s">
        <v>2011</v>
      </c>
      <c r="B596" s="106" t="s">
        <v>327</v>
      </c>
      <c r="C596" s="106" t="s">
        <v>473</v>
      </c>
      <c r="D596" s="107" t="s">
        <v>2012</v>
      </c>
      <c r="E596" s="109" t="s">
        <v>355</v>
      </c>
      <c r="F596" s="109" t="s">
        <v>355</v>
      </c>
      <c r="G596" s="55" t="s">
        <v>355</v>
      </c>
      <c r="H596" s="108" t="s">
        <v>402</v>
      </c>
      <c r="I596" s="111" t="s">
        <v>402</v>
      </c>
      <c r="J596" s="111" t="s">
        <v>402</v>
      </c>
      <c r="K596" s="106" t="s">
        <v>403</v>
      </c>
      <c r="L596" s="55" t="s">
        <v>404</v>
      </c>
      <c r="M596" s="55" t="s">
        <v>7634</v>
      </c>
    </row>
    <row r="597" spans="1:13">
      <c r="A597" s="408" t="s">
        <v>2013</v>
      </c>
      <c r="B597" s="106" t="s">
        <v>327</v>
      </c>
      <c r="C597" s="106" t="s">
        <v>473</v>
      </c>
      <c r="D597" s="107" t="s">
        <v>2012</v>
      </c>
      <c r="E597" s="586" t="s">
        <v>2014</v>
      </c>
      <c r="F597" s="586" t="s">
        <v>2015</v>
      </c>
      <c r="G597" s="114"/>
      <c r="H597" s="108" t="s">
        <v>402</v>
      </c>
      <c r="I597" s="111" t="s">
        <v>402</v>
      </c>
      <c r="J597" s="111" t="s">
        <v>402</v>
      </c>
      <c r="K597" s="106" t="s">
        <v>403</v>
      </c>
      <c r="L597" s="55" t="s">
        <v>404</v>
      </c>
      <c r="M597" s="55" t="s">
        <v>7634</v>
      </c>
    </row>
    <row r="598" spans="1:13">
      <c r="A598" s="408" t="s">
        <v>2016</v>
      </c>
      <c r="B598" s="106" t="s">
        <v>327</v>
      </c>
      <c r="C598" s="106" t="s">
        <v>473</v>
      </c>
      <c r="D598" s="107" t="s">
        <v>2017</v>
      </c>
      <c r="E598" s="109" t="s">
        <v>355</v>
      </c>
      <c r="F598" s="109" t="s">
        <v>355</v>
      </c>
      <c r="G598" s="55" t="s">
        <v>355</v>
      </c>
      <c r="H598" s="108" t="s">
        <v>402</v>
      </c>
      <c r="I598" s="111" t="s">
        <v>402</v>
      </c>
      <c r="J598" s="111" t="s">
        <v>402</v>
      </c>
      <c r="K598" s="106" t="s">
        <v>403</v>
      </c>
      <c r="L598" s="55" t="s">
        <v>404</v>
      </c>
      <c r="M598" s="55" t="s">
        <v>7634</v>
      </c>
    </row>
    <row r="599" spans="1:13">
      <c r="A599" s="401" t="s">
        <v>2018</v>
      </c>
      <c r="B599" s="106" t="s">
        <v>327</v>
      </c>
      <c r="C599" s="106" t="s">
        <v>473</v>
      </c>
      <c r="D599" s="109" t="s">
        <v>2019</v>
      </c>
      <c r="E599" s="109" t="s">
        <v>2020</v>
      </c>
      <c r="F599" s="109" t="s">
        <v>2021</v>
      </c>
      <c r="G599" s="117" t="s">
        <v>383</v>
      </c>
      <c r="H599" s="115" t="s">
        <v>402</v>
      </c>
      <c r="I599" s="111" t="s">
        <v>402</v>
      </c>
      <c r="J599" s="111" t="s">
        <v>402</v>
      </c>
      <c r="K599" s="115" t="s">
        <v>403</v>
      </c>
      <c r="L599" s="55" t="s">
        <v>404</v>
      </c>
      <c r="M599" s="113" t="s">
        <v>1173</v>
      </c>
    </row>
    <row r="600" spans="1:13">
      <c r="A600" s="408" t="s">
        <v>2022</v>
      </c>
      <c r="B600" s="106" t="s">
        <v>327</v>
      </c>
      <c r="C600" s="106" t="s">
        <v>473</v>
      </c>
      <c r="D600" s="107" t="s">
        <v>2023</v>
      </c>
      <c r="E600" s="109" t="s">
        <v>355</v>
      </c>
      <c r="F600" s="109" t="s">
        <v>355</v>
      </c>
      <c r="G600" s="55" t="s">
        <v>355</v>
      </c>
      <c r="H600" s="108" t="s">
        <v>402</v>
      </c>
      <c r="I600" s="111" t="s">
        <v>402</v>
      </c>
      <c r="J600" s="111" t="s">
        <v>402</v>
      </c>
      <c r="K600" s="106" t="s">
        <v>403</v>
      </c>
      <c r="L600" s="55" t="s">
        <v>404</v>
      </c>
      <c r="M600" s="55" t="s">
        <v>7634</v>
      </c>
    </row>
    <row r="601" spans="1:13">
      <c r="A601" s="408" t="s">
        <v>2024</v>
      </c>
      <c r="B601" s="106" t="s">
        <v>327</v>
      </c>
      <c r="C601" s="106" t="s">
        <v>473</v>
      </c>
      <c r="D601" s="107" t="s">
        <v>2025</v>
      </c>
      <c r="E601" s="109" t="s">
        <v>355</v>
      </c>
      <c r="F601" s="109" t="s">
        <v>355</v>
      </c>
      <c r="G601" s="55" t="s">
        <v>355</v>
      </c>
      <c r="H601" s="108" t="s">
        <v>402</v>
      </c>
      <c r="I601" s="111" t="s">
        <v>402</v>
      </c>
      <c r="J601" s="111" t="s">
        <v>402</v>
      </c>
      <c r="K601" s="106" t="s">
        <v>403</v>
      </c>
      <c r="L601" s="55" t="s">
        <v>404</v>
      </c>
      <c r="M601" s="55" t="s">
        <v>7634</v>
      </c>
    </row>
    <row r="602" spans="1:13">
      <c r="A602" s="408" t="s">
        <v>2026</v>
      </c>
      <c r="B602" s="106" t="s">
        <v>327</v>
      </c>
      <c r="C602" s="106" t="s">
        <v>473</v>
      </c>
      <c r="D602" s="107" t="s">
        <v>2027</v>
      </c>
      <c r="E602" s="109" t="s">
        <v>355</v>
      </c>
      <c r="F602" s="109" t="s">
        <v>355</v>
      </c>
      <c r="G602" s="55" t="s">
        <v>355</v>
      </c>
      <c r="H602" s="108" t="s">
        <v>402</v>
      </c>
      <c r="I602" s="111" t="s">
        <v>402</v>
      </c>
      <c r="J602" s="111" t="s">
        <v>402</v>
      </c>
      <c r="K602" s="106" t="s">
        <v>403</v>
      </c>
      <c r="L602" s="55" t="s">
        <v>404</v>
      </c>
      <c r="M602" s="55" t="s">
        <v>7634</v>
      </c>
    </row>
    <row r="603" spans="1:13">
      <c r="A603" s="408" t="s">
        <v>2028</v>
      </c>
      <c r="B603" s="106" t="s">
        <v>327</v>
      </c>
      <c r="C603" s="106" t="s">
        <v>473</v>
      </c>
      <c r="D603" s="107" t="s">
        <v>2029</v>
      </c>
      <c r="E603" s="109" t="s">
        <v>355</v>
      </c>
      <c r="F603" s="109" t="s">
        <v>355</v>
      </c>
      <c r="G603" s="55" t="s">
        <v>355</v>
      </c>
      <c r="H603" s="108" t="s">
        <v>402</v>
      </c>
      <c r="I603" s="111" t="s">
        <v>402</v>
      </c>
      <c r="J603" s="111" t="s">
        <v>402</v>
      </c>
      <c r="K603" s="106" t="s">
        <v>403</v>
      </c>
      <c r="L603" s="55" t="s">
        <v>404</v>
      </c>
      <c r="M603" s="55" t="s">
        <v>7634</v>
      </c>
    </row>
    <row r="604" spans="1:13">
      <c r="A604" s="408" t="s">
        <v>2030</v>
      </c>
      <c r="B604" s="106" t="s">
        <v>327</v>
      </c>
      <c r="C604" s="106" t="s">
        <v>473</v>
      </c>
      <c r="D604" s="107" t="s">
        <v>2031</v>
      </c>
      <c r="E604" s="109" t="s">
        <v>355</v>
      </c>
      <c r="F604" s="109" t="s">
        <v>355</v>
      </c>
      <c r="G604" s="55" t="s">
        <v>355</v>
      </c>
      <c r="H604" s="108" t="s">
        <v>402</v>
      </c>
      <c r="I604" s="111" t="s">
        <v>402</v>
      </c>
      <c r="J604" s="111" t="s">
        <v>402</v>
      </c>
      <c r="K604" s="106" t="s">
        <v>403</v>
      </c>
      <c r="L604" s="55" t="s">
        <v>404</v>
      </c>
      <c r="M604" s="55" t="s">
        <v>7634</v>
      </c>
    </row>
    <row r="605" spans="1:13">
      <c r="A605" s="408" t="s">
        <v>2032</v>
      </c>
      <c r="B605" s="106" t="s">
        <v>327</v>
      </c>
      <c r="C605" s="106" t="s">
        <v>473</v>
      </c>
      <c r="D605" s="107" t="s">
        <v>2033</v>
      </c>
      <c r="E605" s="109" t="s">
        <v>355</v>
      </c>
      <c r="F605" s="109" t="s">
        <v>355</v>
      </c>
      <c r="G605" s="55" t="s">
        <v>355</v>
      </c>
      <c r="H605" s="108" t="s">
        <v>402</v>
      </c>
      <c r="I605" s="111" t="s">
        <v>402</v>
      </c>
      <c r="J605" s="111" t="s">
        <v>402</v>
      </c>
      <c r="K605" s="106" t="s">
        <v>403</v>
      </c>
      <c r="L605" s="55" t="s">
        <v>404</v>
      </c>
      <c r="M605" s="55" t="s">
        <v>7634</v>
      </c>
    </row>
    <row r="606" spans="1:13">
      <c r="A606" s="408" t="s">
        <v>2034</v>
      </c>
      <c r="B606" s="106" t="s">
        <v>327</v>
      </c>
      <c r="C606" s="106" t="s">
        <v>473</v>
      </c>
      <c r="D606" s="107" t="s">
        <v>2035</v>
      </c>
      <c r="E606" s="109" t="s">
        <v>355</v>
      </c>
      <c r="F606" s="109" t="s">
        <v>355</v>
      </c>
      <c r="G606" s="55" t="s">
        <v>355</v>
      </c>
      <c r="H606" s="108" t="s">
        <v>402</v>
      </c>
      <c r="I606" s="111" t="s">
        <v>402</v>
      </c>
      <c r="J606" s="111" t="s">
        <v>402</v>
      </c>
      <c r="K606" s="106" t="s">
        <v>403</v>
      </c>
      <c r="L606" s="55" t="s">
        <v>404</v>
      </c>
      <c r="M606" s="55" t="s">
        <v>7634</v>
      </c>
    </row>
    <row r="607" spans="1:13">
      <c r="A607" s="408" t="s">
        <v>2036</v>
      </c>
      <c r="B607" s="106" t="s">
        <v>327</v>
      </c>
      <c r="C607" s="106" t="s">
        <v>473</v>
      </c>
      <c r="D607" s="107" t="s">
        <v>2037</v>
      </c>
      <c r="E607" s="109" t="s">
        <v>2038</v>
      </c>
      <c r="F607" s="107"/>
      <c r="G607" s="114"/>
      <c r="H607" s="108" t="s">
        <v>402</v>
      </c>
      <c r="I607" s="111" t="s">
        <v>402</v>
      </c>
      <c r="J607" s="111" t="s">
        <v>402</v>
      </c>
      <c r="K607" s="106" t="s">
        <v>403</v>
      </c>
      <c r="L607" s="55" t="s">
        <v>404</v>
      </c>
      <c r="M607" s="55" t="s">
        <v>7634</v>
      </c>
    </row>
    <row r="608" spans="1:13">
      <c r="A608" s="408" t="s">
        <v>2039</v>
      </c>
      <c r="B608" s="106" t="s">
        <v>327</v>
      </c>
      <c r="C608" s="106" t="s">
        <v>473</v>
      </c>
      <c r="D608" s="107" t="s">
        <v>2040</v>
      </c>
      <c r="E608" s="109" t="s">
        <v>355</v>
      </c>
      <c r="F608" s="109" t="s">
        <v>355</v>
      </c>
      <c r="G608" s="55" t="s">
        <v>355</v>
      </c>
      <c r="H608" s="108" t="s">
        <v>402</v>
      </c>
      <c r="I608" s="111" t="s">
        <v>402</v>
      </c>
      <c r="J608" s="111" t="s">
        <v>402</v>
      </c>
      <c r="K608" s="106" t="s">
        <v>403</v>
      </c>
      <c r="L608" s="55" t="s">
        <v>404</v>
      </c>
      <c r="M608" s="55" t="s">
        <v>7634</v>
      </c>
    </row>
    <row r="609" spans="1:13">
      <c r="A609" s="408" t="s">
        <v>2041</v>
      </c>
      <c r="B609" s="106" t="s">
        <v>327</v>
      </c>
      <c r="C609" s="106" t="s">
        <v>473</v>
      </c>
      <c r="D609" s="107" t="s">
        <v>2042</v>
      </c>
      <c r="E609" s="109" t="s">
        <v>355</v>
      </c>
      <c r="F609" s="109" t="s">
        <v>355</v>
      </c>
      <c r="G609" s="55" t="s">
        <v>355</v>
      </c>
      <c r="H609" s="108" t="s">
        <v>402</v>
      </c>
      <c r="I609" s="111" t="s">
        <v>402</v>
      </c>
      <c r="J609" s="111" t="s">
        <v>402</v>
      </c>
      <c r="K609" s="106" t="s">
        <v>403</v>
      </c>
      <c r="L609" s="55" t="s">
        <v>404</v>
      </c>
      <c r="M609" s="55" t="s">
        <v>7634</v>
      </c>
    </row>
    <row r="610" spans="1:13">
      <c r="A610" s="408" t="s">
        <v>2043</v>
      </c>
      <c r="B610" s="106" t="s">
        <v>327</v>
      </c>
      <c r="C610" s="106" t="s">
        <v>473</v>
      </c>
      <c r="D610" s="107" t="s">
        <v>2044</v>
      </c>
      <c r="E610" s="109" t="s">
        <v>355</v>
      </c>
      <c r="F610" s="109" t="s">
        <v>355</v>
      </c>
      <c r="G610" s="55" t="s">
        <v>355</v>
      </c>
      <c r="H610" s="108" t="s">
        <v>402</v>
      </c>
      <c r="I610" s="111" t="s">
        <v>402</v>
      </c>
      <c r="J610" s="111" t="s">
        <v>402</v>
      </c>
      <c r="K610" s="106" t="s">
        <v>403</v>
      </c>
      <c r="L610" s="55" t="s">
        <v>404</v>
      </c>
      <c r="M610" s="55" t="s">
        <v>7634</v>
      </c>
    </row>
    <row r="611" spans="1:13">
      <c r="A611" s="408" t="s">
        <v>2045</v>
      </c>
      <c r="B611" s="106" t="s">
        <v>327</v>
      </c>
      <c r="C611" s="106" t="s">
        <v>473</v>
      </c>
      <c r="D611" s="107" t="s">
        <v>2046</v>
      </c>
      <c r="E611" s="109" t="s">
        <v>355</v>
      </c>
      <c r="F611" s="109" t="s">
        <v>355</v>
      </c>
      <c r="G611" s="55" t="s">
        <v>355</v>
      </c>
      <c r="H611" s="108" t="s">
        <v>402</v>
      </c>
      <c r="I611" s="111" t="s">
        <v>402</v>
      </c>
      <c r="J611" s="111" t="s">
        <v>402</v>
      </c>
      <c r="K611" s="106" t="s">
        <v>403</v>
      </c>
      <c r="L611" s="55" t="s">
        <v>404</v>
      </c>
      <c r="M611" s="55" t="s">
        <v>7634</v>
      </c>
    </row>
    <row r="612" spans="1:13">
      <c r="A612" s="408" t="s">
        <v>2047</v>
      </c>
      <c r="B612" s="106" t="s">
        <v>327</v>
      </c>
      <c r="C612" s="106" t="s">
        <v>473</v>
      </c>
      <c r="D612" s="107" t="s">
        <v>2048</v>
      </c>
      <c r="E612" s="109" t="s">
        <v>355</v>
      </c>
      <c r="F612" s="109" t="s">
        <v>355</v>
      </c>
      <c r="G612" s="55" t="s">
        <v>355</v>
      </c>
      <c r="H612" s="108" t="s">
        <v>402</v>
      </c>
      <c r="I612" s="111" t="s">
        <v>402</v>
      </c>
      <c r="J612" s="111" t="s">
        <v>402</v>
      </c>
      <c r="K612" s="106" t="s">
        <v>403</v>
      </c>
      <c r="L612" s="55" t="s">
        <v>404</v>
      </c>
      <c r="M612" s="55" t="s">
        <v>7634</v>
      </c>
    </row>
    <row r="613" spans="1:13">
      <c r="A613" s="408" t="s">
        <v>2049</v>
      </c>
      <c r="B613" s="106" t="s">
        <v>327</v>
      </c>
      <c r="C613" s="106" t="s">
        <v>473</v>
      </c>
      <c r="D613" s="107" t="s">
        <v>2050</v>
      </c>
      <c r="E613" s="109" t="s">
        <v>355</v>
      </c>
      <c r="F613" s="109" t="s">
        <v>355</v>
      </c>
      <c r="G613" s="55" t="s">
        <v>355</v>
      </c>
      <c r="H613" s="108" t="s">
        <v>402</v>
      </c>
      <c r="I613" s="111" t="s">
        <v>402</v>
      </c>
      <c r="J613" s="111" t="s">
        <v>402</v>
      </c>
      <c r="K613" s="106" t="s">
        <v>403</v>
      </c>
      <c r="L613" s="55" t="s">
        <v>404</v>
      </c>
      <c r="M613" s="55" t="s">
        <v>7634</v>
      </c>
    </row>
    <row r="614" spans="1:13">
      <c r="A614" s="408" t="s">
        <v>2051</v>
      </c>
      <c r="B614" s="106" t="s">
        <v>327</v>
      </c>
      <c r="C614" s="106" t="s">
        <v>473</v>
      </c>
      <c r="D614" s="107" t="s">
        <v>2052</v>
      </c>
      <c r="E614" s="109" t="s">
        <v>355</v>
      </c>
      <c r="F614" s="109" t="s">
        <v>355</v>
      </c>
      <c r="G614" s="55" t="s">
        <v>355</v>
      </c>
      <c r="H614" s="108" t="s">
        <v>402</v>
      </c>
      <c r="I614" s="111" t="s">
        <v>402</v>
      </c>
      <c r="J614" s="111" t="s">
        <v>402</v>
      </c>
      <c r="K614" s="106" t="s">
        <v>403</v>
      </c>
      <c r="L614" s="55" t="s">
        <v>404</v>
      </c>
      <c r="M614" s="55" t="s">
        <v>7634</v>
      </c>
    </row>
    <row r="615" spans="1:13">
      <c r="A615" s="408" t="s">
        <v>2053</v>
      </c>
      <c r="B615" s="106" t="s">
        <v>327</v>
      </c>
      <c r="C615" s="106" t="s">
        <v>473</v>
      </c>
      <c r="D615" s="107" t="s">
        <v>2054</v>
      </c>
      <c r="E615" s="109" t="s">
        <v>355</v>
      </c>
      <c r="F615" s="109" t="s">
        <v>355</v>
      </c>
      <c r="G615" s="55" t="s">
        <v>355</v>
      </c>
      <c r="H615" s="108" t="s">
        <v>402</v>
      </c>
      <c r="I615" s="111" t="s">
        <v>402</v>
      </c>
      <c r="J615" s="111" t="s">
        <v>402</v>
      </c>
      <c r="K615" s="106" t="s">
        <v>403</v>
      </c>
      <c r="L615" s="55" t="s">
        <v>404</v>
      </c>
      <c r="M615" s="55" t="s">
        <v>7634</v>
      </c>
    </row>
    <row r="616" spans="1:13">
      <c r="A616" s="408" t="s">
        <v>2055</v>
      </c>
      <c r="B616" s="106" t="s">
        <v>327</v>
      </c>
      <c r="C616" s="106" t="s">
        <v>473</v>
      </c>
      <c r="D616" s="107" t="s">
        <v>2056</v>
      </c>
      <c r="E616" s="109" t="s">
        <v>355</v>
      </c>
      <c r="F616" s="109" t="s">
        <v>355</v>
      </c>
      <c r="G616" s="55" t="s">
        <v>355</v>
      </c>
      <c r="H616" s="108" t="s">
        <v>402</v>
      </c>
      <c r="I616" s="111" t="s">
        <v>402</v>
      </c>
      <c r="J616" s="111" t="s">
        <v>402</v>
      </c>
      <c r="K616" s="106" t="s">
        <v>403</v>
      </c>
      <c r="L616" s="55" t="s">
        <v>404</v>
      </c>
      <c r="M616" s="55" t="s">
        <v>7634</v>
      </c>
    </row>
    <row r="617" spans="1:13">
      <c r="A617" s="408" t="s">
        <v>2057</v>
      </c>
      <c r="B617" s="106" t="s">
        <v>327</v>
      </c>
      <c r="C617" s="106" t="s">
        <v>473</v>
      </c>
      <c r="D617" s="107" t="s">
        <v>2058</v>
      </c>
      <c r="E617" s="109" t="s">
        <v>355</v>
      </c>
      <c r="F617" s="109" t="s">
        <v>355</v>
      </c>
      <c r="G617" s="55" t="s">
        <v>355</v>
      </c>
      <c r="H617" s="108" t="s">
        <v>402</v>
      </c>
      <c r="I617" s="111" t="s">
        <v>402</v>
      </c>
      <c r="J617" s="111" t="s">
        <v>402</v>
      </c>
      <c r="K617" s="106" t="s">
        <v>403</v>
      </c>
      <c r="L617" s="55" t="s">
        <v>404</v>
      </c>
      <c r="M617" s="55" t="s">
        <v>7634</v>
      </c>
    </row>
    <row r="618" spans="1:13">
      <c r="A618" s="408" t="s">
        <v>2059</v>
      </c>
      <c r="B618" s="106" t="s">
        <v>327</v>
      </c>
      <c r="C618" s="106" t="s">
        <v>473</v>
      </c>
      <c r="D618" s="107" t="s">
        <v>2060</v>
      </c>
      <c r="E618" s="109" t="s">
        <v>355</v>
      </c>
      <c r="F618" s="109" t="s">
        <v>355</v>
      </c>
      <c r="G618" s="55" t="s">
        <v>355</v>
      </c>
      <c r="H618" s="108" t="s">
        <v>402</v>
      </c>
      <c r="I618" s="111" t="s">
        <v>402</v>
      </c>
      <c r="J618" s="111" t="s">
        <v>402</v>
      </c>
      <c r="K618" s="106" t="s">
        <v>403</v>
      </c>
      <c r="L618" s="55" t="s">
        <v>404</v>
      </c>
      <c r="M618" s="55" t="s">
        <v>7634</v>
      </c>
    </row>
    <row r="619" spans="1:13">
      <c r="A619" s="408" t="s">
        <v>2061</v>
      </c>
      <c r="B619" s="106" t="s">
        <v>327</v>
      </c>
      <c r="C619" s="106" t="s">
        <v>473</v>
      </c>
      <c r="D619" s="107" t="s">
        <v>2062</v>
      </c>
      <c r="E619" s="109" t="s">
        <v>355</v>
      </c>
      <c r="F619" s="109" t="s">
        <v>355</v>
      </c>
      <c r="G619" s="55" t="s">
        <v>355</v>
      </c>
      <c r="H619" s="108" t="s">
        <v>402</v>
      </c>
      <c r="I619" s="111" t="s">
        <v>402</v>
      </c>
      <c r="J619" s="111" t="s">
        <v>402</v>
      </c>
      <c r="K619" s="106" t="s">
        <v>403</v>
      </c>
      <c r="L619" s="55" t="s">
        <v>404</v>
      </c>
      <c r="M619" s="55" t="s">
        <v>7634</v>
      </c>
    </row>
    <row r="620" spans="1:13">
      <c r="A620" s="408" t="s">
        <v>2063</v>
      </c>
      <c r="B620" s="106" t="s">
        <v>327</v>
      </c>
      <c r="C620" s="106" t="s">
        <v>473</v>
      </c>
      <c r="D620" s="107" t="s">
        <v>2064</v>
      </c>
      <c r="E620" s="109" t="s">
        <v>355</v>
      </c>
      <c r="F620" s="109" t="s">
        <v>355</v>
      </c>
      <c r="G620" s="55" t="s">
        <v>355</v>
      </c>
      <c r="H620" s="108" t="s">
        <v>402</v>
      </c>
      <c r="I620" s="111" t="s">
        <v>402</v>
      </c>
      <c r="J620" s="111" t="s">
        <v>402</v>
      </c>
      <c r="K620" s="106" t="s">
        <v>403</v>
      </c>
      <c r="L620" s="55" t="s">
        <v>404</v>
      </c>
      <c r="M620" s="55" t="s">
        <v>7634</v>
      </c>
    </row>
    <row r="621" spans="1:13">
      <c r="A621" s="408" t="s">
        <v>2065</v>
      </c>
      <c r="B621" s="106" t="s">
        <v>327</v>
      </c>
      <c r="C621" s="106" t="s">
        <v>473</v>
      </c>
      <c r="D621" s="107" t="s">
        <v>2066</v>
      </c>
      <c r="E621" s="109" t="s">
        <v>355</v>
      </c>
      <c r="F621" s="109" t="s">
        <v>355</v>
      </c>
      <c r="G621" s="55" t="s">
        <v>355</v>
      </c>
      <c r="H621" s="108" t="s">
        <v>402</v>
      </c>
      <c r="I621" s="111" t="s">
        <v>402</v>
      </c>
      <c r="J621" s="111" t="s">
        <v>402</v>
      </c>
      <c r="K621" s="106" t="s">
        <v>403</v>
      </c>
      <c r="L621" s="55" t="s">
        <v>404</v>
      </c>
      <c r="M621" s="55" t="s">
        <v>7634</v>
      </c>
    </row>
    <row r="622" spans="1:13">
      <c r="A622" s="408" t="s">
        <v>2067</v>
      </c>
      <c r="B622" s="106" t="s">
        <v>327</v>
      </c>
      <c r="C622" s="106" t="s">
        <v>473</v>
      </c>
      <c r="D622" s="107" t="s">
        <v>2068</v>
      </c>
      <c r="E622" s="109" t="s">
        <v>355</v>
      </c>
      <c r="F622" s="109" t="s">
        <v>355</v>
      </c>
      <c r="G622" s="55" t="s">
        <v>355</v>
      </c>
      <c r="H622" s="108" t="s">
        <v>402</v>
      </c>
      <c r="I622" s="111" t="s">
        <v>402</v>
      </c>
      <c r="J622" s="111" t="s">
        <v>402</v>
      </c>
      <c r="K622" s="106" t="s">
        <v>403</v>
      </c>
      <c r="L622" s="55" t="s">
        <v>404</v>
      </c>
      <c r="M622" s="55" t="s">
        <v>7634</v>
      </c>
    </row>
    <row r="623" spans="1:13">
      <c r="A623" s="408" t="s">
        <v>2069</v>
      </c>
      <c r="B623" s="106" t="s">
        <v>327</v>
      </c>
      <c r="C623" s="106" t="s">
        <v>473</v>
      </c>
      <c r="D623" s="107" t="s">
        <v>2070</v>
      </c>
      <c r="E623" s="109" t="s">
        <v>355</v>
      </c>
      <c r="F623" s="109" t="s">
        <v>355</v>
      </c>
      <c r="G623" s="55" t="s">
        <v>355</v>
      </c>
      <c r="H623" s="108" t="s">
        <v>402</v>
      </c>
      <c r="I623" s="111" t="s">
        <v>402</v>
      </c>
      <c r="J623" s="111" t="s">
        <v>402</v>
      </c>
      <c r="K623" s="106" t="s">
        <v>403</v>
      </c>
      <c r="L623" s="55" t="s">
        <v>404</v>
      </c>
      <c r="M623" s="55" t="s">
        <v>7634</v>
      </c>
    </row>
    <row r="624" spans="1:13">
      <c r="A624" s="401" t="s">
        <v>2071</v>
      </c>
      <c r="B624" s="106" t="s">
        <v>327</v>
      </c>
      <c r="C624" s="106" t="s">
        <v>473</v>
      </c>
      <c r="D624" s="109" t="s">
        <v>2072</v>
      </c>
      <c r="E624" s="109" t="s">
        <v>1886</v>
      </c>
      <c r="F624" s="109" t="s">
        <v>2073</v>
      </c>
      <c r="G624" s="114"/>
      <c r="H624" s="115" t="s">
        <v>402</v>
      </c>
      <c r="I624" s="111" t="s">
        <v>402</v>
      </c>
      <c r="J624" s="111" t="s">
        <v>402</v>
      </c>
      <c r="K624" s="115" t="s">
        <v>403</v>
      </c>
      <c r="L624" s="55" t="s">
        <v>404</v>
      </c>
      <c r="M624" s="113" t="s">
        <v>1173</v>
      </c>
    </row>
    <row r="625" spans="1:13">
      <c r="A625" s="408" t="s">
        <v>2074</v>
      </c>
      <c r="B625" s="106" t="s">
        <v>327</v>
      </c>
      <c r="C625" s="106" t="s">
        <v>473</v>
      </c>
      <c r="D625" s="107" t="s">
        <v>2075</v>
      </c>
      <c r="E625" s="109" t="s">
        <v>355</v>
      </c>
      <c r="F625" s="109" t="s">
        <v>355</v>
      </c>
      <c r="G625" s="55" t="s">
        <v>355</v>
      </c>
      <c r="H625" s="108" t="s">
        <v>402</v>
      </c>
      <c r="I625" s="111" t="s">
        <v>402</v>
      </c>
      <c r="J625" s="111" t="s">
        <v>402</v>
      </c>
      <c r="K625" s="106" t="s">
        <v>403</v>
      </c>
      <c r="L625" s="55" t="s">
        <v>404</v>
      </c>
      <c r="M625" s="55" t="s">
        <v>7634</v>
      </c>
    </row>
    <row r="626" spans="1:13">
      <c r="A626" s="408" t="s">
        <v>2076</v>
      </c>
      <c r="B626" s="106" t="s">
        <v>327</v>
      </c>
      <c r="C626" s="106" t="s">
        <v>473</v>
      </c>
      <c r="D626" s="107" t="s">
        <v>2077</v>
      </c>
      <c r="E626" s="109" t="s">
        <v>355</v>
      </c>
      <c r="F626" s="109" t="s">
        <v>355</v>
      </c>
      <c r="G626" s="55" t="s">
        <v>355</v>
      </c>
      <c r="H626" s="108" t="s">
        <v>402</v>
      </c>
      <c r="I626" s="111" t="s">
        <v>402</v>
      </c>
      <c r="J626" s="111" t="s">
        <v>402</v>
      </c>
      <c r="K626" s="106" t="s">
        <v>403</v>
      </c>
      <c r="L626" s="55" t="s">
        <v>404</v>
      </c>
      <c r="M626" s="55" t="s">
        <v>7634</v>
      </c>
    </row>
    <row r="627" spans="1:13">
      <c r="A627" s="408" t="s">
        <v>2078</v>
      </c>
      <c r="B627" s="106" t="s">
        <v>327</v>
      </c>
      <c r="C627" s="106" t="s">
        <v>473</v>
      </c>
      <c r="D627" s="107" t="s">
        <v>2079</v>
      </c>
      <c r="E627" s="109" t="s">
        <v>355</v>
      </c>
      <c r="F627" s="109" t="s">
        <v>355</v>
      </c>
      <c r="G627" s="55" t="s">
        <v>355</v>
      </c>
      <c r="H627" s="108" t="s">
        <v>402</v>
      </c>
      <c r="I627" s="111" t="s">
        <v>402</v>
      </c>
      <c r="J627" s="111" t="s">
        <v>402</v>
      </c>
      <c r="K627" s="106" t="s">
        <v>403</v>
      </c>
      <c r="L627" s="55" t="s">
        <v>404</v>
      </c>
      <c r="M627" s="55" t="s">
        <v>7634</v>
      </c>
    </row>
    <row r="628" spans="1:13">
      <c r="A628" s="408" t="s">
        <v>2080</v>
      </c>
      <c r="B628" s="106" t="s">
        <v>327</v>
      </c>
      <c r="C628" s="106" t="s">
        <v>473</v>
      </c>
      <c r="D628" s="107" t="s">
        <v>2081</v>
      </c>
      <c r="E628" s="109" t="s">
        <v>355</v>
      </c>
      <c r="F628" s="109" t="s">
        <v>355</v>
      </c>
      <c r="G628" s="55" t="s">
        <v>355</v>
      </c>
      <c r="H628" s="108" t="s">
        <v>402</v>
      </c>
      <c r="I628" s="111" t="s">
        <v>402</v>
      </c>
      <c r="J628" s="111" t="s">
        <v>402</v>
      </c>
      <c r="K628" s="106" t="s">
        <v>403</v>
      </c>
      <c r="L628" s="55" t="s">
        <v>404</v>
      </c>
      <c r="M628" s="55" t="s">
        <v>7634</v>
      </c>
    </row>
    <row r="629" spans="1:13">
      <c r="A629" s="408" t="s">
        <v>2082</v>
      </c>
      <c r="B629" s="106" t="s">
        <v>327</v>
      </c>
      <c r="C629" s="106" t="s">
        <v>473</v>
      </c>
      <c r="D629" s="107" t="s">
        <v>2083</v>
      </c>
      <c r="E629" s="109" t="s">
        <v>355</v>
      </c>
      <c r="F629" s="109" t="s">
        <v>355</v>
      </c>
      <c r="G629" s="55" t="s">
        <v>355</v>
      </c>
      <c r="H629" s="108" t="s">
        <v>402</v>
      </c>
      <c r="I629" s="111" t="s">
        <v>402</v>
      </c>
      <c r="J629" s="111" t="s">
        <v>402</v>
      </c>
      <c r="K629" s="106" t="s">
        <v>403</v>
      </c>
      <c r="L629" s="55" t="s">
        <v>404</v>
      </c>
      <c r="M629" s="55" t="s">
        <v>7634</v>
      </c>
    </row>
    <row r="630" spans="1:13">
      <c r="A630" s="408" t="s">
        <v>2084</v>
      </c>
      <c r="B630" s="106" t="s">
        <v>327</v>
      </c>
      <c r="C630" s="106" t="s">
        <v>473</v>
      </c>
      <c r="D630" s="107" t="s">
        <v>2085</v>
      </c>
      <c r="E630" s="109" t="s">
        <v>355</v>
      </c>
      <c r="F630" s="109" t="s">
        <v>355</v>
      </c>
      <c r="G630" s="55" t="s">
        <v>355</v>
      </c>
      <c r="H630" s="108" t="s">
        <v>402</v>
      </c>
      <c r="I630" s="111" t="s">
        <v>402</v>
      </c>
      <c r="J630" s="111" t="s">
        <v>402</v>
      </c>
      <c r="K630" s="106" t="s">
        <v>403</v>
      </c>
      <c r="L630" s="55" t="s">
        <v>404</v>
      </c>
      <c r="M630" s="55" t="s">
        <v>7634</v>
      </c>
    </row>
    <row r="631" spans="1:13">
      <c r="A631" s="408" t="s">
        <v>2086</v>
      </c>
      <c r="B631" s="106" t="s">
        <v>327</v>
      </c>
      <c r="C631" s="106" t="s">
        <v>473</v>
      </c>
      <c r="D631" s="107" t="s">
        <v>2087</v>
      </c>
      <c r="E631" s="109" t="s">
        <v>355</v>
      </c>
      <c r="F631" s="109" t="s">
        <v>355</v>
      </c>
      <c r="G631" s="55" t="s">
        <v>355</v>
      </c>
      <c r="H631" s="108" t="s">
        <v>402</v>
      </c>
      <c r="I631" s="111" t="s">
        <v>402</v>
      </c>
      <c r="J631" s="111" t="s">
        <v>402</v>
      </c>
      <c r="K631" s="106" t="s">
        <v>403</v>
      </c>
      <c r="L631" s="55" t="s">
        <v>404</v>
      </c>
      <c r="M631" s="55" t="s">
        <v>7634</v>
      </c>
    </row>
    <row r="632" spans="1:13">
      <c r="A632" s="408" t="s">
        <v>2088</v>
      </c>
      <c r="B632" s="106" t="s">
        <v>327</v>
      </c>
      <c r="C632" s="106" t="s">
        <v>473</v>
      </c>
      <c r="D632" s="107" t="s">
        <v>2089</v>
      </c>
      <c r="E632" s="109" t="s">
        <v>355</v>
      </c>
      <c r="F632" s="109" t="s">
        <v>355</v>
      </c>
      <c r="G632" s="55" t="s">
        <v>355</v>
      </c>
      <c r="H632" s="108" t="s">
        <v>402</v>
      </c>
      <c r="I632" s="111" t="s">
        <v>402</v>
      </c>
      <c r="J632" s="111" t="s">
        <v>402</v>
      </c>
      <c r="K632" s="106" t="s">
        <v>403</v>
      </c>
      <c r="L632" s="55" t="s">
        <v>404</v>
      </c>
      <c r="M632" s="55" t="s">
        <v>7634</v>
      </c>
    </row>
    <row r="633" spans="1:13">
      <c r="A633" s="408" t="s">
        <v>2090</v>
      </c>
      <c r="B633" s="106" t="s">
        <v>327</v>
      </c>
      <c r="C633" s="106" t="s">
        <v>473</v>
      </c>
      <c r="D633" s="107" t="s">
        <v>2091</v>
      </c>
      <c r="E633" s="109" t="s">
        <v>355</v>
      </c>
      <c r="F633" s="109" t="s">
        <v>355</v>
      </c>
      <c r="G633" s="55" t="s">
        <v>355</v>
      </c>
      <c r="H633" s="108" t="s">
        <v>402</v>
      </c>
      <c r="I633" s="111" t="s">
        <v>402</v>
      </c>
      <c r="J633" s="111" t="s">
        <v>402</v>
      </c>
      <c r="K633" s="106" t="s">
        <v>403</v>
      </c>
      <c r="L633" s="55" t="s">
        <v>404</v>
      </c>
      <c r="M633" s="55" t="s">
        <v>7634</v>
      </c>
    </row>
    <row r="634" spans="1:13">
      <c r="A634" s="408" t="s">
        <v>2092</v>
      </c>
      <c r="B634" s="106" t="s">
        <v>327</v>
      </c>
      <c r="C634" s="106" t="s">
        <v>473</v>
      </c>
      <c r="D634" s="107" t="s">
        <v>2093</v>
      </c>
      <c r="E634" s="109" t="s">
        <v>355</v>
      </c>
      <c r="F634" s="109" t="s">
        <v>355</v>
      </c>
      <c r="G634" s="55" t="s">
        <v>355</v>
      </c>
      <c r="H634" s="108" t="s">
        <v>402</v>
      </c>
      <c r="I634" s="111" t="s">
        <v>402</v>
      </c>
      <c r="J634" s="111" t="s">
        <v>402</v>
      </c>
      <c r="K634" s="106" t="s">
        <v>403</v>
      </c>
      <c r="L634" s="55" t="s">
        <v>404</v>
      </c>
      <c r="M634" s="55" t="s">
        <v>7634</v>
      </c>
    </row>
    <row r="635" spans="1:13">
      <c r="A635" s="408" t="s">
        <v>2094</v>
      </c>
      <c r="B635" s="106" t="s">
        <v>327</v>
      </c>
      <c r="C635" s="106" t="s">
        <v>473</v>
      </c>
      <c r="D635" s="107" t="s">
        <v>2095</v>
      </c>
      <c r="E635" s="109" t="s">
        <v>355</v>
      </c>
      <c r="F635" s="109" t="s">
        <v>355</v>
      </c>
      <c r="G635" s="55" t="s">
        <v>355</v>
      </c>
      <c r="H635" s="108" t="s">
        <v>402</v>
      </c>
      <c r="I635" s="111" t="s">
        <v>402</v>
      </c>
      <c r="J635" s="111" t="s">
        <v>402</v>
      </c>
      <c r="K635" s="106" t="s">
        <v>403</v>
      </c>
      <c r="L635" s="55" t="s">
        <v>404</v>
      </c>
      <c r="M635" s="55" t="s">
        <v>7634</v>
      </c>
    </row>
    <row r="636" spans="1:13">
      <c r="A636" s="408" t="s">
        <v>2096</v>
      </c>
      <c r="B636" s="106" t="s">
        <v>327</v>
      </c>
      <c r="C636" s="106" t="s">
        <v>473</v>
      </c>
      <c r="D636" s="107" t="s">
        <v>2097</v>
      </c>
      <c r="E636" s="109" t="s">
        <v>355</v>
      </c>
      <c r="F636" s="109" t="s">
        <v>355</v>
      </c>
      <c r="G636" s="55" t="s">
        <v>355</v>
      </c>
      <c r="H636" s="108" t="s">
        <v>402</v>
      </c>
      <c r="I636" s="111" t="s">
        <v>402</v>
      </c>
      <c r="J636" s="111" t="s">
        <v>402</v>
      </c>
      <c r="K636" s="106" t="s">
        <v>403</v>
      </c>
      <c r="L636" s="55" t="s">
        <v>404</v>
      </c>
      <c r="M636" s="55" t="s">
        <v>7634</v>
      </c>
    </row>
    <row r="637" spans="1:13">
      <c r="A637" s="408" t="s">
        <v>2098</v>
      </c>
      <c r="B637" s="106" t="s">
        <v>327</v>
      </c>
      <c r="C637" s="106" t="s">
        <v>473</v>
      </c>
      <c r="D637" s="107" t="s">
        <v>2099</v>
      </c>
      <c r="E637" s="109" t="s">
        <v>355</v>
      </c>
      <c r="F637" s="109" t="s">
        <v>355</v>
      </c>
      <c r="G637" s="55" t="s">
        <v>355</v>
      </c>
      <c r="H637" s="108" t="s">
        <v>402</v>
      </c>
      <c r="I637" s="111" t="s">
        <v>402</v>
      </c>
      <c r="J637" s="111" t="s">
        <v>402</v>
      </c>
      <c r="K637" s="106" t="s">
        <v>403</v>
      </c>
      <c r="L637" s="55" t="s">
        <v>404</v>
      </c>
      <c r="M637" s="55" t="s">
        <v>7634</v>
      </c>
    </row>
    <row r="638" spans="1:13">
      <c r="A638" s="408" t="s">
        <v>2100</v>
      </c>
      <c r="B638" s="106" t="s">
        <v>327</v>
      </c>
      <c r="C638" s="106" t="s">
        <v>473</v>
      </c>
      <c r="D638" s="107" t="s">
        <v>2101</v>
      </c>
      <c r="E638" s="109" t="s">
        <v>355</v>
      </c>
      <c r="F638" s="109" t="s">
        <v>355</v>
      </c>
      <c r="G638" s="55" t="s">
        <v>355</v>
      </c>
      <c r="H638" s="108" t="s">
        <v>402</v>
      </c>
      <c r="I638" s="111" t="s">
        <v>402</v>
      </c>
      <c r="J638" s="111" t="s">
        <v>402</v>
      </c>
      <c r="K638" s="106" t="s">
        <v>403</v>
      </c>
      <c r="L638" s="55" t="s">
        <v>404</v>
      </c>
      <c r="M638" s="55" t="s">
        <v>7634</v>
      </c>
    </row>
    <row r="639" spans="1:13">
      <c r="A639" s="408" t="s">
        <v>2102</v>
      </c>
      <c r="B639" s="106" t="s">
        <v>327</v>
      </c>
      <c r="C639" s="106" t="s">
        <v>473</v>
      </c>
      <c r="D639" s="107" t="s">
        <v>2103</v>
      </c>
      <c r="E639" s="109" t="s">
        <v>355</v>
      </c>
      <c r="F639" s="109" t="s">
        <v>355</v>
      </c>
      <c r="G639" s="55" t="s">
        <v>355</v>
      </c>
      <c r="H639" s="108" t="s">
        <v>402</v>
      </c>
      <c r="I639" s="111" t="s">
        <v>402</v>
      </c>
      <c r="J639" s="111" t="s">
        <v>402</v>
      </c>
      <c r="K639" s="106" t="s">
        <v>403</v>
      </c>
      <c r="L639" s="55" t="s">
        <v>404</v>
      </c>
      <c r="M639" s="55" t="s">
        <v>7634</v>
      </c>
    </row>
    <row r="640" spans="1:13">
      <c r="A640" s="408" t="s">
        <v>2104</v>
      </c>
      <c r="B640" s="106" t="s">
        <v>327</v>
      </c>
      <c r="C640" s="106" t="s">
        <v>473</v>
      </c>
      <c r="D640" s="107" t="s">
        <v>2105</v>
      </c>
      <c r="E640" s="109" t="s">
        <v>355</v>
      </c>
      <c r="F640" s="109" t="s">
        <v>355</v>
      </c>
      <c r="G640" s="55" t="s">
        <v>355</v>
      </c>
      <c r="H640" s="108" t="s">
        <v>402</v>
      </c>
      <c r="I640" s="111" t="s">
        <v>402</v>
      </c>
      <c r="J640" s="111" t="s">
        <v>402</v>
      </c>
      <c r="K640" s="106" t="s">
        <v>403</v>
      </c>
      <c r="L640" s="55" t="s">
        <v>404</v>
      </c>
      <c r="M640" s="55" t="s">
        <v>7634</v>
      </c>
    </row>
    <row r="641" spans="1:13">
      <c r="A641" s="408" t="s">
        <v>2106</v>
      </c>
      <c r="B641" s="106" t="s">
        <v>327</v>
      </c>
      <c r="C641" s="106" t="s">
        <v>473</v>
      </c>
      <c r="D641" s="107" t="s">
        <v>2107</v>
      </c>
      <c r="E641" s="109" t="s">
        <v>355</v>
      </c>
      <c r="F641" s="109" t="s">
        <v>355</v>
      </c>
      <c r="G641" s="55" t="s">
        <v>355</v>
      </c>
      <c r="H641" s="108" t="s">
        <v>402</v>
      </c>
      <c r="I641" s="111" t="s">
        <v>402</v>
      </c>
      <c r="J641" s="111" t="s">
        <v>402</v>
      </c>
      <c r="K641" s="106" t="s">
        <v>403</v>
      </c>
      <c r="L641" s="55" t="s">
        <v>404</v>
      </c>
      <c r="M641" s="55" t="s">
        <v>7634</v>
      </c>
    </row>
    <row r="642" spans="1:13">
      <c r="A642" s="408" t="s">
        <v>2108</v>
      </c>
      <c r="B642" s="106" t="s">
        <v>327</v>
      </c>
      <c r="C642" s="106" t="s">
        <v>473</v>
      </c>
      <c r="D642" s="107" t="s">
        <v>2109</v>
      </c>
      <c r="E642" s="109" t="s">
        <v>355</v>
      </c>
      <c r="F642" s="109" t="s">
        <v>355</v>
      </c>
      <c r="G642" s="55" t="s">
        <v>355</v>
      </c>
      <c r="H642" s="108" t="s">
        <v>402</v>
      </c>
      <c r="I642" s="111" t="s">
        <v>402</v>
      </c>
      <c r="J642" s="111" t="s">
        <v>402</v>
      </c>
      <c r="K642" s="106" t="s">
        <v>403</v>
      </c>
      <c r="L642" s="55" t="s">
        <v>404</v>
      </c>
      <c r="M642" s="55" t="s">
        <v>7634</v>
      </c>
    </row>
    <row r="643" spans="1:13">
      <c r="A643" s="408" t="s">
        <v>2110</v>
      </c>
      <c r="B643" s="106" t="s">
        <v>327</v>
      </c>
      <c r="C643" s="106" t="s">
        <v>473</v>
      </c>
      <c r="D643" s="107" t="s">
        <v>2111</v>
      </c>
      <c r="E643" s="109" t="s">
        <v>355</v>
      </c>
      <c r="F643" s="109" t="s">
        <v>355</v>
      </c>
      <c r="G643" s="55" t="s">
        <v>355</v>
      </c>
      <c r="H643" s="108" t="s">
        <v>402</v>
      </c>
      <c r="I643" s="111" t="s">
        <v>402</v>
      </c>
      <c r="J643" s="111" t="s">
        <v>402</v>
      </c>
      <c r="K643" s="106" t="s">
        <v>403</v>
      </c>
      <c r="L643" s="55" t="s">
        <v>404</v>
      </c>
      <c r="M643" s="55" t="s">
        <v>7634</v>
      </c>
    </row>
    <row r="644" spans="1:13">
      <c r="A644" s="408" t="s">
        <v>2112</v>
      </c>
      <c r="B644" s="106" t="s">
        <v>327</v>
      </c>
      <c r="C644" s="106" t="s">
        <v>473</v>
      </c>
      <c r="D644" s="107" t="s">
        <v>2113</v>
      </c>
      <c r="E644" s="109" t="s">
        <v>355</v>
      </c>
      <c r="F644" s="109" t="s">
        <v>355</v>
      </c>
      <c r="G644" s="55" t="s">
        <v>355</v>
      </c>
      <c r="H644" s="108" t="s">
        <v>402</v>
      </c>
      <c r="I644" s="111" t="s">
        <v>402</v>
      </c>
      <c r="J644" s="111" t="s">
        <v>402</v>
      </c>
      <c r="K644" s="106" t="s">
        <v>403</v>
      </c>
      <c r="L644" s="55" t="s">
        <v>404</v>
      </c>
      <c r="M644" s="55" t="s">
        <v>7634</v>
      </c>
    </row>
    <row r="645" spans="1:13">
      <c r="A645" s="408" t="s">
        <v>2114</v>
      </c>
      <c r="B645" s="106" t="s">
        <v>327</v>
      </c>
      <c r="C645" s="106" t="s">
        <v>473</v>
      </c>
      <c r="D645" s="107" t="s">
        <v>2113</v>
      </c>
      <c r="E645" s="109" t="s">
        <v>355</v>
      </c>
      <c r="F645" s="109" t="s">
        <v>355</v>
      </c>
      <c r="G645" s="55" t="s">
        <v>355</v>
      </c>
      <c r="H645" s="108" t="s">
        <v>402</v>
      </c>
      <c r="I645" s="111" t="s">
        <v>402</v>
      </c>
      <c r="J645" s="111" t="s">
        <v>402</v>
      </c>
      <c r="K645" s="106" t="s">
        <v>403</v>
      </c>
      <c r="L645" s="55" t="s">
        <v>404</v>
      </c>
      <c r="M645" s="55" t="s">
        <v>7634</v>
      </c>
    </row>
    <row r="646" spans="1:13">
      <c r="A646" s="408" t="s">
        <v>2115</v>
      </c>
      <c r="B646" s="106" t="s">
        <v>327</v>
      </c>
      <c r="C646" s="106" t="s">
        <v>473</v>
      </c>
      <c r="D646" s="107" t="s">
        <v>2116</v>
      </c>
      <c r="E646" s="109" t="s">
        <v>355</v>
      </c>
      <c r="F646" s="109" t="s">
        <v>355</v>
      </c>
      <c r="G646" s="55" t="s">
        <v>355</v>
      </c>
      <c r="H646" s="108" t="s">
        <v>402</v>
      </c>
      <c r="I646" s="111" t="s">
        <v>402</v>
      </c>
      <c r="J646" s="111" t="s">
        <v>402</v>
      </c>
      <c r="K646" s="106" t="s">
        <v>403</v>
      </c>
      <c r="L646" s="55" t="s">
        <v>404</v>
      </c>
      <c r="M646" s="55" t="s">
        <v>7634</v>
      </c>
    </row>
    <row r="647" spans="1:13">
      <c r="A647" s="408" t="s">
        <v>2117</v>
      </c>
      <c r="B647" s="106" t="s">
        <v>327</v>
      </c>
      <c r="C647" s="106" t="s">
        <v>473</v>
      </c>
      <c r="D647" s="107" t="s">
        <v>2118</v>
      </c>
      <c r="E647" s="109" t="s">
        <v>355</v>
      </c>
      <c r="F647" s="109" t="s">
        <v>355</v>
      </c>
      <c r="G647" s="55" t="s">
        <v>355</v>
      </c>
      <c r="H647" s="108" t="s">
        <v>402</v>
      </c>
      <c r="I647" s="111" t="s">
        <v>402</v>
      </c>
      <c r="J647" s="111" t="s">
        <v>402</v>
      </c>
      <c r="K647" s="106" t="s">
        <v>403</v>
      </c>
      <c r="L647" s="55" t="s">
        <v>404</v>
      </c>
      <c r="M647" s="55" t="s">
        <v>7634</v>
      </c>
    </row>
    <row r="648" spans="1:13">
      <c r="A648" s="408" t="s">
        <v>2119</v>
      </c>
      <c r="B648" s="106" t="s">
        <v>327</v>
      </c>
      <c r="C648" s="106" t="s">
        <v>473</v>
      </c>
      <c r="D648" s="107" t="s">
        <v>2120</v>
      </c>
      <c r="E648" s="109" t="s">
        <v>355</v>
      </c>
      <c r="F648" s="109" t="s">
        <v>355</v>
      </c>
      <c r="G648" s="55" t="s">
        <v>355</v>
      </c>
      <c r="H648" s="108" t="s">
        <v>402</v>
      </c>
      <c r="I648" s="111" t="s">
        <v>402</v>
      </c>
      <c r="J648" s="111" t="s">
        <v>402</v>
      </c>
      <c r="K648" s="106" t="s">
        <v>403</v>
      </c>
      <c r="L648" s="55" t="s">
        <v>404</v>
      </c>
      <c r="M648" s="55" t="s">
        <v>7634</v>
      </c>
    </row>
    <row r="649" spans="1:13">
      <c r="A649" s="408" t="s">
        <v>2121</v>
      </c>
      <c r="B649" s="106" t="s">
        <v>327</v>
      </c>
      <c r="C649" s="106" t="s">
        <v>473</v>
      </c>
      <c r="D649" s="107" t="s">
        <v>2122</v>
      </c>
      <c r="E649" s="109" t="s">
        <v>355</v>
      </c>
      <c r="F649" s="109" t="s">
        <v>355</v>
      </c>
      <c r="G649" s="55" t="s">
        <v>355</v>
      </c>
      <c r="H649" s="108" t="s">
        <v>402</v>
      </c>
      <c r="I649" s="111" t="s">
        <v>402</v>
      </c>
      <c r="J649" s="111" t="s">
        <v>402</v>
      </c>
      <c r="K649" s="106" t="s">
        <v>403</v>
      </c>
      <c r="L649" s="55" t="s">
        <v>404</v>
      </c>
      <c r="M649" s="55" t="s">
        <v>7634</v>
      </c>
    </row>
    <row r="650" spans="1:13">
      <c r="A650" s="401" t="s">
        <v>2123</v>
      </c>
      <c r="B650" s="106" t="s">
        <v>327</v>
      </c>
      <c r="C650" s="106" t="s">
        <v>473</v>
      </c>
      <c r="D650" s="128" t="s">
        <v>2124</v>
      </c>
      <c r="E650" s="109" t="s">
        <v>2125</v>
      </c>
      <c r="F650" s="109" t="s">
        <v>2126</v>
      </c>
      <c r="G650" s="117" t="s">
        <v>383</v>
      </c>
      <c r="H650" s="115" t="s">
        <v>402</v>
      </c>
      <c r="I650" s="111" t="s">
        <v>402</v>
      </c>
      <c r="J650" s="111" t="s">
        <v>402</v>
      </c>
      <c r="K650" s="115" t="s">
        <v>403</v>
      </c>
      <c r="L650" s="55" t="s">
        <v>404</v>
      </c>
      <c r="M650" s="113" t="s">
        <v>1173</v>
      </c>
    </row>
    <row r="651" spans="1:13">
      <c r="A651" s="408" t="s">
        <v>2127</v>
      </c>
      <c r="B651" s="106" t="s">
        <v>327</v>
      </c>
      <c r="C651" s="106" t="s">
        <v>473</v>
      </c>
      <c r="D651" s="107" t="s">
        <v>2128</v>
      </c>
      <c r="E651" s="109" t="s">
        <v>355</v>
      </c>
      <c r="F651" s="109" t="s">
        <v>355</v>
      </c>
      <c r="G651" s="55" t="s">
        <v>355</v>
      </c>
      <c r="H651" s="108" t="s">
        <v>402</v>
      </c>
      <c r="I651" s="111" t="s">
        <v>402</v>
      </c>
      <c r="J651" s="111" t="s">
        <v>402</v>
      </c>
      <c r="K651" s="106" t="s">
        <v>403</v>
      </c>
      <c r="L651" s="55" t="s">
        <v>404</v>
      </c>
      <c r="M651" s="55" t="s">
        <v>7634</v>
      </c>
    </row>
    <row r="652" spans="1:13">
      <c r="A652" s="408" t="s">
        <v>2129</v>
      </c>
      <c r="B652" s="106" t="s">
        <v>327</v>
      </c>
      <c r="C652" s="106" t="s">
        <v>473</v>
      </c>
      <c r="D652" s="107" t="s">
        <v>2130</v>
      </c>
      <c r="E652" s="109" t="s">
        <v>355</v>
      </c>
      <c r="F652" s="109" t="s">
        <v>355</v>
      </c>
      <c r="G652" s="55" t="s">
        <v>355</v>
      </c>
      <c r="H652" s="108" t="s">
        <v>402</v>
      </c>
      <c r="I652" s="111" t="s">
        <v>402</v>
      </c>
      <c r="J652" s="111" t="s">
        <v>402</v>
      </c>
      <c r="K652" s="106" t="s">
        <v>403</v>
      </c>
      <c r="L652" s="55" t="s">
        <v>404</v>
      </c>
      <c r="M652" s="55" t="s">
        <v>7634</v>
      </c>
    </row>
    <row r="653" spans="1:13">
      <c r="A653" s="408" t="s">
        <v>2131</v>
      </c>
      <c r="B653" s="106" t="s">
        <v>327</v>
      </c>
      <c r="C653" s="106" t="s">
        <v>473</v>
      </c>
      <c r="D653" s="107" t="s">
        <v>2132</v>
      </c>
      <c r="E653" s="109" t="s">
        <v>355</v>
      </c>
      <c r="F653" s="109" t="s">
        <v>355</v>
      </c>
      <c r="G653" s="55" t="s">
        <v>355</v>
      </c>
      <c r="H653" s="108" t="s">
        <v>402</v>
      </c>
      <c r="I653" s="111" t="s">
        <v>402</v>
      </c>
      <c r="J653" s="111" t="s">
        <v>402</v>
      </c>
      <c r="K653" s="106" t="s">
        <v>403</v>
      </c>
      <c r="L653" s="55" t="s">
        <v>404</v>
      </c>
      <c r="M653" s="55" t="s">
        <v>7634</v>
      </c>
    </row>
    <row r="654" spans="1:13">
      <c r="A654" s="408" t="s">
        <v>2133</v>
      </c>
      <c r="B654" s="106" t="s">
        <v>327</v>
      </c>
      <c r="C654" s="106" t="s">
        <v>473</v>
      </c>
      <c r="D654" s="107" t="s">
        <v>2134</v>
      </c>
      <c r="E654" s="109" t="s">
        <v>355</v>
      </c>
      <c r="F654" s="109" t="s">
        <v>355</v>
      </c>
      <c r="G654" s="55" t="s">
        <v>355</v>
      </c>
      <c r="H654" s="108" t="s">
        <v>402</v>
      </c>
      <c r="I654" s="111" t="s">
        <v>402</v>
      </c>
      <c r="J654" s="111" t="s">
        <v>402</v>
      </c>
      <c r="K654" s="106" t="s">
        <v>403</v>
      </c>
      <c r="L654" s="55" t="s">
        <v>404</v>
      </c>
      <c r="M654" s="55" t="s">
        <v>7634</v>
      </c>
    </row>
    <row r="655" spans="1:13">
      <c r="A655" s="408" t="s">
        <v>2135</v>
      </c>
      <c r="B655" s="106" t="s">
        <v>327</v>
      </c>
      <c r="C655" s="106" t="s">
        <v>473</v>
      </c>
      <c r="D655" s="107" t="s">
        <v>1889</v>
      </c>
      <c r="E655" s="109" t="s">
        <v>355</v>
      </c>
      <c r="F655" s="109" t="s">
        <v>355</v>
      </c>
      <c r="G655" s="55" t="s">
        <v>355</v>
      </c>
      <c r="H655" s="108" t="s">
        <v>402</v>
      </c>
      <c r="I655" s="111" t="s">
        <v>402</v>
      </c>
      <c r="J655" s="111" t="s">
        <v>402</v>
      </c>
      <c r="K655" s="106" t="s">
        <v>403</v>
      </c>
      <c r="L655" s="55" t="s">
        <v>404</v>
      </c>
      <c r="M655" s="55" t="s">
        <v>7634</v>
      </c>
    </row>
    <row r="656" spans="1:13">
      <c r="A656" s="408" t="s">
        <v>2136</v>
      </c>
      <c r="B656" s="106" t="s">
        <v>327</v>
      </c>
      <c r="C656" s="106" t="s">
        <v>473</v>
      </c>
      <c r="D656" s="107" t="s">
        <v>2137</v>
      </c>
      <c r="E656" s="109" t="s">
        <v>355</v>
      </c>
      <c r="F656" s="109" t="s">
        <v>355</v>
      </c>
      <c r="G656" s="55" t="s">
        <v>355</v>
      </c>
      <c r="H656" s="108" t="s">
        <v>402</v>
      </c>
      <c r="I656" s="111" t="s">
        <v>402</v>
      </c>
      <c r="J656" s="111" t="s">
        <v>402</v>
      </c>
      <c r="K656" s="106" t="s">
        <v>403</v>
      </c>
      <c r="L656" s="55" t="s">
        <v>404</v>
      </c>
      <c r="M656" s="55" t="s">
        <v>7634</v>
      </c>
    </row>
    <row r="657" spans="1:13">
      <c r="A657" s="408" t="s">
        <v>2138</v>
      </c>
      <c r="B657" s="106" t="s">
        <v>327</v>
      </c>
      <c r="C657" s="106" t="s">
        <v>473</v>
      </c>
      <c r="D657" s="107" t="s">
        <v>2139</v>
      </c>
      <c r="E657" s="109" t="s">
        <v>355</v>
      </c>
      <c r="F657" s="109" t="s">
        <v>355</v>
      </c>
      <c r="G657" s="55" t="s">
        <v>355</v>
      </c>
      <c r="H657" s="108" t="s">
        <v>402</v>
      </c>
      <c r="I657" s="111" t="s">
        <v>402</v>
      </c>
      <c r="J657" s="111" t="s">
        <v>402</v>
      </c>
      <c r="K657" s="106" t="s">
        <v>403</v>
      </c>
      <c r="L657" s="55" t="s">
        <v>404</v>
      </c>
      <c r="M657" s="55" t="s">
        <v>7634</v>
      </c>
    </row>
    <row r="658" spans="1:13">
      <c r="A658" s="408" t="s">
        <v>2140</v>
      </c>
      <c r="B658" s="106" t="s">
        <v>327</v>
      </c>
      <c r="C658" s="106" t="s">
        <v>473</v>
      </c>
      <c r="D658" s="107" t="s">
        <v>2141</v>
      </c>
      <c r="E658" s="109" t="s">
        <v>355</v>
      </c>
      <c r="F658" s="109" t="s">
        <v>355</v>
      </c>
      <c r="G658" s="55" t="s">
        <v>355</v>
      </c>
      <c r="H658" s="108" t="s">
        <v>402</v>
      </c>
      <c r="I658" s="111" t="s">
        <v>402</v>
      </c>
      <c r="J658" s="111" t="s">
        <v>402</v>
      </c>
      <c r="K658" s="106" t="s">
        <v>403</v>
      </c>
      <c r="L658" s="55" t="s">
        <v>404</v>
      </c>
      <c r="M658" s="55" t="s">
        <v>7634</v>
      </c>
    </row>
    <row r="659" spans="1:13">
      <c r="A659" s="408" t="s">
        <v>2142</v>
      </c>
      <c r="B659" s="106" t="s">
        <v>327</v>
      </c>
      <c r="C659" s="106" t="s">
        <v>473</v>
      </c>
      <c r="D659" s="107" t="s">
        <v>2143</v>
      </c>
      <c r="E659" s="109" t="s">
        <v>355</v>
      </c>
      <c r="F659" s="109" t="s">
        <v>355</v>
      </c>
      <c r="G659" s="55" t="s">
        <v>355</v>
      </c>
      <c r="H659" s="108" t="s">
        <v>402</v>
      </c>
      <c r="I659" s="111" t="s">
        <v>402</v>
      </c>
      <c r="J659" s="111" t="s">
        <v>402</v>
      </c>
      <c r="K659" s="106" t="s">
        <v>403</v>
      </c>
      <c r="L659" s="55" t="s">
        <v>404</v>
      </c>
      <c r="M659" s="55" t="s">
        <v>7634</v>
      </c>
    </row>
    <row r="660" spans="1:13">
      <c r="A660" s="408" t="s">
        <v>2144</v>
      </c>
      <c r="B660" s="106" t="s">
        <v>327</v>
      </c>
      <c r="C660" s="106" t="s">
        <v>473</v>
      </c>
      <c r="D660" s="107" t="s">
        <v>2145</v>
      </c>
      <c r="E660" s="109" t="s">
        <v>355</v>
      </c>
      <c r="F660" s="109" t="s">
        <v>355</v>
      </c>
      <c r="G660" s="55" t="s">
        <v>355</v>
      </c>
      <c r="H660" s="108" t="s">
        <v>402</v>
      </c>
      <c r="I660" s="111" t="s">
        <v>402</v>
      </c>
      <c r="J660" s="111" t="s">
        <v>402</v>
      </c>
      <c r="K660" s="106" t="s">
        <v>403</v>
      </c>
      <c r="L660" s="55" t="s">
        <v>404</v>
      </c>
      <c r="M660" s="55" t="s">
        <v>7634</v>
      </c>
    </row>
    <row r="661" spans="1:13">
      <c r="A661" s="408" t="s">
        <v>2146</v>
      </c>
      <c r="B661" s="106" t="s">
        <v>327</v>
      </c>
      <c r="C661" s="106" t="s">
        <v>473</v>
      </c>
      <c r="D661" s="107" t="s">
        <v>2147</v>
      </c>
      <c r="E661" s="109" t="s">
        <v>355</v>
      </c>
      <c r="F661" s="109" t="s">
        <v>355</v>
      </c>
      <c r="G661" s="55" t="s">
        <v>355</v>
      </c>
      <c r="H661" s="108" t="s">
        <v>402</v>
      </c>
      <c r="I661" s="111" t="s">
        <v>402</v>
      </c>
      <c r="J661" s="111" t="s">
        <v>402</v>
      </c>
      <c r="K661" s="106" t="s">
        <v>403</v>
      </c>
      <c r="L661" s="55" t="s">
        <v>404</v>
      </c>
      <c r="M661" s="55" t="s">
        <v>7634</v>
      </c>
    </row>
    <row r="662" spans="1:13">
      <c r="A662" s="408" t="s">
        <v>2148</v>
      </c>
      <c r="B662" s="106" t="s">
        <v>327</v>
      </c>
      <c r="C662" s="106" t="s">
        <v>473</v>
      </c>
      <c r="D662" s="107" t="s">
        <v>2149</v>
      </c>
      <c r="E662" s="109" t="s">
        <v>355</v>
      </c>
      <c r="F662" s="109" t="s">
        <v>355</v>
      </c>
      <c r="G662" s="55" t="s">
        <v>355</v>
      </c>
      <c r="H662" s="108" t="s">
        <v>402</v>
      </c>
      <c r="I662" s="111" t="s">
        <v>402</v>
      </c>
      <c r="J662" s="111" t="s">
        <v>402</v>
      </c>
      <c r="K662" s="106" t="s">
        <v>403</v>
      </c>
      <c r="L662" s="55" t="s">
        <v>404</v>
      </c>
      <c r="M662" s="55" t="s">
        <v>7634</v>
      </c>
    </row>
    <row r="663" spans="1:13">
      <c r="A663" s="408" t="s">
        <v>2150</v>
      </c>
      <c r="B663" s="106" t="s">
        <v>327</v>
      </c>
      <c r="C663" s="106" t="s">
        <v>473</v>
      </c>
      <c r="D663" s="107" t="s">
        <v>2151</v>
      </c>
      <c r="E663" s="109" t="s">
        <v>355</v>
      </c>
      <c r="F663" s="109" t="s">
        <v>355</v>
      </c>
      <c r="G663" s="55" t="s">
        <v>355</v>
      </c>
      <c r="H663" s="108" t="s">
        <v>402</v>
      </c>
      <c r="I663" s="111" t="s">
        <v>402</v>
      </c>
      <c r="J663" s="111" t="s">
        <v>402</v>
      </c>
      <c r="K663" s="106" t="s">
        <v>403</v>
      </c>
      <c r="L663" s="55" t="s">
        <v>404</v>
      </c>
      <c r="M663" s="55" t="s">
        <v>7634</v>
      </c>
    </row>
    <row r="664" spans="1:13">
      <c r="A664" s="408" t="s">
        <v>2152</v>
      </c>
      <c r="B664" s="106" t="s">
        <v>327</v>
      </c>
      <c r="C664" s="106" t="s">
        <v>473</v>
      </c>
      <c r="D664" s="107" t="s">
        <v>2153</v>
      </c>
      <c r="E664" s="109" t="s">
        <v>355</v>
      </c>
      <c r="F664" s="109" t="s">
        <v>355</v>
      </c>
      <c r="G664" s="55" t="s">
        <v>355</v>
      </c>
      <c r="H664" s="108" t="s">
        <v>402</v>
      </c>
      <c r="I664" s="111" t="s">
        <v>402</v>
      </c>
      <c r="J664" s="111" t="s">
        <v>402</v>
      </c>
      <c r="K664" s="106" t="s">
        <v>403</v>
      </c>
      <c r="L664" s="55" t="s">
        <v>404</v>
      </c>
      <c r="M664" s="55" t="s">
        <v>7634</v>
      </c>
    </row>
    <row r="665" spans="1:13">
      <c r="A665" s="408" t="s">
        <v>2154</v>
      </c>
      <c r="B665" s="106" t="s">
        <v>327</v>
      </c>
      <c r="C665" s="106" t="s">
        <v>473</v>
      </c>
      <c r="D665" s="107" t="s">
        <v>2155</v>
      </c>
      <c r="E665" s="109" t="s">
        <v>355</v>
      </c>
      <c r="F665" s="109" t="s">
        <v>355</v>
      </c>
      <c r="G665" s="55" t="s">
        <v>355</v>
      </c>
      <c r="H665" s="108" t="s">
        <v>402</v>
      </c>
      <c r="I665" s="111" t="s">
        <v>402</v>
      </c>
      <c r="J665" s="111" t="s">
        <v>402</v>
      </c>
      <c r="K665" s="106" t="s">
        <v>403</v>
      </c>
      <c r="L665" s="55" t="s">
        <v>404</v>
      </c>
      <c r="M665" s="55" t="s">
        <v>7634</v>
      </c>
    </row>
    <row r="666" spans="1:13">
      <c r="A666" s="408" t="s">
        <v>2156</v>
      </c>
      <c r="B666" s="106" t="s">
        <v>327</v>
      </c>
      <c r="C666" s="106" t="s">
        <v>473</v>
      </c>
      <c r="D666" s="107" t="s">
        <v>2157</v>
      </c>
      <c r="E666" s="109" t="s">
        <v>355</v>
      </c>
      <c r="F666" s="109" t="s">
        <v>355</v>
      </c>
      <c r="G666" s="55" t="s">
        <v>355</v>
      </c>
      <c r="H666" s="108" t="s">
        <v>402</v>
      </c>
      <c r="I666" s="111" t="s">
        <v>402</v>
      </c>
      <c r="J666" s="111" t="s">
        <v>402</v>
      </c>
      <c r="K666" s="106" t="s">
        <v>403</v>
      </c>
      <c r="L666" s="55" t="s">
        <v>404</v>
      </c>
      <c r="M666" s="55" t="s">
        <v>7634</v>
      </c>
    </row>
    <row r="667" spans="1:13">
      <c r="A667" s="408" t="s">
        <v>2158</v>
      </c>
      <c r="B667" s="106" t="s">
        <v>327</v>
      </c>
      <c r="C667" s="106" t="s">
        <v>473</v>
      </c>
      <c r="D667" s="107" t="s">
        <v>2157</v>
      </c>
      <c r="E667" s="109" t="s">
        <v>355</v>
      </c>
      <c r="F667" s="109" t="s">
        <v>355</v>
      </c>
      <c r="G667" s="55" t="s">
        <v>355</v>
      </c>
      <c r="H667" s="108" t="s">
        <v>402</v>
      </c>
      <c r="I667" s="111" t="s">
        <v>402</v>
      </c>
      <c r="J667" s="111" t="s">
        <v>402</v>
      </c>
      <c r="K667" s="106" t="s">
        <v>403</v>
      </c>
      <c r="L667" s="55" t="s">
        <v>404</v>
      </c>
      <c r="M667" s="55" t="s">
        <v>7634</v>
      </c>
    </row>
    <row r="668" spans="1:13">
      <c r="A668" s="408" t="s">
        <v>2159</v>
      </c>
      <c r="B668" s="106" t="s">
        <v>327</v>
      </c>
      <c r="C668" s="106" t="s">
        <v>473</v>
      </c>
      <c r="D668" s="107" t="s">
        <v>2160</v>
      </c>
      <c r="E668" s="109" t="s">
        <v>355</v>
      </c>
      <c r="F668" s="109" t="s">
        <v>355</v>
      </c>
      <c r="G668" s="55" t="s">
        <v>355</v>
      </c>
      <c r="H668" s="108" t="s">
        <v>402</v>
      </c>
      <c r="I668" s="111" t="s">
        <v>402</v>
      </c>
      <c r="J668" s="111" t="s">
        <v>402</v>
      </c>
      <c r="K668" s="106" t="s">
        <v>403</v>
      </c>
      <c r="L668" s="55" t="s">
        <v>404</v>
      </c>
      <c r="M668" s="55" t="s">
        <v>7634</v>
      </c>
    </row>
    <row r="669" spans="1:13">
      <c r="A669" s="408" t="s">
        <v>2161</v>
      </c>
      <c r="B669" s="106" t="s">
        <v>327</v>
      </c>
      <c r="C669" s="106" t="s">
        <v>473</v>
      </c>
      <c r="D669" s="107" t="s">
        <v>2162</v>
      </c>
      <c r="E669" s="109" t="s">
        <v>355</v>
      </c>
      <c r="F669" s="109" t="s">
        <v>355</v>
      </c>
      <c r="G669" s="55" t="s">
        <v>355</v>
      </c>
      <c r="H669" s="108" t="s">
        <v>402</v>
      </c>
      <c r="I669" s="111" t="s">
        <v>402</v>
      </c>
      <c r="J669" s="111" t="s">
        <v>402</v>
      </c>
      <c r="K669" s="106" t="s">
        <v>403</v>
      </c>
      <c r="L669" s="55" t="s">
        <v>404</v>
      </c>
      <c r="M669" s="55" t="s">
        <v>7634</v>
      </c>
    </row>
    <row r="670" spans="1:13">
      <c r="A670" s="408" t="s">
        <v>2163</v>
      </c>
      <c r="B670" s="106" t="s">
        <v>327</v>
      </c>
      <c r="C670" s="106" t="s">
        <v>473</v>
      </c>
      <c r="D670" s="107" t="s">
        <v>2164</v>
      </c>
      <c r="E670" s="109" t="s">
        <v>355</v>
      </c>
      <c r="F670" s="109" t="s">
        <v>355</v>
      </c>
      <c r="G670" s="55" t="s">
        <v>355</v>
      </c>
      <c r="H670" s="108" t="s">
        <v>402</v>
      </c>
      <c r="I670" s="111" t="s">
        <v>402</v>
      </c>
      <c r="J670" s="111" t="s">
        <v>402</v>
      </c>
      <c r="K670" s="106" t="s">
        <v>403</v>
      </c>
      <c r="L670" s="55" t="s">
        <v>404</v>
      </c>
      <c r="M670" s="55" t="s">
        <v>7634</v>
      </c>
    </row>
    <row r="671" spans="1:13">
      <c r="A671" s="408" t="s">
        <v>2165</v>
      </c>
      <c r="B671" s="106" t="s">
        <v>327</v>
      </c>
      <c r="C671" s="106" t="s">
        <v>473</v>
      </c>
      <c r="D671" s="107" t="s">
        <v>2166</v>
      </c>
      <c r="E671" s="109" t="s">
        <v>355</v>
      </c>
      <c r="F671" s="109" t="s">
        <v>355</v>
      </c>
      <c r="G671" s="55" t="s">
        <v>355</v>
      </c>
      <c r="H671" s="108" t="s">
        <v>402</v>
      </c>
      <c r="I671" s="111" t="s">
        <v>402</v>
      </c>
      <c r="J671" s="111" t="s">
        <v>402</v>
      </c>
      <c r="K671" s="106" t="s">
        <v>403</v>
      </c>
      <c r="L671" s="55" t="s">
        <v>404</v>
      </c>
      <c r="M671" s="55" t="s">
        <v>7634</v>
      </c>
    </row>
    <row r="672" spans="1:13">
      <c r="A672" s="408" t="s">
        <v>2167</v>
      </c>
      <c r="B672" s="106" t="s">
        <v>327</v>
      </c>
      <c r="C672" s="106" t="s">
        <v>473</v>
      </c>
      <c r="D672" s="107" t="s">
        <v>2168</v>
      </c>
      <c r="E672" s="109" t="s">
        <v>355</v>
      </c>
      <c r="F672" s="109" t="s">
        <v>355</v>
      </c>
      <c r="G672" s="55" t="s">
        <v>355</v>
      </c>
      <c r="H672" s="108" t="s">
        <v>402</v>
      </c>
      <c r="I672" s="111" t="s">
        <v>402</v>
      </c>
      <c r="J672" s="111" t="s">
        <v>402</v>
      </c>
      <c r="K672" s="106" t="s">
        <v>403</v>
      </c>
      <c r="L672" s="55" t="s">
        <v>404</v>
      </c>
      <c r="M672" s="55" t="s">
        <v>7634</v>
      </c>
    </row>
    <row r="673" spans="1:13">
      <c r="A673" s="408" t="s">
        <v>2169</v>
      </c>
      <c r="B673" s="106" t="s">
        <v>327</v>
      </c>
      <c r="C673" s="106" t="s">
        <v>473</v>
      </c>
      <c r="D673" s="107" t="s">
        <v>2170</v>
      </c>
      <c r="E673" s="109" t="s">
        <v>355</v>
      </c>
      <c r="F673" s="109" t="s">
        <v>355</v>
      </c>
      <c r="G673" s="55" t="s">
        <v>355</v>
      </c>
      <c r="H673" s="108" t="s">
        <v>402</v>
      </c>
      <c r="I673" s="111" t="s">
        <v>402</v>
      </c>
      <c r="J673" s="111" t="s">
        <v>402</v>
      </c>
      <c r="K673" s="106" t="s">
        <v>403</v>
      </c>
      <c r="L673" s="55" t="s">
        <v>404</v>
      </c>
      <c r="M673" s="55" t="s">
        <v>7634</v>
      </c>
    </row>
    <row r="674" spans="1:13">
      <c r="A674" s="401" t="s">
        <v>2171</v>
      </c>
      <c r="B674" s="106" t="s">
        <v>327</v>
      </c>
      <c r="C674" s="106" t="s">
        <v>473</v>
      </c>
      <c r="D674" s="109" t="s">
        <v>2172</v>
      </c>
      <c r="E674" s="109" t="s">
        <v>2173</v>
      </c>
      <c r="F674" s="109" t="s">
        <v>2174</v>
      </c>
      <c r="G674" s="117" t="s">
        <v>383</v>
      </c>
      <c r="H674" s="115" t="s">
        <v>402</v>
      </c>
      <c r="I674" s="111" t="s">
        <v>402</v>
      </c>
      <c r="J674" s="111" t="s">
        <v>402</v>
      </c>
      <c r="K674" s="115" t="s">
        <v>403</v>
      </c>
      <c r="L674" s="55" t="s">
        <v>404</v>
      </c>
      <c r="M674" s="113" t="s">
        <v>1173</v>
      </c>
    </row>
    <row r="675" spans="1:13">
      <c r="A675" s="408" t="s">
        <v>2175</v>
      </c>
      <c r="B675" s="106" t="s">
        <v>327</v>
      </c>
      <c r="C675" s="106" t="s">
        <v>473</v>
      </c>
      <c r="D675" s="107" t="s">
        <v>2176</v>
      </c>
      <c r="E675" s="109" t="s">
        <v>355</v>
      </c>
      <c r="F675" s="109" t="s">
        <v>355</v>
      </c>
      <c r="G675" s="55" t="s">
        <v>355</v>
      </c>
      <c r="H675" s="108" t="s">
        <v>402</v>
      </c>
      <c r="I675" s="111" t="s">
        <v>402</v>
      </c>
      <c r="J675" s="111" t="s">
        <v>402</v>
      </c>
      <c r="K675" s="106" t="s">
        <v>403</v>
      </c>
      <c r="L675" s="55" t="s">
        <v>404</v>
      </c>
      <c r="M675" s="55" t="s">
        <v>7634</v>
      </c>
    </row>
    <row r="676" spans="1:13">
      <c r="A676" s="408" t="s">
        <v>2177</v>
      </c>
      <c r="B676" s="106" t="s">
        <v>327</v>
      </c>
      <c r="C676" s="106" t="s">
        <v>473</v>
      </c>
      <c r="D676" s="107" t="s">
        <v>2178</v>
      </c>
      <c r="E676" s="109" t="s">
        <v>355</v>
      </c>
      <c r="F676" s="109" t="s">
        <v>355</v>
      </c>
      <c r="G676" s="55" t="s">
        <v>355</v>
      </c>
      <c r="H676" s="108" t="s">
        <v>402</v>
      </c>
      <c r="I676" s="111" t="s">
        <v>402</v>
      </c>
      <c r="J676" s="111" t="s">
        <v>402</v>
      </c>
      <c r="K676" s="106" t="s">
        <v>403</v>
      </c>
      <c r="L676" s="55" t="s">
        <v>404</v>
      </c>
      <c r="M676" s="55" t="s">
        <v>7634</v>
      </c>
    </row>
    <row r="677" spans="1:13">
      <c r="A677" s="408" t="s">
        <v>2179</v>
      </c>
      <c r="B677" s="106" t="s">
        <v>327</v>
      </c>
      <c r="C677" s="106" t="s">
        <v>473</v>
      </c>
      <c r="D677" s="107" t="s">
        <v>2180</v>
      </c>
      <c r="E677" s="109" t="s">
        <v>355</v>
      </c>
      <c r="F677" s="109" t="s">
        <v>355</v>
      </c>
      <c r="G677" s="55" t="s">
        <v>355</v>
      </c>
      <c r="H677" s="108" t="s">
        <v>402</v>
      </c>
      <c r="I677" s="111" t="s">
        <v>402</v>
      </c>
      <c r="J677" s="111" t="s">
        <v>402</v>
      </c>
      <c r="K677" s="106" t="s">
        <v>403</v>
      </c>
      <c r="L677" s="55" t="s">
        <v>404</v>
      </c>
      <c r="M677" s="55" t="s">
        <v>7634</v>
      </c>
    </row>
    <row r="678" spans="1:13">
      <c r="A678" s="408" t="s">
        <v>2181</v>
      </c>
      <c r="B678" s="106" t="s">
        <v>327</v>
      </c>
      <c r="C678" s="106" t="s">
        <v>473</v>
      </c>
      <c r="D678" s="107" t="s">
        <v>2182</v>
      </c>
      <c r="E678" s="109" t="s">
        <v>355</v>
      </c>
      <c r="F678" s="109" t="s">
        <v>355</v>
      </c>
      <c r="G678" s="55" t="s">
        <v>355</v>
      </c>
      <c r="H678" s="108" t="s">
        <v>402</v>
      </c>
      <c r="I678" s="111" t="s">
        <v>402</v>
      </c>
      <c r="J678" s="111" t="s">
        <v>402</v>
      </c>
      <c r="K678" s="106" t="s">
        <v>403</v>
      </c>
      <c r="L678" s="55" t="s">
        <v>404</v>
      </c>
      <c r="M678" s="55" t="s">
        <v>7634</v>
      </c>
    </row>
    <row r="679" spans="1:13">
      <c r="A679" s="408" t="s">
        <v>2183</v>
      </c>
      <c r="B679" s="106" t="s">
        <v>327</v>
      </c>
      <c r="C679" s="106" t="s">
        <v>473</v>
      </c>
      <c r="D679" s="107" t="s">
        <v>2184</v>
      </c>
      <c r="E679" s="109" t="s">
        <v>355</v>
      </c>
      <c r="F679" s="109" t="s">
        <v>355</v>
      </c>
      <c r="G679" s="55" t="s">
        <v>355</v>
      </c>
      <c r="H679" s="108" t="s">
        <v>402</v>
      </c>
      <c r="I679" s="111" t="s">
        <v>402</v>
      </c>
      <c r="J679" s="111" t="s">
        <v>402</v>
      </c>
      <c r="K679" s="106" t="s">
        <v>403</v>
      </c>
      <c r="L679" s="55" t="s">
        <v>404</v>
      </c>
      <c r="M679" s="55" t="s">
        <v>7634</v>
      </c>
    </row>
    <row r="680" spans="1:13">
      <c r="A680" s="408" t="s">
        <v>2185</v>
      </c>
      <c r="B680" s="106" t="s">
        <v>327</v>
      </c>
      <c r="C680" s="106" t="s">
        <v>473</v>
      </c>
      <c r="D680" s="107" t="s">
        <v>2186</v>
      </c>
      <c r="E680" s="109" t="s">
        <v>355</v>
      </c>
      <c r="F680" s="109" t="s">
        <v>355</v>
      </c>
      <c r="G680" s="55" t="s">
        <v>355</v>
      </c>
      <c r="H680" s="108" t="s">
        <v>402</v>
      </c>
      <c r="I680" s="111" t="s">
        <v>402</v>
      </c>
      <c r="J680" s="111" t="s">
        <v>402</v>
      </c>
      <c r="K680" s="106" t="s">
        <v>403</v>
      </c>
      <c r="L680" s="55" t="s">
        <v>404</v>
      </c>
      <c r="M680" s="55" t="s">
        <v>7634</v>
      </c>
    </row>
    <row r="681" spans="1:13">
      <c r="A681" s="408" t="s">
        <v>2187</v>
      </c>
      <c r="B681" s="106" t="s">
        <v>327</v>
      </c>
      <c r="C681" s="106" t="s">
        <v>473</v>
      </c>
      <c r="D681" s="107" t="s">
        <v>2188</v>
      </c>
      <c r="E681" s="109" t="s">
        <v>355</v>
      </c>
      <c r="F681" s="109" t="s">
        <v>355</v>
      </c>
      <c r="G681" s="55" t="s">
        <v>355</v>
      </c>
      <c r="H681" s="108" t="s">
        <v>402</v>
      </c>
      <c r="I681" s="111" t="s">
        <v>402</v>
      </c>
      <c r="J681" s="111" t="s">
        <v>402</v>
      </c>
      <c r="K681" s="106" t="s">
        <v>403</v>
      </c>
      <c r="L681" s="55" t="s">
        <v>404</v>
      </c>
      <c r="M681" s="55" t="s">
        <v>7634</v>
      </c>
    </row>
    <row r="682" spans="1:13">
      <c r="A682" s="408" t="s">
        <v>2189</v>
      </c>
      <c r="B682" s="106" t="s">
        <v>327</v>
      </c>
      <c r="C682" s="106" t="s">
        <v>473</v>
      </c>
      <c r="D682" s="107" t="s">
        <v>2190</v>
      </c>
      <c r="E682" s="109" t="s">
        <v>355</v>
      </c>
      <c r="F682" s="109" t="s">
        <v>355</v>
      </c>
      <c r="G682" s="55" t="s">
        <v>355</v>
      </c>
      <c r="H682" s="108" t="s">
        <v>402</v>
      </c>
      <c r="I682" s="111" t="s">
        <v>402</v>
      </c>
      <c r="J682" s="111" t="s">
        <v>402</v>
      </c>
      <c r="K682" s="106" t="s">
        <v>403</v>
      </c>
      <c r="L682" s="55" t="s">
        <v>404</v>
      </c>
      <c r="M682" s="55" t="s">
        <v>7634</v>
      </c>
    </row>
    <row r="683" spans="1:13">
      <c r="A683" s="408" t="s">
        <v>2191</v>
      </c>
      <c r="B683" s="106" t="s">
        <v>327</v>
      </c>
      <c r="C683" s="106" t="s">
        <v>473</v>
      </c>
      <c r="D683" s="107" t="s">
        <v>2192</v>
      </c>
      <c r="E683" s="109" t="s">
        <v>355</v>
      </c>
      <c r="F683" s="109" t="s">
        <v>355</v>
      </c>
      <c r="G683" s="55" t="s">
        <v>355</v>
      </c>
      <c r="H683" s="108" t="s">
        <v>402</v>
      </c>
      <c r="I683" s="111" t="s">
        <v>402</v>
      </c>
      <c r="J683" s="111" t="s">
        <v>402</v>
      </c>
      <c r="K683" s="106" t="s">
        <v>403</v>
      </c>
      <c r="L683" s="55" t="s">
        <v>404</v>
      </c>
      <c r="M683" s="55" t="s">
        <v>7634</v>
      </c>
    </row>
    <row r="684" spans="1:13">
      <c r="A684" s="408" t="s">
        <v>2193</v>
      </c>
      <c r="B684" s="106" t="s">
        <v>327</v>
      </c>
      <c r="C684" s="106" t="s">
        <v>473</v>
      </c>
      <c r="D684" s="107" t="s">
        <v>2194</v>
      </c>
      <c r="E684" s="109" t="s">
        <v>355</v>
      </c>
      <c r="F684" s="109" t="s">
        <v>355</v>
      </c>
      <c r="G684" s="55" t="s">
        <v>355</v>
      </c>
      <c r="H684" s="108" t="s">
        <v>402</v>
      </c>
      <c r="I684" s="111" t="s">
        <v>402</v>
      </c>
      <c r="J684" s="111" t="s">
        <v>402</v>
      </c>
      <c r="K684" s="106" t="s">
        <v>403</v>
      </c>
      <c r="L684" s="55" t="s">
        <v>404</v>
      </c>
      <c r="M684" s="55" t="s">
        <v>7634</v>
      </c>
    </row>
    <row r="685" spans="1:13">
      <c r="A685" s="408" t="s">
        <v>2195</v>
      </c>
      <c r="B685" s="106" t="s">
        <v>327</v>
      </c>
      <c r="C685" s="106" t="s">
        <v>473</v>
      </c>
      <c r="D685" s="107" t="s">
        <v>2196</v>
      </c>
      <c r="E685" s="109" t="s">
        <v>355</v>
      </c>
      <c r="F685" s="109" t="s">
        <v>355</v>
      </c>
      <c r="G685" s="55" t="s">
        <v>355</v>
      </c>
      <c r="H685" s="108" t="s">
        <v>402</v>
      </c>
      <c r="I685" s="111" t="s">
        <v>402</v>
      </c>
      <c r="J685" s="111" t="s">
        <v>402</v>
      </c>
      <c r="K685" s="106" t="s">
        <v>403</v>
      </c>
      <c r="L685" s="55" t="s">
        <v>404</v>
      </c>
      <c r="M685" s="55" t="s">
        <v>7634</v>
      </c>
    </row>
    <row r="686" spans="1:13">
      <c r="A686" s="408" t="s">
        <v>2197</v>
      </c>
      <c r="B686" s="106" t="s">
        <v>327</v>
      </c>
      <c r="C686" s="106" t="s">
        <v>473</v>
      </c>
      <c r="D686" s="107" t="s">
        <v>2198</v>
      </c>
      <c r="E686" s="109" t="s">
        <v>355</v>
      </c>
      <c r="F686" s="109" t="s">
        <v>355</v>
      </c>
      <c r="G686" s="55" t="s">
        <v>355</v>
      </c>
      <c r="H686" s="108" t="s">
        <v>402</v>
      </c>
      <c r="I686" s="111" t="s">
        <v>402</v>
      </c>
      <c r="J686" s="111" t="s">
        <v>402</v>
      </c>
      <c r="K686" s="106" t="s">
        <v>403</v>
      </c>
      <c r="L686" s="55" t="s">
        <v>404</v>
      </c>
      <c r="M686" s="55" t="s">
        <v>7634</v>
      </c>
    </row>
    <row r="687" spans="1:13">
      <c r="A687" s="408" t="s">
        <v>2199</v>
      </c>
      <c r="B687" s="106" t="s">
        <v>327</v>
      </c>
      <c r="C687" s="106" t="s">
        <v>473</v>
      </c>
      <c r="D687" s="107" t="s">
        <v>2200</v>
      </c>
      <c r="E687" s="109" t="s">
        <v>355</v>
      </c>
      <c r="F687" s="109" t="s">
        <v>355</v>
      </c>
      <c r="G687" s="55" t="s">
        <v>355</v>
      </c>
      <c r="H687" s="108" t="s">
        <v>402</v>
      </c>
      <c r="I687" s="111" t="s">
        <v>402</v>
      </c>
      <c r="J687" s="111" t="s">
        <v>402</v>
      </c>
      <c r="K687" s="106" t="s">
        <v>403</v>
      </c>
      <c r="L687" s="55" t="s">
        <v>404</v>
      </c>
      <c r="M687" s="55" t="s">
        <v>7634</v>
      </c>
    </row>
    <row r="688" spans="1:13">
      <c r="A688" s="408" t="s">
        <v>2201</v>
      </c>
      <c r="B688" s="106" t="s">
        <v>327</v>
      </c>
      <c r="C688" s="106" t="s">
        <v>473</v>
      </c>
      <c r="D688" s="107" t="s">
        <v>2202</v>
      </c>
      <c r="E688" s="109" t="s">
        <v>355</v>
      </c>
      <c r="F688" s="109" t="s">
        <v>355</v>
      </c>
      <c r="G688" s="55" t="s">
        <v>355</v>
      </c>
      <c r="H688" s="108" t="s">
        <v>402</v>
      </c>
      <c r="I688" s="111" t="s">
        <v>402</v>
      </c>
      <c r="J688" s="111" t="s">
        <v>402</v>
      </c>
      <c r="K688" s="106" t="s">
        <v>403</v>
      </c>
      <c r="L688" s="55" t="s">
        <v>404</v>
      </c>
      <c r="M688" s="55" t="s">
        <v>7634</v>
      </c>
    </row>
    <row r="689" spans="1:13">
      <c r="A689" s="408" t="s">
        <v>2203</v>
      </c>
      <c r="B689" s="106" t="s">
        <v>327</v>
      </c>
      <c r="C689" s="106" t="s">
        <v>473</v>
      </c>
      <c r="D689" s="107" t="s">
        <v>2204</v>
      </c>
      <c r="E689" s="109" t="s">
        <v>355</v>
      </c>
      <c r="F689" s="109" t="s">
        <v>355</v>
      </c>
      <c r="G689" s="55" t="s">
        <v>355</v>
      </c>
      <c r="H689" s="108" t="s">
        <v>402</v>
      </c>
      <c r="I689" s="111" t="s">
        <v>402</v>
      </c>
      <c r="J689" s="111" t="s">
        <v>402</v>
      </c>
      <c r="K689" s="106" t="s">
        <v>403</v>
      </c>
      <c r="L689" s="55" t="s">
        <v>404</v>
      </c>
      <c r="M689" s="55" t="s">
        <v>7634</v>
      </c>
    </row>
    <row r="690" spans="1:13">
      <c r="A690" s="408" t="s">
        <v>2205</v>
      </c>
      <c r="B690" s="106" t="s">
        <v>327</v>
      </c>
      <c r="C690" s="106" t="s">
        <v>473</v>
      </c>
      <c r="D690" s="107" t="s">
        <v>2206</v>
      </c>
      <c r="E690" s="109" t="s">
        <v>355</v>
      </c>
      <c r="F690" s="109" t="s">
        <v>355</v>
      </c>
      <c r="G690" s="55" t="s">
        <v>355</v>
      </c>
      <c r="H690" s="108" t="s">
        <v>402</v>
      </c>
      <c r="I690" s="111" t="s">
        <v>402</v>
      </c>
      <c r="J690" s="111" t="s">
        <v>402</v>
      </c>
      <c r="K690" s="106" t="s">
        <v>403</v>
      </c>
      <c r="L690" s="55" t="s">
        <v>404</v>
      </c>
      <c r="M690" s="55" t="s">
        <v>7634</v>
      </c>
    </row>
    <row r="691" spans="1:13">
      <c r="A691" s="408" t="s">
        <v>2207</v>
      </c>
      <c r="B691" s="106" t="s">
        <v>327</v>
      </c>
      <c r="C691" s="106" t="s">
        <v>473</v>
      </c>
      <c r="D691" s="107" t="s">
        <v>2208</v>
      </c>
      <c r="E691" s="109" t="s">
        <v>355</v>
      </c>
      <c r="F691" s="109" t="s">
        <v>355</v>
      </c>
      <c r="G691" s="55" t="s">
        <v>355</v>
      </c>
      <c r="H691" s="108" t="s">
        <v>402</v>
      </c>
      <c r="I691" s="111" t="s">
        <v>402</v>
      </c>
      <c r="J691" s="111" t="s">
        <v>402</v>
      </c>
      <c r="K691" s="106" t="s">
        <v>403</v>
      </c>
      <c r="L691" s="55" t="s">
        <v>404</v>
      </c>
      <c r="M691" s="55" t="s">
        <v>7634</v>
      </c>
    </row>
    <row r="692" spans="1:13">
      <c r="A692" s="408" t="s">
        <v>2209</v>
      </c>
      <c r="B692" s="106" t="s">
        <v>327</v>
      </c>
      <c r="C692" s="106" t="s">
        <v>473</v>
      </c>
      <c r="D692" s="107" t="s">
        <v>2210</v>
      </c>
      <c r="E692" s="109" t="s">
        <v>355</v>
      </c>
      <c r="F692" s="109" t="s">
        <v>355</v>
      </c>
      <c r="G692" s="55" t="s">
        <v>355</v>
      </c>
      <c r="H692" s="108" t="s">
        <v>402</v>
      </c>
      <c r="I692" s="111" t="s">
        <v>402</v>
      </c>
      <c r="J692" s="111" t="s">
        <v>402</v>
      </c>
      <c r="K692" s="106" t="s">
        <v>403</v>
      </c>
      <c r="L692" s="55" t="s">
        <v>404</v>
      </c>
      <c r="M692" s="55" t="s">
        <v>7634</v>
      </c>
    </row>
    <row r="693" spans="1:13">
      <c r="A693" s="408" t="s">
        <v>2211</v>
      </c>
      <c r="B693" s="106" t="s">
        <v>327</v>
      </c>
      <c r="C693" s="106" t="s">
        <v>473</v>
      </c>
      <c r="D693" s="107" t="s">
        <v>2212</v>
      </c>
      <c r="E693" s="109" t="s">
        <v>355</v>
      </c>
      <c r="F693" s="109" t="s">
        <v>355</v>
      </c>
      <c r="G693" s="55" t="s">
        <v>355</v>
      </c>
      <c r="H693" s="108" t="s">
        <v>402</v>
      </c>
      <c r="I693" s="111" t="s">
        <v>402</v>
      </c>
      <c r="J693" s="111" t="s">
        <v>402</v>
      </c>
      <c r="K693" s="106" t="s">
        <v>403</v>
      </c>
      <c r="L693" s="55" t="s">
        <v>404</v>
      </c>
      <c r="M693" s="55" t="s">
        <v>7634</v>
      </c>
    </row>
    <row r="694" spans="1:13">
      <c r="A694" s="408" t="s">
        <v>2213</v>
      </c>
      <c r="B694" s="106" t="s">
        <v>327</v>
      </c>
      <c r="C694" s="106" t="s">
        <v>473</v>
      </c>
      <c r="D694" s="107" t="s">
        <v>2214</v>
      </c>
      <c r="E694" s="107" t="s">
        <v>2215</v>
      </c>
      <c r="F694" s="107" t="s">
        <v>2216</v>
      </c>
      <c r="G694" s="114"/>
      <c r="H694" s="108" t="s">
        <v>402</v>
      </c>
      <c r="I694" s="111" t="s">
        <v>402</v>
      </c>
      <c r="J694" s="111" t="s">
        <v>402</v>
      </c>
      <c r="K694" s="106" t="s">
        <v>403</v>
      </c>
      <c r="L694" s="55" t="s">
        <v>404</v>
      </c>
      <c r="M694" s="55" t="s">
        <v>7634</v>
      </c>
    </row>
    <row r="695" spans="1:13">
      <c r="A695" s="408" t="s">
        <v>2217</v>
      </c>
      <c r="B695" s="106" t="s">
        <v>327</v>
      </c>
      <c r="C695" s="106" t="s">
        <v>473</v>
      </c>
      <c r="D695" s="107" t="s">
        <v>2218</v>
      </c>
      <c r="E695" s="109" t="s">
        <v>355</v>
      </c>
      <c r="F695" s="109" t="s">
        <v>355</v>
      </c>
      <c r="G695" s="55" t="s">
        <v>355</v>
      </c>
      <c r="H695" s="108" t="s">
        <v>402</v>
      </c>
      <c r="I695" s="111" t="s">
        <v>402</v>
      </c>
      <c r="J695" s="111" t="s">
        <v>402</v>
      </c>
      <c r="K695" s="106" t="s">
        <v>403</v>
      </c>
      <c r="L695" s="55" t="s">
        <v>404</v>
      </c>
      <c r="M695" s="55" t="s">
        <v>7634</v>
      </c>
    </row>
    <row r="696" spans="1:13">
      <c r="A696" s="408" t="s">
        <v>2219</v>
      </c>
      <c r="B696" s="106" t="s">
        <v>327</v>
      </c>
      <c r="C696" s="106" t="s">
        <v>473</v>
      </c>
      <c r="D696" s="107" t="s">
        <v>2220</v>
      </c>
      <c r="E696" s="109" t="s">
        <v>355</v>
      </c>
      <c r="F696" s="109" t="s">
        <v>355</v>
      </c>
      <c r="G696" s="55" t="s">
        <v>355</v>
      </c>
      <c r="H696" s="108" t="s">
        <v>402</v>
      </c>
      <c r="I696" s="111" t="s">
        <v>402</v>
      </c>
      <c r="J696" s="111" t="s">
        <v>402</v>
      </c>
      <c r="K696" s="106" t="s">
        <v>403</v>
      </c>
      <c r="L696" s="55" t="s">
        <v>404</v>
      </c>
      <c r="M696" s="55" t="s">
        <v>7634</v>
      </c>
    </row>
    <row r="697" spans="1:13">
      <c r="A697" s="408" t="s">
        <v>2221</v>
      </c>
      <c r="B697" s="106" t="s">
        <v>327</v>
      </c>
      <c r="C697" s="106" t="s">
        <v>473</v>
      </c>
      <c r="D697" s="107" t="s">
        <v>2222</v>
      </c>
      <c r="E697" s="109" t="s">
        <v>355</v>
      </c>
      <c r="F697" s="109" t="s">
        <v>355</v>
      </c>
      <c r="G697" s="55" t="s">
        <v>355</v>
      </c>
      <c r="H697" s="108" t="s">
        <v>402</v>
      </c>
      <c r="I697" s="111" t="s">
        <v>402</v>
      </c>
      <c r="J697" s="111" t="s">
        <v>402</v>
      </c>
      <c r="K697" s="106" t="s">
        <v>403</v>
      </c>
      <c r="L697" s="55" t="s">
        <v>404</v>
      </c>
      <c r="M697" s="55" t="s">
        <v>7634</v>
      </c>
    </row>
    <row r="698" spans="1:13">
      <c r="A698" s="408" t="s">
        <v>2223</v>
      </c>
      <c r="B698" s="106" t="s">
        <v>327</v>
      </c>
      <c r="C698" s="106" t="s">
        <v>473</v>
      </c>
      <c r="D698" s="107" t="s">
        <v>2224</v>
      </c>
      <c r="E698" s="109" t="s">
        <v>355</v>
      </c>
      <c r="F698" s="109" t="s">
        <v>355</v>
      </c>
      <c r="G698" s="55" t="s">
        <v>355</v>
      </c>
      <c r="H698" s="108" t="s">
        <v>402</v>
      </c>
      <c r="I698" s="111" t="s">
        <v>402</v>
      </c>
      <c r="J698" s="111" t="s">
        <v>402</v>
      </c>
      <c r="K698" s="106" t="s">
        <v>403</v>
      </c>
      <c r="L698" s="55" t="s">
        <v>404</v>
      </c>
      <c r="M698" s="55" t="s">
        <v>7634</v>
      </c>
    </row>
    <row r="699" spans="1:13">
      <c r="A699" s="408" t="s">
        <v>2225</v>
      </c>
      <c r="B699" s="106" t="s">
        <v>327</v>
      </c>
      <c r="C699" s="106" t="s">
        <v>473</v>
      </c>
      <c r="D699" s="107" t="s">
        <v>2226</v>
      </c>
      <c r="E699" s="109" t="s">
        <v>355</v>
      </c>
      <c r="F699" s="109" t="s">
        <v>355</v>
      </c>
      <c r="G699" s="55" t="s">
        <v>355</v>
      </c>
      <c r="H699" s="108" t="s">
        <v>402</v>
      </c>
      <c r="I699" s="111" t="s">
        <v>402</v>
      </c>
      <c r="J699" s="111" t="s">
        <v>402</v>
      </c>
      <c r="K699" s="106" t="s">
        <v>403</v>
      </c>
      <c r="L699" s="55" t="s">
        <v>404</v>
      </c>
      <c r="M699" s="55" t="s">
        <v>7634</v>
      </c>
    </row>
    <row r="700" spans="1:13">
      <c r="A700" s="408" t="s">
        <v>2227</v>
      </c>
      <c r="B700" s="106" t="s">
        <v>327</v>
      </c>
      <c r="C700" s="106" t="s">
        <v>473</v>
      </c>
      <c r="D700" s="107" t="s">
        <v>2228</v>
      </c>
      <c r="E700" s="109" t="s">
        <v>355</v>
      </c>
      <c r="F700" s="109" t="s">
        <v>355</v>
      </c>
      <c r="G700" s="55" t="s">
        <v>355</v>
      </c>
      <c r="H700" s="108" t="s">
        <v>402</v>
      </c>
      <c r="I700" s="111" t="s">
        <v>402</v>
      </c>
      <c r="J700" s="111" t="s">
        <v>402</v>
      </c>
      <c r="K700" s="106" t="s">
        <v>403</v>
      </c>
      <c r="L700" s="55" t="s">
        <v>404</v>
      </c>
      <c r="M700" s="55" t="s">
        <v>7634</v>
      </c>
    </row>
    <row r="701" spans="1:13">
      <c r="A701" s="408" t="s">
        <v>2229</v>
      </c>
      <c r="B701" s="106" t="s">
        <v>327</v>
      </c>
      <c r="C701" s="106" t="s">
        <v>473</v>
      </c>
      <c r="D701" s="107" t="s">
        <v>2230</v>
      </c>
      <c r="E701" s="109" t="s">
        <v>355</v>
      </c>
      <c r="F701" s="109" t="s">
        <v>355</v>
      </c>
      <c r="G701" s="55" t="s">
        <v>355</v>
      </c>
      <c r="H701" s="108" t="s">
        <v>402</v>
      </c>
      <c r="I701" s="111" t="s">
        <v>402</v>
      </c>
      <c r="J701" s="111" t="s">
        <v>402</v>
      </c>
      <c r="K701" s="106" t="s">
        <v>403</v>
      </c>
      <c r="L701" s="55" t="s">
        <v>404</v>
      </c>
      <c r="M701" s="55" t="s">
        <v>7634</v>
      </c>
    </row>
    <row r="702" spans="1:13">
      <c r="A702" s="408" t="s">
        <v>2231</v>
      </c>
      <c r="B702" s="106" t="s">
        <v>327</v>
      </c>
      <c r="C702" s="106" t="s">
        <v>473</v>
      </c>
      <c r="D702" s="107" t="s">
        <v>2232</v>
      </c>
      <c r="E702" s="109" t="s">
        <v>355</v>
      </c>
      <c r="F702" s="109" t="s">
        <v>355</v>
      </c>
      <c r="G702" s="55" t="s">
        <v>355</v>
      </c>
      <c r="H702" s="108" t="s">
        <v>402</v>
      </c>
      <c r="I702" s="111" t="s">
        <v>402</v>
      </c>
      <c r="J702" s="111" t="s">
        <v>402</v>
      </c>
      <c r="K702" s="106" t="s">
        <v>403</v>
      </c>
      <c r="L702" s="55" t="s">
        <v>404</v>
      </c>
      <c r="M702" s="55" t="s">
        <v>7634</v>
      </c>
    </row>
    <row r="703" spans="1:13">
      <c r="A703" s="408" t="s">
        <v>2233</v>
      </c>
      <c r="B703" s="106" t="s">
        <v>327</v>
      </c>
      <c r="C703" s="106" t="s">
        <v>473</v>
      </c>
      <c r="D703" s="107" t="s">
        <v>2234</v>
      </c>
      <c r="E703" s="109" t="s">
        <v>355</v>
      </c>
      <c r="F703" s="109" t="s">
        <v>355</v>
      </c>
      <c r="G703" s="55" t="s">
        <v>355</v>
      </c>
      <c r="H703" s="108" t="s">
        <v>402</v>
      </c>
      <c r="I703" s="111" t="s">
        <v>402</v>
      </c>
      <c r="J703" s="111" t="s">
        <v>402</v>
      </c>
      <c r="K703" s="106" t="s">
        <v>403</v>
      </c>
      <c r="L703" s="55" t="s">
        <v>404</v>
      </c>
      <c r="M703" s="55" t="s">
        <v>7634</v>
      </c>
    </row>
    <row r="704" spans="1:13">
      <c r="A704" s="408" t="s">
        <v>2235</v>
      </c>
      <c r="B704" s="106" t="s">
        <v>327</v>
      </c>
      <c r="C704" s="106" t="s">
        <v>473</v>
      </c>
      <c r="D704" s="107" t="s">
        <v>2236</v>
      </c>
      <c r="E704" s="109" t="s">
        <v>355</v>
      </c>
      <c r="F704" s="109" t="s">
        <v>355</v>
      </c>
      <c r="G704" s="55" t="s">
        <v>355</v>
      </c>
      <c r="H704" s="108" t="s">
        <v>402</v>
      </c>
      <c r="I704" s="111" t="s">
        <v>402</v>
      </c>
      <c r="J704" s="111" t="s">
        <v>402</v>
      </c>
      <c r="K704" s="106" t="s">
        <v>403</v>
      </c>
      <c r="L704" s="55" t="s">
        <v>404</v>
      </c>
      <c r="M704" s="55" t="s">
        <v>7634</v>
      </c>
    </row>
    <row r="705" spans="1:13">
      <c r="A705" s="408" t="s">
        <v>2237</v>
      </c>
      <c r="B705" s="106" t="s">
        <v>327</v>
      </c>
      <c r="C705" s="106" t="s">
        <v>473</v>
      </c>
      <c r="D705" s="107" t="s">
        <v>2238</v>
      </c>
      <c r="E705" s="109" t="s">
        <v>355</v>
      </c>
      <c r="F705" s="109" t="s">
        <v>355</v>
      </c>
      <c r="G705" s="55" t="s">
        <v>355</v>
      </c>
      <c r="H705" s="108" t="s">
        <v>402</v>
      </c>
      <c r="I705" s="111" t="s">
        <v>402</v>
      </c>
      <c r="J705" s="111" t="s">
        <v>402</v>
      </c>
      <c r="K705" s="106" t="s">
        <v>403</v>
      </c>
      <c r="L705" s="55" t="s">
        <v>404</v>
      </c>
      <c r="M705" s="55" t="s">
        <v>7634</v>
      </c>
    </row>
    <row r="706" spans="1:13">
      <c r="A706" s="408" t="s">
        <v>2239</v>
      </c>
      <c r="B706" s="106" t="s">
        <v>327</v>
      </c>
      <c r="C706" s="106" t="s">
        <v>473</v>
      </c>
      <c r="D706" s="107" t="s">
        <v>2240</v>
      </c>
      <c r="E706" s="109" t="s">
        <v>355</v>
      </c>
      <c r="F706" s="109" t="s">
        <v>355</v>
      </c>
      <c r="G706" s="55" t="s">
        <v>355</v>
      </c>
      <c r="H706" s="108" t="s">
        <v>402</v>
      </c>
      <c r="I706" s="111" t="s">
        <v>402</v>
      </c>
      <c r="J706" s="111" t="s">
        <v>402</v>
      </c>
      <c r="K706" s="106" t="s">
        <v>403</v>
      </c>
      <c r="L706" s="55" t="s">
        <v>404</v>
      </c>
      <c r="M706" s="55" t="s">
        <v>7634</v>
      </c>
    </row>
    <row r="707" spans="1:13">
      <c r="A707" s="408" t="s">
        <v>2241</v>
      </c>
      <c r="B707" s="106" t="s">
        <v>327</v>
      </c>
      <c r="C707" s="106" t="s">
        <v>473</v>
      </c>
      <c r="D707" s="107" t="s">
        <v>2242</v>
      </c>
      <c r="E707" s="109" t="s">
        <v>355</v>
      </c>
      <c r="F707" s="109" t="s">
        <v>355</v>
      </c>
      <c r="G707" s="55" t="s">
        <v>355</v>
      </c>
      <c r="H707" s="108" t="s">
        <v>402</v>
      </c>
      <c r="I707" s="111" t="s">
        <v>402</v>
      </c>
      <c r="J707" s="111" t="s">
        <v>402</v>
      </c>
      <c r="K707" s="106" t="s">
        <v>403</v>
      </c>
      <c r="L707" s="55" t="s">
        <v>404</v>
      </c>
      <c r="M707" s="55" t="s">
        <v>7634</v>
      </c>
    </row>
    <row r="708" spans="1:13">
      <c r="A708" s="408" t="s">
        <v>2243</v>
      </c>
      <c r="B708" s="106" t="s">
        <v>327</v>
      </c>
      <c r="C708" s="106" t="s">
        <v>473</v>
      </c>
      <c r="D708" s="107" t="s">
        <v>2244</v>
      </c>
      <c r="E708" s="109" t="s">
        <v>355</v>
      </c>
      <c r="F708" s="109" t="s">
        <v>355</v>
      </c>
      <c r="G708" s="55" t="s">
        <v>355</v>
      </c>
      <c r="H708" s="108" t="s">
        <v>402</v>
      </c>
      <c r="I708" s="111" t="s">
        <v>402</v>
      </c>
      <c r="J708" s="111" t="s">
        <v>402</v>
      </c>
      <c r="K708" s="106" t="s">
        <v>403</v>
      </c>
      <c r="L708" s="55" t="s">
        <v>404</v>
      </c>
      <c r="M708" s="55" t="s">
        <v>7634</v>
      </c>
    </row>
    <row r="709" spans="1:13">
      <c r="A709" s="408" t="s">
        <v>2245</v>
      </c>
      <c r="B709" s="106" t="s">
        <v>327</v>
      </c>
      <c r="C709" s="106" t="s">
        <v>473</v>
      </c>
      <c r="D709" s="107" t="s">
        <v>2246</v>
      </c>
      <c r="E709" s="109" t="s">
        <v>355</v>
      </c>
      <c r="F709" s="109" t="s">
        <v>355</v>
      </c>
      <c r="G709" s="55" t="s">
        <v>355</v>
      </c>
      <c r="H709" s="108" t="s">
        <v>402</v>
      </c>
      <c r="I709" s="111" t="s">
        <v>402</v>
      </c>
      <c r="J709" s="111" t="s">
        <v>402</v>
      </c>
      <c r="K709" s="106" t="s">
        <v>403</v>
      </c>
      <c r="L709" s="55" t="s">
        <v>404</v>
      </c>
      <c r="M709" s="55" t="s">
        <v>7634</v>
      </c>
    </row>
    <row r="710" spans="1:13">
      <c r="A710" s="408" t="s">
        <v>2247</v>
      </c>
      <c r="B710" s="106" t="s">
        <v>327</v>
      </c>
      <c r="C710" s="106" t="s">
        <v>473</v>
      </c>
      <c r="D710" s="107" t="s">
        <v>2248</v>
      </c>
      <c r="E710" s="109" t="s">
        <v>355</v>
      </c>
      <c r="F710" s="109" t="s">
        <v>355</v>
      </c>
      <c r="G710" s="55" t="s">
        <v>355</v>
      </c>
      <c r="H710" s="108" t="s">
        <v>402</v>
      </c>
      <c r="I710" s="111" t="s">
        <v>402</v>
      </c>
      <c r="J710" s="111" t="s">
        <v>402</v>
      </c>
      <c r="K710" s="106" t="s">
        <v>403</v>
      </c>
      <c r="L710" s="55" t="s">
        <v>404</v>
      </c>
      <c r="M710" s="55" t="s">
        <v>7634</v>
      </c>
    </row>
    <row r="711" spans="1:13">
      <c r="A711" s="408" t="s">
        <v>2249</v>
      </c>
      <c r="B711" s="106" t="s">
        <v>327</v>
      </c>
      <c r="C711" s="106" t="s">
        <v>473</v>
      </c>
      <c r="D711" s="107" t="s">
        <v>2250</v>
      </c>
      <c r="E711" s="109" t="s">
        <v>355</v>
      </c>
      <c r="F711" s="109" t="s">
        <v>355</v>
      </c>
      <c r="G711" s="55" t="s">
        <v>355</v>
      </c>
      <c r="H711" s="108" t="s">
        <v>402</v>
      </c>
      <c r="I711" s="111" t="s">
        <v>402</v>
      </c>
      <c r="J711" s="111" t="s">
        <v>402</v>
      </c>
      <c r="K711" s="106" t="s">
        <v>403</v>
      </c>
      <c r="L711" s="55" t="s">
        <v>404</v>
      </c>
      <c r="M711" s="55" t="s">
        <v>7634</v>
      </c>
    </row>
    <row r="712" spans="1:13">
      <c r="A712" s="408" t="s">
        <v>2251</v>
      </c>
      <c r="B712" s="106" t="s">
        <v>327</v>
      </c>
      <c r="C712" s="106" t="s">
        <v>473</v>
      </c>
      <c r="D712" s="107" t="s">
        <v>2252</v>
      </c>
      <c r="E712" s="109" t="s">
        <v>355</v>
      </c>
      <c r="F712" s="109" t="s">
        <v>355</v>
      </c>
      <c r="G712" s="55" t="s">
        <v>355</v>
      </c>
      <c r="H712" s="108" t="s">
        <v>402</v>
      </c>
      <c r="I712" s="111" t="s">
        <v>402</v>
      </c>
      <c r="J712" s="111" t="s">
        <v>402</v>
      </c>
      <c r="K712" s="106" t="s">
        <v>403</v>
      </c>
      <c r="L712" s="55" t="s">
        <v>404</v>
      </c>
      <c r="M712" s="55" t="s">
        <v>7634</v>
      </c>
    </row>
    <row r="713" spans="1:13">
      <c r="A713" s="408" t="s">
        <v>2253</v>
      </c>
      <c r="B713" s="106" t="s">
        <v>327</v>
      </c>
      <c r="C713" s="106" t="s">
        <v>473</v>
      </c>
      <c r="D713" s="107" t="s">
        <v>2254</v>
      </c>
      <c r="E713" s="109" t="s">
        <v>355</v>
      </c>
      <c r="F713" s="109" t="s">
        <v>355</v>
      </c>
      <c r="G713" s="55" t="s">
        <v>355</v>
      </c>
      <c r="H713" s="108" t="s">
        <v>402</v>
      </c>
      <c r="I713" s="111" t="s">
        <v>402</v>
      </c>
      <c r="J713" s="111" t="s">
        <v>402</v>
      </c>
      <c r="K713" s="106" t="s">
        <v>403</v>
      </c>
      <c r="L713" s="55" t="s">
        <v>404</v>
      </c>
      <c r="M713" s="55" t="s">
        <v>7634</v>
      </c>
    </row>
    <row r="714" spans="1:13">
      <c r="A714" s="408" t="s">
        <v>2255</v>
      </c>
      <c r="B714" s="106" t="s">
        <v>327</v>
      </c>
      <c r="C714" s="106" t="s">
        <v>473</v>
      </c>
      <c r="D714" s="107" t="s">
        <v>2256</v>
      </c>
      <c r="E714" s="109" t="s">
        <v>355</v>
      </c>
      <c r="F714" s="109" t="s">
        <v>355</v>
      </c>
      <c r="G714" s="55" t="s">
        <v>355</v>
      </c>
      <c r="H714" s="108" t="s">
        <v>402</v>
      </c>
      <c r="I714" s="111" t="s">
        <v>402</v>
      </c>
      <c r="J714" s="111" t="s">
        <v>402</v>
      </c>
      <c r="K714" s="106" t="s">
        <v>403</v>
      </c>
      <c r="L714" s="55" t="s">
        <v>404</v>
      </c>
      <c r="M714" s="55" t="s">
        <v>7634</v>
      </c>
    </row>
    <row r="715" spans="1:13">
      <c r="A715" s="401" t="s">
        <v>2257</v>
      </c>
      <c r="B715" s="106" t="s">
        <v>327</v>
      </c>
      <c r="C715" s="106" t="s">
        <v>473</v>
      </c>
      <c r="D715" s="109" t="s">
        <v>2258</v>
      </c>
      <c r="E715" s="109" t="s">
        <v>2259</v>
      </c>
      <c r="F715" s="109" t="s">
        <v>2260</v>
      </c>
      <c r="G715" s="117" t="s">
        <v>383</v>
      </c>
      <c r="H715" s="115" t="s">
        <v>402</v>
      </c>
      <c r="I715" s="111" t="s">
        <v>402</v>
      </c>
      <c r="J715" s="111" t="s">
        <v>402</v>
      </c>
      <c r="K715" s="106" t="s">
        <v>403</v>
      </c>
      <c r="L715" s="55" t="s">
        <v>404</v>
      </c>
      <c r="M715" s="55" t="s">
        <v>1173</v>
      </c>
    </row>
    <row r="716" spans="1:13">
      <c r="A716" s="408" t="s">
        <v>2261</v>
      </c>
      <c r="B716" s="106" t="s">
        <v>327</v>
      </c>
      <c r="C716" s="106" t="s">
        <v>473</v>
      </c>
      <c r="D716" s="107" t="s">
        <v>2262</v>
      </c>
      <c r="E716" s="109" t="s">
        <v>355</v>
      </c>
      <c r="F716" s="109" t="s">
        <v>355</v>
      </c>
      <c r="G716" s="55" t="s">
        <v>355</v>
      </c>
      <c r="H716" s="108" t="s">
        <v>402</v>
      </c>
      <c r="I716" s="111" t="s">
        <v>402</v>
      </c>
      <c r="J716" s="111" t="s">
        <v>402</v>
      </c>
      <c r="K716" s="106" t="s">
        <v>403</v>
      </c>
      <c r="L716" s="55" t="s">
        <v>404</v>
      </c>
      <c r="M716" s="55" t="s">
        <v>7634</v>
      </c>
    </row>
    <row r="717" spans="1:13">
      <c r="A717" s="408" t="s">
        <v>2263</v>
      </c>
      <c r="B717" s="106" t="s">
        <v>327</v>
      </c>
      <c r="C717" s="106" t="s">
        <v>473</v>
      </c>
      <c r="D717" s="107" t="s">
        <v>2264</v>
      </c>
      <c r="E717" s="109" t="s">
        <v>355</v>
      </c>
      <c r="F717" s="109" t="s">
        <v>355</v>
      </c>
      <c r="G717" s="55" t="s">
        <v>355</v>
      </c>
      <c r="H717" s="108" t="s">
        <v>402</v>
      </c>
      <c r="I717" s="111" t="s">
        <v>402</v>
      </c>
      <c r="J717" s="111" t="s">
        <v>402</v>
      </c>
      <c r="K717" s="106" t="s">
        <v>403</v>
      </c>
      <c r="L717" s="55" t="s">
        <v>404</v>
      </c>
      <c r="M717" s="55" t="s">
        <v>7634</v>
      </c>
    </row>
    <row r="718" spans="1:13">
      <c r="A718" s="408" t="s">
        <v>2265</v>
      </c>
      <c r="B718" s="106" t="s">
        <v>327</v>
      </c>
      <c r="C718" s="106" t="s">
        <v>473</v>
      </c>
      <c r="D718" s="107" t="s">
        <v>2266</v>
      </c>
      <c r="E718" s="109" t="s">
        <v>355</v>
      </c>
      <c r="F718" s="109" t="s">
        <v>355</v>
      </c>
      <c r="G718" s="55" t="s">
        <v>355</v>
      </c>
      <c r="H718" s="108" t="s">
        <v>402</v>
      </c>
      <c r="I718" s="111" t="s">
        <v>402</v>
      </c>
      <c r="J718" s="111" t="s">
        <v>402</v>
      </c>
      <c r="K718" s="106" t="s">
        <v>403</v>
      </c>
      <c r="L718" s="55" t="s">
        <v>404</v>
      </c>
      <c r="M718" s="55" t="s">
        <v>7634</v>
      </c>
    </row>
    <row r="719" spans="1:13">
      <c r="A719" s="408" t="s">
        <v>2267</v>
      </c>
      <c r="B719" s="106" t="s">
        <v>327</v>
      </c>
      <c r="C719" s="106" t="s">
        <v>473</v>
      </c>
      <c r="D719" s="107" t="s">
        <v>2268</v>
      </c>
      <c r="E719" s="109" t="s">
        <v>355</v>
      </c>
      <c r="F719" s="109" t="s">
        <v>355</v>
      </c>
      <c r="G719" s="55" t="s">
        <v>355</v>
      </c>
      <c r="H719" s="108" t="s">
        <v>402</v>
      </c>
      <c r="I719" s="111" t="s">
        <v>402</v>
      </c>
      <c r="J719" s="111" t="s">
        <v>402</v>
      </c>
      <c r="K719" s="106" t="s">
        <v>403</v>
      </c>
      <c r="L719" s="55" t="s">
        <v>404</v>
      </c>
      <c r="M719" s="55" t="s">
        <v>7634</v>
      </c>
    </row>
    <row r="720" spans="1:13">
      <c r="A720" s="408" t="s">
        <v>2269</v>
      </c>
      <c r="B720" s="106" t="s">
        <v>327</v>
      </c>
      <c r="C720" s="106" t="s">
        <v>473</v>
      </c>
      <c r="D720" s="107" t="s">
        <v>2270</v>
      </c>
      <c r="E720" s="109" t="s">
        <v>355</v>
      </c>
      <c r="F720" s="109" t="s">
        <v>355</v>
      </c>
      <c r="G720" s="55" t="s">
        <v>355</v>
      </c>
      <c r="H720" s="108" t="s">
        <v>402</v>
      </c>
      <c r="I720" s="111" t="s">
        <v>402</v>
      </c>
      <c r="J720" s="111" t="s">
        <v>402</v>
      </c>
      <c r="K720" s="106" t="s">
        <v>403</v>
      </c>
      <c r="L720" s="55" t="s">
        <v>404</v>
      </c>
      <c r="M720" s="55" t="s">
        <v>7634</v>
      </c>
    </row>
    <row r="721" spans="1:13">
      <c r="A721" s="408" t="s">
        <v>2271</v>
      </c>
      <c r="B721" s="106" t="s">
        <v>327</v>
      </c>
      <c r="C721" s="106" t="s">
        <v>473</v>
      </c>
      <c r="D721" s="107" t="s">
        <v>2272</v>
      </c>
      <c r="E721" s="109" t="s">
        <v>355</v>
      </c>
      <c r="F721" s="109" t="s">
        <v>355</v>
      </c>
      <c r="G721" s="55" t="s">
        <v>355</v>
      </c>
      <c r="H721" s="108" t="s">
        <v>402</v>
      </c>
      <c r="I721" s="111" t="s">
        <v>402</v>
      </c>
      <c r="J721" s="111" t="s">
        <v>402</v>
      </c>
      <c r="K721" s="106" t="s">
        <v>403</v>
      </c>
      <c r="L721" s="55" t="s">
        <v>404</v>
      </c>
      <c r="M721" s="55" t="s">
        <v>7634</v>
      </c>
    </row>
    <row r="722" spans="1:13">
      <c r="A722" s="408" t="s">
        <v>2273</v>
      </c>
      <c r="B722" s="106" t="s">
        <v>327</v>
      </c>
      <c r="C722" s="106" t="s">
        <v>473</v>
      </c>
      <c r="D722" s="107" t="s">
        <v>2274</v>
      </c>
      <c r="E722" s="109" t="s">
        <v>355</v>
      </c>
      <c r="F722" s="109" t="s">
        <v>355</v>
      </c>
      <c r="G722" s="55" t="s">
        <v>355</v>
      </c>
      <c r="H722" s="108" t="s">
        <v>402</v>
      </c>
      <c r="I722" s="111" t="s">
        <v>402</v>
      </c>
      <c r="J722" s="111" t="s">
        <v>402</v>
      </c>
      <c r="K722" s="106" t="s">
        <v>403</v>
      </c>
      <c r="L722" s="55" t="s">
        <v>404</v>
      </c>
      <c r="M722" s="55" t="s">
        <v>7634</v>
      </c>
    </row>
    <row r="723" spans="1:13">
      <c r="A723" s="408" t="s">
        <v>2275</v>
      </c>
      <c r="B723" s="106" t="s">
        <v>327</v>
      </c>
      <c r="C723" s="106" t="s">
        <v>473</v>
      </c>
      <c r="D723" s="107" t="s">
        <v>2276</v>
      </c>
      <c r="E723" s="109" t="s">
        <v>355</v>
      </c>
      <c r="F723" s="109" t="s">
        <v>355</v>
      </c>
      <c r="G723" s="55" t="s">
        <v>355</v>
      </c>
      <c r="H723" s="108" t="s">
        <v>402</v>
      </c>
      <c r="I723" s="111" t="s">
        <v>402</v>
      </c>
      <c r="J723" s="111" t="s">
        <v>402</v>
      </c>
      <c r="K723" s="106" t="s">
        <v>403</v>
      </c>
      <c r="L723" s="55" t="s">
        <v>404</v>
      </c>
      <c r="M723" s="55" t="s">
        <v>7634</v>
      </c>
    </row>
    <row r="724" spans="1:13">
      <c r="A724" s="408" t="s">
        <v>2277</v>
      </c>
      <c r="B724" s="106" t="s">
        <v>327</v>
      </c>
      <c r="C724" s="106" t="s">
        <v>473</v>
      </c>
      <c r="D724" s="107" t="s">
        <v>2278</v>
      </c>
      <c r="E724" s="109" t="s">
        <v>355</v>
      </c>
      <c r="F724" s="109" t="s">
        <v>355</v>
      </c>
      <c r="G724" s="55" t="s">
        <v>355</v>
      </c>
      <c r="H724" s="108" t="s">
        <v>402</v>
      </c>
      <c r="I724" s="111" t="s">
        <v>402</v>
      </c>
      <c r="J724" s="111" t="s">
        <v>402</v>
      </c>
      <c r="K724" s="106" t="s">
        <v>403</v>
      </c>
      <c r="L724" s="55" t="s">
        <v>404</v>
      </c>
      <c r="M724" s="55" t="s">
        <v>7634</v>
      </c>
    </row>
    <row r="725" spans="1:13">
      <c r="A725" s="408" t="s">
        <v>2279</v>
      </c>
      <c r="B725" s="106" t="s">
        <v>327</v>
      </c>
      <c r="C725" s="106" t="s">
        <v>473</v>
      </c>
      <c r="D725" s="107" t="s">
        <v>2278</v>
      </c>
      <c r="E725" s="109" t="s">
        <v>355</v>
      </c>
      <c r="F725" s="109" t="s">
        <v>355</v>
      </c>
      <c r="G725" s="55" t="s">
        <v>355</v>
      </c>
      <c r="H725" s="108" t="s">
        <v>402</v>
      </c>
      <c r="I725" s="111" t="s">
        <v>402</v>
      </c>
      <c r="J725" s="111" t="s">
        <v>402</v>
      </c>
      <c r="K725" s="106" t="s">
        <v>403</v>
      </c>
      <c r="L725" s="55" t="s">
        <v>404</v>
      </c>
      <c r="M725" s="55" t="s">
        <v>7634</v>
      </c>
    </row>
    <row r="726" spans="1:13">
      <c r="A726" s="408" t="s">
        <v>2280</v>
      </c>
      <c r="B726" s="106" t="s">
        <v>327</v>
      </c>
      <c r="C726" s="106" t="s">
        <v>473</v>
      </c>
      <c r="D726" s="107" t="s">
        <v>2281</v>
      </c>
      <c r="E726" s="109" t="s">
        <v>355</v>
      </c>
      <c r="F726" s="109" t="s">
        <v>355</v>
      </c>
      <c r="G726" s="55" t="s">
        <v>355</v>
      </c>
      <c r="H726" s="108" t="s">
        <v>402</v>
      </c>
      <c r="I726" s="111" t="s">
        <v>402</v>
      </c>
      <c r="J726" s="111" t="s">
        <v>402</v>
      </c>
      <c r="K726" s="106" t="s">
        <v>403</v>
      </c>
      <c r="L726" s="55" t="s">
        <v>404</v>
      </c>
      <c r="M726" s="55" t="s">
        <v>7634</v>
      </c>
    </row>
    <row r="727" spans="1:13">
      <c r="A727" s="408" t="s">
        <v>2282</v>
      </c>
      <c r="B727" s="106" t="s">
        <v>327</v>
      </c>
      <c r="C727" s="106" t="s">
        <v>473</v>
      </c>
      <c r="D727" s="107" t="s">
        <v>2283</v>
      </c>
      <c r="E727" s="109" t="s">
        <v>355</v>
      </c>
      <c r="F727" s="109" t="s">
        <v>355</v>
      </c>
      <c r="G727" s="55" t="s">
        <v>355</v>
      </c>
      <c r="H727" s="108" t="s">
        <v>402</v>
      </c>
      <c r="I727" s="111" t="s">
        <v>402</v>
      </c>
      <c r="J727" s="111" t="s">
        <v>402</v>
      </c>
      <c r="K727" s="106" t="s">
        <v>403</v>
      </c>
      <c r="L727" s="55" t="s">
        <v>404</v>
      </c>
      <c r="M727" s="55" t="s">
        <v>7634</v>
      </c>
    </row>
    <row r="728" spans="1:13">
      <c r="A728" s="408" t="s">
        <v>2284</v>
      </c>
      <c r="B728" s="106" t="s">
        <v>327</v>
      </c>
      <c r="C728" s="106" t="s">
        <v>473</v>
      </c>
      <c r="D728" s="107" t="s">
        <v>2285</v>
      </c>
      <c r="E728" s="109" t="s">
        <v>355</v>
      </c>
      <c r="F728" s="109" t="s">
        <v>355</v>
      </c>
      <c r="G728" s="55" t="s">
        <v>355</v>
      </c>
      <c r="H728" s="108" t="s">
        <v>402</v>
      </c>
      <c r="I728" s="111" t="s">
        <v>402</v>
      </c>
      <c r="J728" s="111" t="s">
        <v>402</v>
      </c>
      <c r="K728" s="106" t="s">
        <v>403</v>
      </c>
      <c r="L728" s="55" t="s">
        <v>404</v>
      </c>
      <c r="M728" s="55" t="s">
        <v>7634</v>
      </c>
    </row>
    <row r="729" spans="1:13">
      <c r="A729" s="408" t="s">
        <v>2286</v>
      </c>
      <c r="B729" s="106" t="s">
        <v>327</v>
      </c>
      <c r="C729" s="106" t="s">
        <v>473</v>
      </c>
      <c r="D729" s="107" t="s">
        <v>2287</v>
      </c>
      <c r="E729" s="109" t="s">
        <v>355</v>
      </c>
      <c r="F729" s="109" t="s">
        <v>355</v>
      </c>
      <c r="G729" s="55" t="s">
        <v>355</v>
      </c>
      <c r="H729" s="108" t="s">
        <v>402</v>
      </c>
      <c r="I729" s="111" t="s">
        <v>402</v>
      </c>
      <c r="J729" s="111" t="s">
        <v>402</v>
      </c>
      <c r="K729" s="106" t="s">
        <v>403</v>
      </c>
      <c r="L729" s="55" t="s">
        <v>404</v>
      </c>
      <c r="M729" s="55" t="s">
        <v>7634</v>
      </c>
    </row>
    <row r="730" spans="1:13">
      <c r="A730" s="408" t="s">
        <v>2288</v>
      </c>
      <c r="B730" s="106" t="s">
        <v>327</v>
      </c>
      <c r="C730" s="106" t="s">
        <v>473</v>
      </c>
      <c r="D730" s="107" t="s">
        <v>2289</v>
      </c>
      <c r="E730" s="109" t="s">
        <v>355</v>
      </c>
      <c r="F730" s="109" t="s">
        <v>355</v>
      </c>
      <c r="G730" s="55" t="s">
        <v>355</v>
      </c>
      <c r="H730" s="108" t="s">
        <v>402</v>
      </c>
      <c r="I730" s="111" t="s">
        <v>402</v>
      </c>
      <c r="J730" s="111" t="s">
        <v>402</v>
      </c>
      <c r="K730" s="106" t="s">
        <v>403</v>
      </c>
      <c r="L730" s="55" t="s">
        <v>404</v>
      </c>
      <c r="M730" s="55" t="s">
        <v>7634</v>
      </c>
    </row>
    <row r="731" spans="1:13">
      <c r="A731" s="408" t="s">
        <v>2290</v>
      </c>
      <c r="B731" s="106" t="s">
        <v>327</v>
      </c>
      <c r="C731" s="106" t="s">
        <v>473</v>
      </c>
      <c r="D731" s="107" t="s">
        <v>2291</v>
      </c>
      <c r="E731" s="109" t="s">
        <v>355</v>
      </c>
      <c r="F731" s="109" t="s">
        <v>355</v>
      </c>
      <c r="G731" s="55" t="s">
        <v>355</v>
      </c>
      <c r="H731" s="108" t="s">
        <v>402</v>
      </c>
      <c r="I731" s="111" t="s">
        <v>402</v>
      </c>
      <c r="J731" s="111" t="s">
        <v>402</v>
      </c>
      <c r="K731" s="106" t="s">
        <v>403</v>
      </c>
      <c r="L731" s="55" t="s">
        <v>404</v>
      </c>
      <c r="M731" s="55" t="s">
        <v>7634</v>
      </c>
    </row>
    <row r="732" spans="1:13">
      <c r="A732" s="408" t="s">
        <v>2292</v>
      </c>
      <c r="B732" s="106" t="s">
        <v>327</v>
      </c>
      <c r="C732" s="106" t="s">
        <v>473</v>
      </c>
      <c r="D732" s="107" t="s">
        <v>2293</v>
      </c>
      <c r="E732" s="109" t="s">
        <v>355</v>
      </c>
      <c r="F732" s="109" t="s">
        <v>355</v>
      </c>
      <c r="G732" s="55" t="s">
        <v>355</v>
      </c>
      <c r="H732" s="108" t="s">
        <v>402</v>
      </c>
      <c r="I732" s="111" t="s">
        <v>402</v>
      </c>
      <c r="J732" s="111" t="s">
        <v>402</v>
      </c>
      <c r="K732" s="106" t="s">
        <v>403</v>
      </c>
      <c r="L732" s="55" t="s">
        <v>404</v>
      </c>
      <c r="M732" s="55" t="s">
        <v>7634</v>
      </c>
    </row>
    <row r="733" spans="1:13">
      <c r="A733" s="408" t="s">
        <v>2294</v>
      </c>
      <c r="B733" s="106" t="s">
        <v>327</v>
      </c>
      <c r="C733" s="106" t="s">
        <v>473</v>
      </c>
      <c r="D733" s="107" t="s">
        <v>2295</v>
      </c>
      <c r="E733" s="109" t="s">
        <v>355</v>
      </c>
      <c r="F733" s="109" t="s">
        <v>355</v>
      </c>
      <c r="G733" s="55" t="s">
        <v>355</v>
      </c>
      <c r="H733" s="108" t="s">
        <v>402</v>
      </c>
      <c r="I733" s="111" t="s">
        <v>402</v>
      </c>
      <c r="J733" s="111" t="s">
        <v>402</v>
      </c>
      <c r="K733" s="106" t="s">
        <v>403</v>
      </c>
      <c r="L733" s="55" t="s">
        <v>404</v>
      </c>
      <c r="M733" s="55" t="s">
        <v>7634</v>
      </c>
    </row>
    <row r="734" spans="1:13">
      <c r="A734" s="408" t="s">
        <v>2296</v>
      </c>
      <c r="B734" s="106" t="s">
        <v>327</v>
      </c>
      <c r="C734" s="106" t="s">
        <v>473</v>
      </c>
      <c r="D734" s="107" t="s">
        <v>2297</v>
      </c>
      <c r="E734" s="109" t="s">
        <v>355</v>
      </c>
      <c r="F734" s="109" t="s">
        <v>355</v>
      </c>
      <c r="G734" s="55" t="s">
        <v>355</v>
      </c>
      <c r="H734" s="108" t="s">
        <v>402</v>
      </c>
      <c r="I734" s="111" t="s">
        <v>402</v>
      </c>
      <c r="J734" s="111" t="s">
        <v>402</v>
      </c>
      <c r="K734" s="106" t="s">
        <v>403</v>
      </c>
      <c r="L734" s="55" t="s">
        <v>404</v>
      </c>
      <c r="M734" s="55" t="s">
        <v>7634</v>
      </c>
    </row>
    <row r="735" spans="1:13">
      <c r="A735" s="408" t="s">
        <v>2298</v>
      </c>
      <c r="B735" s="106" t="s">
        <v>327</v>
      </c>
      <c r="C735" s="106" t="s">
        <v>473</v>
      </c>
      <c r="D735" s="107" t="s">
        <v>2297</v>
      </c>
      <c r="E735" s="109" t="s">
        <v>355</v>
      </c>
      <c r="F735" s="109" t="s">
        <v>355</v>
      </c>
      <c r="G735" s="55" t="s">
        <v>355</v>
      </c>
      <c r="H735" s="108" t="s">
        <v>402</v>
      </c>
      <c r="I735" s="111" t="s">
        <v>402</v>
      </c>
      <c r="J735" s="111" t="s">
        <v>402</v>
      </c>
      <c r="K735" s="106" t="s">
        <v>403</v>
      </c>
      <c r="L735" s="55" t="s">
        <v>404</v>
      </c>
      <c r="M735" s="55" t="s">
        <v>7634</v>
      </c>
    </row>
    <row r="736" spans="1:13">
      <c r="A736" s="408" t="s">
        <v>2299</v>
      </c>
      <c r="B736" s="106" t="s">
        <v>327</v>
      </c>
      <c r="C736" s="106" t="s">
        <v>473</v>
      </c>
      <c r="D736" s="107" t="s">
        <v>2300</v>
      </c>
      <c r="E736" s="109" t="s">
        <v>355</v>
      </c>
      <c r="F736" s="109" t="s">
        <v>355</v>
      </c>
      <c r="G736" s="55" t="s">
        <v>355</v>
      </c>
      <c r="H736" s="108" t="s">
        <v>402</v>
      </c>
      <c r="I736" s="111" t="s">
        <v>402</v>
      </c>
      <c r="J736" s="111" t="s">
        <v>402</v>
      </c>
      <c r="K736" s="106" t="s">
        <v>403</v>
      </c>
      <c r="L736" s="55" t="s">
        <v>404</v>
      </c>
      <c r="M736" s="55" t="s">
        <v>7634</v>
      </c>
    </row>
    <row r="737" spans="1:13">
      <c r="A737" s="401" t="s">
        <v>2301</v>
      </c>
      <c r="B737" s="106" t="s">
        <v>327</v>
      </c>
      <c r="C737" s="106" t="s">
        <v>473</v>
      </c>
      <c r="D737" s="109" t="s">
        <v>2302</v>
      </c>
      <c r="E737" s="109" t="s">
        <v>2303</v>
      </c>
      <c r="F737" s="109" t="s">
        <v>2304</v>
      </c>
      <c r="G737" s="117" t="s">
        <v>383</v>
      </c>
      <c r="H737" s="115" t="s">
        <v>402</v>
      </c>
      <c r="I737" s="111" t="s">
        <v>402</v>
      </c>
      <c r="J737" s="111" t="s">
        <v>402</v>
      </c>
      <c r="K737" s="115" t="s">
        <v>403</v>
      </c>
      <c r="L737" s="55" t="s">
        <v>404</v>
      </c>
      <c r="M737" s="113" t="s">
        <v>1173</v>
      </c>
    </row>
    <row r="738" spans="1:13">
      <c r="A738" s="408" t="s">
        <v>2305</v>
      </c>
      <c r="B738" s="106" t="s">
        <v>327</v>
      </c>
      <c r="C738" s="106" t="s">
        <v>473</v>
      </c>
      <c r="D738" s="107" t="s">
        <v>2306</v>
      </c>
      <c r="E738" s="109" t="s">
        <v>355</v>
      </c>
      <c r="F738" s="109" t="s">
        <v>355</v>
      </c>
      <c r="G738" s="55" t="s">
        <v>355</v>
      </c>
      <c r="H738" s="108" t="s">
        <v>402</v>
      </c>
      <c r="I738" s="111" t="s">
        <v>402</v>
      </c>
      <c r="J738" s="111" t="s">
        <v>402</v>
      </c>
      <c r="K738" s="106" t="s">
        <v>403</v>
      </c>
      <c r="L738" s="55" t="s">
        <v>404</v>
      </c>
      <c r="M738" s="55" t="s">
        <v>7634</v>
      </c>
    </row>
    <row r="739" spans="1:13">
      <c r="A739" s="408" t="s">
        <v>2307</v>
      </c>
      <c r="B739" s="106" t="s">
        <v>327</v>
      </c>
      <c r="C739" s="106" t="s">
        <v>473</v>
      </c>
      <c r="D739" s="107" t="s">
        <v>2308</v>
      </c>
      <c r="E739" s="109" t="s">
        <v>355</v>
      </c>
      <c r="F739" s="109" t="s">
        <v>355</v>
      </c>
      <c r="G739" s="55" t="s">
        <v>355</v>
      </c>
      <c r="H739" s="108" t="s">
        <v>402</v>
      </c>
      <c r="I739" s="111" t="s">
        <v>402</v>
      </c>
      <c r="J739" s="111" t="s">
        <v>402</v>
      </c>
      <c r="K739" s="106" t="s">
        <v>403</v>
      </c>
      <c r="L739" s="55" t="s">
        <v>404</v>
      </c>
      <c r="M739" s="55" t="s">
        <v>7634</v>
      </c>
    </row>
    <row r="740" spans="1:13">
      <c r="A740" s="408" t="s">
        <v>2309</v>
      </c>
      <c r="B740" s="106" t="s">
        <v>327</v>
      </c>
      <c r="C740" s="106" t="s">
        <v>473</v>
      </c>
      <c r="D740" s="107" t="s">
        <v>2310</v>
      </c>
      <c r="E740" s="109" t="s">
        <v>355</v>
      </c>
      <c r="F740" s="109" t="s">
        <v>355</v>
      </c>
      <c r="G740" s="55" t="s">
        <v>355</v>
      </c>
      <c r="H740" s="108" t="s">
        <v>402</v>
      </c>
      <c r="I740" s="111" t="s">
        <v>402</v>
      </c>
      <c r="J740" s="111" t="s">
        <v>402</v>
      </c>
      <c r="K740" s="106" t="s">
        <v>403</v>
      </c>
      <c r="L740" s="55" t="s">
        <v>404</v>
      </c>
      <c r="M740" s="55" t="s">
        <v>7634</v>
      </c>
    </row>
    <row r="741" spans="1:13">
      <c r="A741" s="408" t="s">
        <v>2311</v>
      </c>
      <c r="B741" s="106" t="s">
        <v>327</v>
      </c>
      <c r="C741" s="106" t="s">
        <v>473</v>
      </c>
      <c r="D741" s="107" t="s">
        <v>2312</v>
      </c>
      <c r="E741" s="109" t="s">
        <v>355</v>
      </c>
      <c r="F741" s="109" t="s">
        <v>355</v>
      </c>
      <c r="G741" s="55" t="s">
        <v>355</v>
      </c>
      <c r="H741" s="108" t="s">
        <v>402</v>
      </c>
      <c r="I741" s="111" t="s">
        <v>402</v>
      </c>
      <c r="J741" s="111" t="s">
        <v>402</v>
      </c>
      <c r="K741" s="106" t="s">
        <v>403</v>
      </c>
      <c r="L741" s="55" t="s">
        <v>404</v>
      </c>
      <c r="M741" s="55" t="s">
        <v>7634</v>
      </c>
    </row>
    <row r="742" spans="1:13">
      <c r="A742" s="408" t="s">
        <v>2313</v>
      </c>
      <c r="B742" s="106" t="s">
        <v>327</v>
      </c>
      <c r="C742" s="106" t="s">
        <v>473</v>
      </c>
      <c r="D742" s="107" t="s">
        <v>2314</v>
      </c>
      <c r="E742" s="109" t="s">
        <v>355</v>
      </c>
      <c r="F742" s="109" t="s">
        <v>355</v>
      </c>
      <c r="G742" s="55" t="s">
        <v>355</v>
      </c>
      <c r="H742" s="108" t="s">
        <v>402</v>
      </c>
      <c r="I742" s="111" t="s">
        <v>402</v>
      </c>
      <c r="J742" s="111" t="s">
        <v>402</v>
      </c>
      <c r="K742" s="106" t="s">
        <v>403</v>
      </c>
      <c r="L742" s="55" t="s">
        <v>404</v>
      </c>
      <c r="M742" s="55" t="s">
        <v>7634</v>
      </c>
    </row>
    <row r="743" spans="1:13">
      <c r="A743" s="408" t="s">
        <v>2315</v>
      </c>
      <c r="B743" s="106" t="s">
        <v>327</v>
      </c>
      <c r="C743" s="106" t="s">
        <v>473</v>
      </c>
      <c r="D743" s="107" t="s">
        <v>2316</v>
      </c>
      <c r="E743" s="109" t="s">
        <v>355</v>
      </c>
      <c r="F743" s="109" t="s">
        <v>355</v>
      </c>
      <c r="G743" s="55" t="s">
        <v>355</v>
      </c>
      <c r="H743" s="108" t="s">
        <v>402</v>
      </c>
      <c r="I743" s="111" t="s">
        <v>402</v>
      </c>
      <c r="J743" s="111" t="s">
        <v>402</v>
      </c>
      <c r="K743" s="106" t="s">
        <v>403</v>
      </c>
      <c r="L743" s="55" t="s">
        <v>404</v>
      </c>
      <c r="M743" s="55" t="s">
        <v>7634</v>
      </c>
    </row>
    <row r="744" spans="1:13">
      <c r="A744" s="408" t="s">
        <v>2317</v>
      </c>
      <c r="B744" s="106" t="s">
        <v>327</v>
      </c>
      <c r="C744" s="106" t="s">
        <v>473</v>
      </c>
      <c r="D744" s="107" t="s">
        <v>2318</v>
      </c>
      <c r="E744" s="109" t="s">
        <v>355</v>
      </c>
      <c r="F744" s="109" t="s">
        <v>355</v>
      </c>
      <c r="G744" s="55" t="s">
        <v>355</v>
      </c>
      <c r="H744" s="108" t="s">
        <v>402</v>
      </c>
      <c r="I744" s="111" t="s">
        <v>402</v>
      </c>
      <c r="J744" s="111" t="s">
        <v>402</v>
      </c>
      <c r="K744" s="106" t="s">
        <v>403</v>
      </c>
      <c r="L744" s="55" t="s">
        <v>404</v>
      </c>
      <c r="M744" s="55" t="s">
        <v>7634</v>
      </c>
    </row>
    <row r="745" spans="1:13">
      <c r="A745" s="408" t="s">
        <v>2319</v>
      </c>
      <c r="B745" s="106" t="s">
        <v>327</v>
      </c>
      <c r="C745" s="106" t="s">
        <v>473</v>
      </c>
      <c r="D745" s="107" t="s">
        <v>2320</v>
      </c>
      <c r="E745" s="109" t="s">
        <v>355</v>
      </c>
      <c r="F745" s="109" t="s">
        <v>355</v>
      </c>
      <c r="G745" s="55" t="s">
        <v>355</v>
      </c>
      <c r="H745" s="108" t="s">
        <v>402</v>
      </c>
      <c r="I745" s="111" t="s">
        <v>402</v>
      </c>
      <c r="J745" s="111" t="s">
        <v>402</v>
      </c>
      <c r="K745" s="106" t="s">
        <v>403</v>
      </c>
      <c r="L745" s="55" t="s">
        <v>404</v>
      </c>
      <c r="M745" s="55" t="s">
        <v>7634</v>
      </c>
    </row>
    <row r="746" spans="1:13">
      <c r="A746" s="408" t="s">
        <v>2321</v>
      </c>
      <c r="B746" s="106" t="s">
        <v>327</v>
      </c>
      <c r="C746" s="106" t="s">
        <v>473</v>
      </c>
      <c r="D746" s="107" t="s">
        <v>2322</v>
      </c>
      <c r="E746" s="109" t="s">
        <v>355</v>
      </c>
      <c r="F746" s="109" t="s">
        <v>355</v>
      </c>
      <c r="G746" s="55" t="s">
        <v>355</v>
      </c>
      <c r="H746" s="108" t="s">
        <v>402</v>
      </c>
      <c r="I746" s="111" t="s">
        <v>402</v>
      </c>
      <c r="J746" s="111" t="s">
        <v>402</v>
      </c>
      <c r="K746" s="106" t="s">
        <v>403</v>
      </c>
      <c r="L746" s="55" t="s">
        <v>404</v>
      </c>
      <c r="M746" s="55" t="s">
        <v>7634</v>
      </c>
    </row>
    <row r="747" spans="1:13">
      <c r="A747" s="408" t="s">
        <v>2323</v>
      </c>
      <c r="B747" s="106" t="s">
        <v>327</v>
      </c>
      <c r="C747" s="106" t="s">
        <v>473</v>
      </c>
      <c r="D747" s="107" t="s">
        <v>2324</v>
      </c>
      <c r="E747" s="109" t="s">
        <v>355</v>
      </c>
      <c r="F747" s="109" t="s">
        <v>355</v>
      </c>
      <c r="G747" s="55" t="s">
        <v>355</v>
      </c>
      <c r="H747" s="108" t="s">
        <v>402</v>
      </c>
      <c r="I747" s="111" t="s">
        <v>402</v>
      </c>
      <c r="J747" s="111" t="s">
        <v>402</v>
      </c>
      <c r="K747" s="106" t="s">
        <v>403</v>
      </c>
      <c r="L747" s="55" t="s">
        <v>404</v>
      </c>
      <c r="M747" s="55" t="s">
        <v>7634</v>
      </c>
    </row>
    <row r="748" spans="1:13">
      <c r="A748" s="408" t="s">
        <v>2325</v>
      </c>
      <c r="B748" s="106" t="s">
        <v>327</v>
      </c>
      <c r="C748" s="106" t="s">
        <v>473</v>
      </c>
      <c r="D748" s="107" t="s">
        <v>2326</v>
      </c>
      <c r="E748" s="109" t="s">
        <v>355</v>
      </c>
      <c r="F748" s="109" t="s">
        <v>355</v>
      </c>
      <c r="G748" s="55" t="s">
        <v>355</v>
      </c>
      <c r="H748" s="108" t="s">
        <v>402</v>
      </c>
      <c r="I748" s="111" t="s">
        <v>402</v>
      </c>
      <c r="J748" s="111" t="s">
        <v>402</v>
      </c>
      <c r="K748" s="106" t="s">
        <v>403</v>
      </c>
      <c r="L748" s="55" t="s">
        <v>404</v>
      </c>
      <c r="M748" s="55" t="s">
        <v>7634</v>
      </c>
    </row>
    <row r="749" spans="1:13">
      <c r="A749" s="408" t="s">
        <v>2327</v>
      </c>
      <c r="B749" s="106" t="s">
        <v>327</v>
      </c>
      <c r="C749" s="106" t="s">
        <v>473</v>
      </c>
      <c r="D749" s="107" t="s">
        <v>2328</v>
      </c>
      <c r="E749" s="109" t="s">
        <v>355</v>
      </c>
      <c r="F749" s="109" t="s">
        <v>355</v>
      </c>
      <c r="G749" s="55" t="s">
        <v>355</v>
      </c>
      <c r="H749" s="108" t="s">
        <v>402</v>
      </c>
      <c r="I749" s="111" t="s">
        <v>402</v>
      </c>
      <c r="J749" s="111" t="s">
        <v>402</v>
      </c>
      <c r="K749" s="106" t="s">
        <v>403</v>
      </c>
      <c r="L749" s="55" t="s">
        <v>404</v>
      </c>
      <c r="M749" s="55" t="s">
        <v>7634</v>
      </c>
    </row>
    <row r="750" spans="1:13">
      <c r="A750" s="408" t="s">
        <v>2329</v>
      </c>
      <c r="B750" s="106" t="s">
        <v>327</v>
      </c>
      <c r="C750" s="106" t="s">
        <v>473</v>
      </c>
      <c r="D750" s="107" t="s">
        <v>2330</v>
      </c>
      <c r="E750" s="109" t="s">
        <v>355</v>
      </c>
      <c r="F750" s="109" t="s">
        <v>355</v>
      </c>
      <c r="G750" s="55" t="s">
        <v>355</v>
      </c>
      <c r="H750" s="108" t="s">
        <v>402</v>
      </c>
      <c r="I750" s="111" t="s">
        <v>402</v>
      </c>
      <c r="J750" s="111" t="s">
        <v>402</v>
      </c>
      <c r="K750" s="106" t="s">
        <v>403</v>
      </c>
      <c r="L750" s="55" t="s">
        <v>404</v>
      </c>
      <c r="M750" s="55" t="s">
        <v>7634</v>
      </c>
    </row>
    <row r="751" spans="1:13">
      <c r="A751" s="408" t="s">
        <v>2331</v>
      </c>
      <c r="B751" s="106" t="s">
        <v>327</v>
      </c>
      <c r="C751" s="106" t="s">
        <v>473</v>
      </c>
      <c r="D751" s="107" t="s">
        <v>2332</v>
      </c>
      <c r="E751" s="109" t="s">
        <v>355</v>
      </c>
      <c r="F751" s="109" t="s">
        <v>355</v>
      </c>
      <c r="G751" s="55" t="s">
        <v>355</v>
      </c>
      <c r="H751" s="108" t="s">
        <v>402</v>
      </c>
      <c r="I751" s="111" t="s">
        <v>402</v>
      </c>
      <c r="J751" s="111" t="s">
        <v>402</v>
      </c>
      <c r="K751" s="106" t="s">
        <v>403</v>
      </c>
      <c r="L751" s="55" t="s">
        <v>404</v>
      </c>
      <c r="M751" s="55" t="s">
        <v>7634</v>
      </c>
    </row>
    <row r="752" spans="1:13">
      <c r="A752" s="408" t="s">
        <v>2333</v>
      </c>
      <c r="B752" s="106" t="s">
        <v>327</v>
      </c>
      <c r="C752" s="106" t="s">
        <v>473</v>
      </c>
      <c r="D752" s="107" t="s">
        <v>2334</v>
      </c>
      <c r="E752" s="109" t="s">
        <v>355</v>
      </c>
      <c r="F752" s="109" t="s">
        <v>355</v>
      </c>
      <c r="G752" s="55" t="s">
        <v>355</v>
      </c>
      <c r="H752" s="108" t="s">
        <v>402</v>
      </c>
      <c r="I752" s="111" t="s">
        <v>402</v>
      </c>
      <c r="J752" s="111" t="s">
        <v>402</v>
      </c>
      <c r="K752" s="106" t="s">
        <v>403</v>
      </c>
      <c r="L752" s="55" t="s">
        <v>404</v>
      </c>
      <c r="M752" s="55" t="s">
        <v>7634</v>
      </c>
    </row>
    <row r="753" spans="1:13">
      <c r="A753" s="408" t="s">
        <v>2335</v>
      </c>
      <c r="B753" s="106" t="s">
        <v>327</v>
      </c>
      <c r="C753" s="106" t="s">
        <v>473</v>
      </c>
      <c r="D753" s="107" t="s">
        <v>2336</v>
      </c>
      <c r="E753" s="109" t="s">
        <v>355</v>
      </c>
      <c r="F753" s="109" t="s">
        <v>355</v>
      </c>
      <c r="G753" s="55" t="s">
        <v>355</v>
      </c>
      <c r="H753" s="108" t="s">
        <v>402</v>
      </c>
      <c r="I753" s="111" t="s">
        <v>402</v>
      </c>
      <c r="J753" s="111" t="s">
        <v>402</v>
      </c>
      <c r="K753" s="106" t="s">
        <v>403</v>
      </c>
      <c r="L753" s="55" t="s">
        <v>404</v>
      </c>
      <c r="M753" s="55" t="s">
        <v>7634</v>
      </c>
    </row>
    <row r="754" spans="1:13">
      <c r="A754" s="408" t="s">
        <v>2337</v>
      </c>
      <c r="B754" s="106" t="s">
        <v>327</v>
      </c>
      <c r="C754" s="106" t="s">
        <v>473</v>
      </c>
      <c r="D754" s="107" t="s">
        <v>2338</v>
      </c>
      <c r="E754" s="109" t="s">
        <v>355</v>
      </c>
      <c r="F754" s="109" t="s">
        <v>355</v>
      </c>
      <c r="G754" s="55" t="s">
        <v>355</v>
      </c>
      <c r="H754" s="108" t="s">
        <v>402</v>
      </c>
      <c r="I754" s="111" t="s">
        <v>402</v>
      </c>
      <c r="J754" s="111" t="s">
        <v>402</v>
      </c>
      <c r="K754" s="106" t="s">
        <v>403</v>
      </c>
      <c r="L754" s="55" t="s">
        <v>404</v>
      </c>
      <c r="M754" s="55" t="s">
        <v>7634</v>
      </c>
    </row>
    <row r="755" spans="1:13">
      <c r="A755" s="408" t="s">
        <v>2339</v>
      </c>
      <c r="B755" s="106" t="s">
        <v>327</v>
      </c>
      <c r="C755" s="106" t="s">
        <v>473</v>
      </c>
      <c r="D755" s="107" t="s">
        <v>2340</v>
      </c>
      <c r="E755" s="109" t="s">
        <v>355</v>
      </c>
      <c r="F755" s="109" t="s">
        <v>355</v>
      </c>
      <c r="G755" s="55" t="s">
        <v>355</v>
      </c>
      <c r="H755" s="108" t="s">
        <v>402</v>
      </c>
      <c r="I755" s="111" t="s">
        <v>402</v>
      </c>
      <c r="J755" s="111" t="s">
        <v>402</v>
      </c>
      <c r="K755" s="106" t="s">
        <v>403</v>
      </c>
      <c r="L755" s="55" t="s">
        <v>404</v>
      </c>
      <c r="M755" s="55" t="s">
        <v>7634</v>
      </c>
    </row>
    <row r="756" spans="1:13">
      <c r="A756" s="408" t="s">
        <v>2341</v>
      </c>
      <c r="B756" s="106" t="s">
        <v>327</v>
      </c>
      <c r="C756" s="106" t="s">
        <v>473</v>
      </c>
      <c r="D756" s="107" t="s">
        <v>2342</v>
      </c>
      <c r="E756" s="109" t="s">
        <v>355</v>
      </c>
      <c r="F756" s="109" t="s">
        <v>355</v>
      </c>
      <c r="G756" s="55" t="s">
        <v>355</v>
      </c>
      <c r="H756" s="108" t="s">
        <v>402</v>
      </c>
      <c r="I756" s="111" t="s">
        <v>402</v>
      </c>
      <c r="J756" s="111" t="s">
        <v>402</v>
      </c>
      <c r="K756" s="106" t="s">
        <v>403</v>
      </c>
      <c r="L756" s="55" t="s">
        <v>404</v>
      </c>
      <c r="M756" s="55" t="s">
        <v>7634</v>
      </c>
    </row>
    <row r="757" spans="1:13">
      <c r="A757" s="408" t="s">
        <v>2343</v>
      </c>
      <c r="B757" s="106" t="s">
        <v>327</v>
      </c>
      <c r="C757" s="106" t="s">
        <v>473</v>
      </c>
      <c r="D757" s="107" t="s">
        <v>2344</v>
      </c>
      <c r="E757" s="109" t="s">
        <v>355</v>
      </c>
      <c r="F757" s="109" t="s">
        <v>355</v>
      </c>
      <c r="G757" s="55" t="s">
        <v>355</v>
      </c>
      <c r="H757" s="108" t="s">
        <v>402</v>
      </c>
      <c r="I757" s="111" t="s">
        <v>402</v>
      </c>
      <c r="J757" s="111" t="s">
        <v>402</v>
      </c>
      <c r="K757" s="106" t="s">
        <v>403</v>
      </c>
      <c r="L757" s="55" t="s">
        <v>404</v>
      </c>
      <c r="M757" s="55" t="s">
        <v>7634</v>
      </c>
    </row>
    <row r="758" spans="1:13">
      <c r="A758" s="408" t="s">
        <v>2345</v>
      </c>
      <c r="B758" s="106" t="s">
        <v>327</v>
      </c>
      <c r="C758" s="106" t="s">
        <v>473</v>
      </c>
      <c r="D758" s="107" t="s">
        <v>2346</v>
      </c>
      <c r="E758" s="109" t="s">
        <v>355</v>
      </c>
      <c r="F758" s="109" t="s">
        <v>355</v>
      </c>
      <c r="G758" s="55" t="s">
        <v>355</v>
      </c>
      <c r="H758" s="108" t="s">
        <v>402</v>
      </c>
      <c r="I758" s="111" t="s">
        <v>402</v>
      </c>
      <c r="J758" s="111" t="s">
        <v>402</v>
      </c>
      <c r="K758" s="106" t="s">
        <v>403</v>
      </c>
      <c r="L758" s="55" t="s">
        <v>404</v>
      </c>
      <c r="M758" s="55" t="s">
        <v>7634</v>
      </c>
    </row>
    <row r="759" spans="1:13">
      <c r="A759" s="408" t="s">
        <v>2347</v>
      </c>
      <c r="B759" s="106" t="s">
        <v>327</v>
      </c>
      <c r="C759" s="106" t="s">
        <v>473</v>
      </c>
      <c r="D759" s="107" t="s">
        <v>2348</v>
      </c>
      <c r="E759" s="109" t="s">
        <v>355</v>
      </c>
      <c r="F759" s="109" t="s">
        <v>355</v>
      </c>
      <c r="G759" s="55" t="s">
        <v>355</v>
      </c>
      <c r="H759" s="108" t="s">
        <v>402</v>
      </c>
      <c r="I759" s="111" t="s">
        <v>402</v>
      </c>
      <c r="J759" s="111" t="s">
        <v>402</v>
      </c>
      <c r="K759" s="106" t="s">
        <v>403</v>
      </c>
      <c r="L759" s="55" t="s">
        <v>404</v>
      </c>
      <c r="M759" s="55" t="s">
        <v>7634</v>
      </c>
    </row>
    <row r="760" spans="1:13">
      <c r="A760" s="401" t="s">
        <v>2349</v>
      </c>
      <c r="B760" s="106" t="s">
        <v>327</v>
      </c>
      <c r="C760" s="106" t="s">
        <v>473</v>
      </c>
      <c r="D760" s="107" t="s">
        <v>2350</v>
      </c>
      <c r="E760" s="107" t="s">
        <v>1225</v>
      </c>
      <c r="F760" s="107" t="s">
        <v>355</v>
      </c>
      <c r="G760" s="114" t="s">
        <v>355</v>
      </c>
      <c r="H760" s="115" t="s">
        <v>402</v>
      </c>
      <c r="I760" s="111" t="s">
        <v>402</v>
      </c>
      <c r="J760" s="111" t="s">
        <v>402</v>
      </c>
      <c r="K760" s="106" t="s">
        <v>403</v>
      </c>
      <c r="L760" s="55" t="s">
        <v>404</v>
      </c>
      <c r="M760" s="113" t="s">
        <v>383</v>
      </c>
    </row>
    <row r="761" spans="1:13">
      <c r="A761" s="408" t="s">
        <v>2351</v>
      </c>
      <c r="B761" s="106" t="s">
        <v>327</v>
      </c>
      <c r="C761" s="106" t="s">
        <v>473</v>
      </c>
      <c r="D761" s="107" t="s">
        <v>2352</v>
      </c>
      <c r="E761" s="109" t="s">
        <v>355</v>
      </c>
      <c r="F761" s="109" t="s">
        <v>355</v>
      </c>
      <c r="G761" s="55" t="s">
        <v>355</v>
      </c>
      <c r="H761" s="108" t="s">
        <v>402</v>
      </c>
      <c r="I761" s="111" t="s">
        <v>402</v>
      </c>
      <c r="J761" s="111" t="s">
        <v>402</v>
      </c>
      <c r="K761" s="106" t="s">
        <v>403</v>
      </c>
      <c r="L761" s="55" t="s">
        <v>404</v>
      </c>
      <c r="M761" s="55" t="s">
        <v>7634</v>
      </c>
    </row>
    <row r="762" spans="1:13">
      <c r="A762" s="408" t="s">
        <v>2353</v>
      </c>
      <c r="B762" s="106" t="s">
        <v>327</v>
      </c>
      <c r="C762" s="106" t="s">
        <v>473</v>
      </c>
      <c r="D762" s="107" t="s">
        <v>2352</v>
      </c>
      <c r="E762" s="109" t="s">
        <v>355</v>
      </c>
      <c r="F762" s="109" t="s">
        <v>355</v>
      </c>
      <c r="G762" s="55" t="s">
        <v>355</v>
      </c>
      <c r="H762" s="108" t="s">
        <v>402</v>
      </c>
      <c r="I762" s="111" t="s">
        <v>402</v>
      </c>
      <c r="J762" s="111" t="s">
        <v>402</v>
      </c>
      <c r="K762" s="106" t="s">
        <v>403</v>
      </c>
      <c r="L762" s="55" t="s">
        <v>404</v>
      </c>
      <c r="M762" s="55" t="s">
        <v>7634</v>
      </c>
    </row>
    <row r="763" spans="1:13">
      <c r="A763" s="408" t="s">
        <v>2354</v>
      </c>
      <c r="B763" s="106" t="s">
        <v>327</v>
      </c>
      <c r="C763" s="106" t="s">
        <v>473</v>
      </c>
      <c r="D763" s="107" t="s">
        <v>2352</v>
      </c>
      <c r="E763" s="109" t="s">
        <v>355</v>
      </c>
      <c r="F763" s="109" t="s">
        <v>355</v>
      </c>
      <c r="G763" s="55" t="s">
        <v>355</v>
      </c>
      <c r="H763" s="108" t="s">
        <v>402</v>
      </c>
      <c r="I763" s="111" t="s">
        <v>402</v>
      </c>
      <c r="J763" s="111" t="s">
        <v>402</v>
      </c>
      <c r="K763" s="106" t="s">
        <v>403</v>
      </c>
      <c r="L763" s="55" t="s">
        <v>404</v>
      </c>
      <c r="M763" s="55" t="s">
        <v>7634</v>
      </c>
    </row>
    <row r="764" spans="1:13">
      <c r="A764" s="408" t="s">
        <v>2355</v>
      </c>
      <c r="B764" s="106" t="s">
        <v>327</v>
      </c>
      <c r="C764" s="106" t="s">
        <v>473</v>
      </c>
      <c r="D764" s="107" t="s">
        <v>2356</v>
      </c>
      <c r="E764" s="109" t="s">
        <v>355</v>
      </c>
      <c r="F764" s="109" t="s">
        <v>355</v>
      </c>
      <c r="G764" s="55" t="s">
        <v>355</v>
      </c>
      <c r="H764" s="108" t="s">
        <v>402</v>
      </c>
      <c r="I764" s="111" t="s">
        <v>402</v>
      </c>
      <c r="J764" s="111" t="s">
        <v>402</v>
      </c>
      <c r="K764" s="106" t="s">
        <v>403</v>
      </c>
      <c r="L764" s="55" t="s">
        <v>404</v>
      </c>
      <c r="M764" s="55" t="s">
        <v>7634</v>
      </c>
    </row>
    <row r="765" spans="1:13">
      <c r="A765" s="408" t="s">
        <v>2357</v>
      </c>
      <c r="B765" s="106" t="s">
        <v>327</v>
      </c>
      <c r="C765" s="106" t="s">
        <v>473</v>
      </c>
      <c r="D765" s="107" t="s">
        <v>2356</v>
      </c>
      <c r="E765" s="109" t="s">
        <v>355</v>
      </c>
      <c r="F765" s="109" t="s">
        <v>355</v>
      </c>
      <c r="G765" s="55" t="s">
        <v>355</v>
      </c>
      <c r="H765" s="108" t="s">
        <v>402</v>
      </c>
      <c r="I765" s="111" t="s">
        <v>402</v>
      </c>
      <c r="J765" s="111" t="s">
        <v>402</v>
      </c>
      <c r="K765" s="106" t="s">
        <v>403</v>
      </c>
      <c r="L765" s="55" t="s">
        <v>404</v>
      </c>
      <c r="M765" s="55" t="s">
        <v>7634</v>
      </c>
    </row>
    <row r="766" spans="1:13">
      <c r="A766" s="408" t="s">
        <v>2358</v>
      </c>
      <c r="B766" s="106" t="s">
        <v>327</v>
      </c>
      <c r="C766" s="106" t="s">
        <v>473</v>
      </c>
      <c r="D766" s="107" t="s">
        <v>2356</v>
      </c>
      <c r="E766" s="109" t="s">
        <v>355</v>
      </c>
      <c r="F766" s="109" t="s">
        <v>355</v>
      </c>
      <c r="G766" s="55" t="s">
        <v>355</v>
      </c>
      <c r="H766" s="108" t="s">
        <v>402</v>
      </c>
      <c r="I766" s="111" t="s">
        <v>402</v>
      </c>
      <c r="J766" s="111" t="s">
        <v>402</v>
      </c>
      <c r="K766" s="106" t="s">
        <v>403</v>
      </c>
      <c r="L766" s="55" t="s">
        <v>404</v>
      </c>
      <c r="M766" s="55" t="s">
        <v>7634</v>
      </c>
    </row>
    <row r="767" spans="1:13">
      <c r="A767" s="401" t="s">
        <v>2359</v>
      </c>
      <c r="B767" s="106" t="s">
        <v>327</v>
      </c>
      <c r="C767" s="106" t="s">
        <v>473</v>
      </c>
      <c r="D767" s="109" t="s">
        <v>2360</v>
      </c>
      <c r="E767" s="109" t="s">
        <v>2361</v>
      </c>
      <c r="F767" s="109" t="s">
        <v>2362</v>
      </c>
      <c r="G767" s="55" t="s">
        <v>2363</v>
      </c>
      <c r="H767" s="115" t="s">
        <v>402</v>
      </c>
      <c r="I767" s="111" t="s">
        <v>402</v>
      </c>
      <c r="J767" s="111" t="s">
        <v>402</v>
      </c>
      <c r="K767" s="108" t="s">
        <v>403</v>
      </c>
      <c r="L767" s="55" t="s">
        <v>404</v>
      </c>
      <c r="M767" s="55" t="s">
        <v>7634</v>
      </c>
    </row>
    <row r="768" spans="1:13">
      <c r="A768" s="408" t="s">
        <v>2364</v>
      </c>
      <c r="B768" s="106" t="s">
        <v>327</v>
      </c>
      <c r="C768" s="106" t="s">
        <v>473</v>
      </c>
      <c r="D768" s="107" t="s">
        <v>2365</v>
      </c>
      <c r="E768" s="109" t="s">
        <v>355</v>
      </c>
      <c r="F768" s="109" t="s">
        <v>355</v>
      </c>
      <c r="G768" s="55" t="s">
        <v>355</v>
      </c>
      <c r="H768" s="108" t="s">
        <v>402</v>
      </c>
      <c r="I768" s="111" t="s">
        <v>402</v>
      </c>
      <c r="J768" s="111" t="s">
        <v>402</v>
      </c>
      <c r="K768" s="106" t="s">
        <v>403</v>
      </c>
      <c r="L768" s="55" t="s">
        <v>404</v>
      </c>
      <c r="M768" s="55" t="s">
        <v>7634</v>
      </c>
    </row>
    <row r="769" spans="1:13">
      <c r="A769" s="408" t="s">
        <v>2366</v>
      </c>
      <c r="B769" s="106" t="s">
        <v>327</v>
      </c>
      <c r="C769" s="106" t="s">
        <v>473</v>
      </c>
      <c r="D769" s="107" t="s">
        <v>2367</v>
      </c>
      <c r="E769" s="109" t="s">
        <v>355</v>
      </c>
      <c r="F769" s="109" t="s">
        <v>355</v>
      </c>
      <c r="G769" s="55" t="s">
        <v>355</v>
      </c>
      <c r="H769" s="108" t="s">
        <v>402</v>
      </c>
      <c r="I769" s="111" t="s">
        <v>402</v>
      </c>
      <c r="J769" s="111" t="s">
        <v>402</v>
      </c>
      <c r="K769" s="106" t="s">
        <v>403</v>
      </c>
      <c r="L769" s="55" t="s">
        <v>404</v>
      </c>
      <c r="M769" s="55" t="s">
        <v>7634</v>
      </c>
    </row>
    <row r="770" spans="1:13">
      <c r="A770" s="408" t="s">
        <v>2368</v>
      </c>
      <c r="B770" s="106" t="s">
        <v>327</v>
      </c>
      <c r="C770" s="106" t="s">
        <v>473</v>
      </c>
      <c r="D770" s="107" t="s">
        <v>2369</v>
      </c>
      <c r="E770" s="109" t="s">
        <v>355</v>
      </c>
      <c r="F770" s="109" t="s">
        <v>355</v>
      </c>
      <c r="G770" s="55" t="s">
        <v>355</v>
      </c>
      <c r="H770" s="108" t="s">
        <v>402</v>
      </c>
      <c r="I770" s="111" t="s">
        <v>402</v>
      </c>
      <c r="J770" s="111" t="s">
        <v>402</v>
      </c>
      <c r="K770" s="106" t="s">
        <v>403</v>
      </c>
      <c r="L770" s="55" t="s">
        <v>404</v>
      </c>
      <c r="M770" s="55" t="s">
        <v>7634</v>
      </c>
    </row>
    <row r="771" spans="1:13">
      <c r="A771" s="408" t="s">
        <v>2370</v>
      </c>
      <c r="B771" s="106" t="s">
        <v>327</v>
      </c>
      <c r="C771" s="106" t="s">
        <v>473</v>
      </c>
      <c r="D771" s="107" t="s">
        <v>2371</v>
      </c>
      <c r="E771" s="109" t="s">
        <v>355</v>
      </c>
      <c r="F771" s="109" t="s">
        <v>355</v>
      </c>
      <c r="G771" s="55" t="s">
        <v>355</v>
      </c>
      <c r="H771" s="108" t="s">
        <v>402</v>
      </c>
      <c r="I771" s="111" t="s">
        <v>402</v>
      </c>
      <c r="J771" s="111" t="s">
        <v>402</v>
      </c>
      <c r="K771" s="106" t="s">
        <v>403</v>
      </c>
      <c r="L771" s="55" t="s">
        <v>404</v>
      </c>
      <c r="M771" s="55" t="s">
        <v>7634</v>
      </c>
    </row>
    <row r="772" spans="1:13">
      <c r="A772" s="408" t="s">
        <v>2372</v>
      </c>
      <c r="B772" s="106" t="s">
        <v>327</v>
      </c>
      <c r="C772" s="106" t="s">
        <v>473</v>
      </c>
      <c r="D772" s="107" t="s">
        <v>2373</v>
      </c>
      <c r="E772" s="109" t="s">
        <v>355</v>
      </c>
      <c r="F772" s="109" t="s">
        <v>355</v>
      </c>
      <c r="G772" s="55" t="s">
        <v>355</v>
      </c>
      <c r="H772" s="108" t="s">
        <v>402</v>
      </c>
      <c r="I772" s="111" t="s">
        <v>402</v>
      </c>
      <c r="J772" s="111" t="s">
        <v>402</v>
      </c>
      <c r="K772" s="106" t="s">
        <v>403</v>
      </c>
      <c r="L772" s="55" t="s">
        <v>404</v>
      </c>
      <c r="M772" s="55" t="s">
        <v>7634</v>
      </c>
    </row>
    <row r="773" spans="1:13">
      <c r="A773" s="408" t="s">
        <v>2374</v>
      </c>
      <c r="B773" s="106" t="s">
        <v>327</v>
      </c>
      <c r="C773" s="106" t="s">
        <v>473</v>
      </c>
      <c r="D773" s="107" t="s">
        <v>2375</v>
      </c>
      <c r="E773" s="109" t="s">
        <v>355</v>
      </c>
      <c r="F773" s="109" t="s">
        <v>355</v>
      </c>
      <c r="G773" s="55" t="s">
        <v>355</v>
      </c>
      <c r="H773" s="108" t="s">
        <v>402</v>
      </c>
      <c r="I773" s="111" t="s">
        <v>402</v>
      </c>
      <c r="J773" s="111" t="s">
        <v>402</v>
      </c>
      <c r="K773" s="106" t="s">
        <v>403</v>
      </c>
      <c r="L773" s="55" t="s">
        <v>404</v>
      </c>
      <c r="M773" s="55" t="s">
        <v>7634</v>
      </c>
    </row>
    <row r="774" spans="1:13">
      <c r="A774" s="408" t="s">
        <v>2376</v>
      </c>
      <c r="B774" s="106" t="s">
        <v>327</v>
      </c>
      <c r="C774" s="106" t="s">
        <v>473</v>
      </c>
      <c r="D774" s="107" t="s">
        <v>2377</v>
      </c>
      <c r="E774" s="109" t="s">
        <v>355</v>
      </c>
      <c r="F774" s="109" t="s">
        <v>355</v>
      </c>
      <c r="G774" s="55" t="s">
        <v>355</v>
      </c>
      <c r="H774" s="108" t="s">
        <v>402</v>
      </c>
      <c r="I774" s="111" t="s">
        <v>402</v>
      </c>
      <c r="J774" s="111" t="s">
        <v>402</v>
      </c>
      <c r="K774" s="106" t="s">
        <v>403</v>
      </c>
      <c r="L774" s="55" t="s">
        <v>404</v>
      </c>
      <c r="M774" s="55" t="s">
        <v>7634</v>
      </c>
    </row>
    <row r="775" spans="1:13">
      <c r="A775" s="408" t="s">
        <v>2378</v>
      </c>
      <c r="B775" s="106" t="s">
        <v>327</v>
      </c>
      <c r="C775" s="106" t="s">
        <v>473</v>
      </c>
      <c r="D775" s="107" t="s">
        <v>2379</v>
      </c>
      <c r="E775" s="109" t="s">
        <v>355</v>
      </c>
      <c r="F775" s="109" t="s">
        <v>355</v>
      </c>
      <c r="G775" s="55" t="s">
        <v>355</v>
      </c>
      <c r="H775" s="108" t="s">
        <v>402</v>
      </c>
      <c r="I775" s="111" t="s">
        <v>402</v>
      </c>
      <c r="J775" s="111" t="s">
        <v>402</v>
      </c>
      <c r="K775" s="106" t="s">
        <v>403</v>
      </c>
      <c r="L775" s="55" t="s">
        <v>404</v>
      </c>
      <c r="M775" s="55" t="s">
        <v>7634</v>
      </c>
    </row>
    <row r="776" spans="1:13">
      <c r="A776" s="401" t="s">
        <v>2380</v>
      </c>
      <c r="B776" s="106" t="s">
        <v>327</v>
      </c>
      <c r="C776" s="106" t="s">
        <v>473</v>
      </c>
      <c r="D776" s="107" t="s">
        <v>2381</v>
      </c>
      <c r="E776" s="109" t="s">
        <v>355</v>
      </c>
      <c r="F776" s="107" t="s">
        <v>2382</v>
      </c>
      <c r="G776" s="108" t="s">
        <v>2383</v>
      </c>
      <c r="H776" s="54" t="s">
        <v>359</v>
      </c>
      <c r="I776" s="583" t="s">
        <v>359</v>
      </c>
      <c r="J776" s="582" t="s">
        <v>359</v>
      </c>
      <c r="K776" s="584" t="s">
        <v>360</v>
      </c>
      <c r="L776" s="54" t="s">
        <v>361</v>
      </c>
      <c r="M776" s="55" t="s">
        <v>7634</v>
      </c>
    </row>
    <row r="777" spans="1:13">
      <c r="A777" s="408" t="s">
        <v>2384</v>
      </c>
      <c r="B777" s="106" t="s">
        <v>327</v>
      </c>
      <c r="C777" s="106" t="s">
        <v>473</v>
      </c>
      <c r="D777" s="107" t="s">
        <v>2385</v>
      </c>
      <c r="E777" s="109" t="s">
        <v>355</v>
      </c>
      <c r="F777" s="109" t="s">
        <v>355</v>
      </c>
      <c r="G777" s="55" t="s">
        <v>355</v>
      </c>
      <c r="H777" s="108" t="s">
        <v>402</v>
      </c>
      <c r="I777" s="111" t="s">
        <v>402</v>
      </c>
      <c r="J777" s="111" t="s">
        <v>402</v>
      </c>
      <c r="K777" s="106" t="s">
        <v>403</v>
      </c>
      <c r="L777" s="55" t="s">
        <v>404</v>
      </c>
      <c r="M777" s="55" t="s">
        <v>7634</v>
      </c>
    </row>
    <row r="778" spans="1:13">
      <c r="A778" s="408" t="s">
        <v>2386</v>
      </c>
      <c r="B778" s="106" t="s">
        <v>327</v>
      </c>
      <c r="C778" s="106" t="s">
        <v>473</v>
      </c>
      <c r="D778" s="107" t="s">
        <v>2387</v>
      </c>
      <c r="E778" s="109" t="s">
        <v>355</v>
      </c>
      <c r="F778" s="109" t="s">
        <v>355</v>
      </c>
      <c r="G778" s="55" t="s">
        <v>355</v>
      </c>
      <c r="H778" s="108" t="s">
        <v>402</v>
      </c>
      <c r="I778" s="111" t="s">
        <v>402</v>
      </c>
      <c r="J778" s="111" t="s">
        <v>402</v>
      </c>
      <c r="K778" s="106" t="s">
        <v>403</v>
      </c>
      <c r="L778" s="55" t="s">
        <v>404</v>
      </c>
      <c r="M778" s="55" t="s">
        <v>7634</v>
      </c>
    </row>
    <row r="779" spans="1:13">
      <c r="A779" s="408" t="s">
        <v>2388</v>
      </c>
      <c r="B779" s="106" t="s">
        <v>327</v>
      </c>
      <c r="C779" s="106" t="s">
        <v>473</v>
      </c>
      <c r="D779" s="107" t="s">
        <v>2387</v>
      </c>
      <c r="E779" s="109" t="s">
        <v>355</v>
      </c>
      <c r="F779" s="109" t="s">
        <v>355</v>
      </c>
      <c r="G779" s="55" t="s">
        <v>355</v>
      </c>
      <c r="H779" s="108" t="s">
        <v>402</v>
      </c>
      <c r="I779" s="111" t="s">
        <v>402</v>
      </c>
      <c r="J779" s="111" t="s">
        <v>402</v>
      </c>
      <c r="K779" s="106" t="s">
        <v>403</v>
      </c>
      <c r="L779" s="55" t="s">
        <v>404</v>
      </c>
      <c r="M779" s="55" t="s">
        <v>7634</v>
      </c>
    </row>
    <row r="780" spans="1:13">
      <c r="A780" s="408" t="s">
        <v>2389</v>
      </c>
      <c r="B780" s="106" t="s">
        <v>327</v>
      </c>
      <c r="C780" s="106" t="s">
        <v>473</v>
      </c>
      <c r="D780" s="107" t="s">
        <v>2390</v>
      </c>
      <c r="E780" s="109" t="s">
        <v>355</v>
      </c>
      <c r="F780" s="109" t="s">
        <v>355</v>
      </c>
      <c r="G780" s="55" t="s">
        <v>355</v>
      </c>
      <c r="H780" s="108" t="s">
        <v>402</v>
      </c>
      <c r="I780" s="111" t="s">
        <v>402</v>
      </c>
      <c r="J780" s="111" t="s">
        <v>402</v>
      </c>
      <c r="K780" s="106" t="s">
        <v>403</v>
      </c>
      <c r="L780" s="55" t="s">
        <v>404</v>
      </c>
      <c r="M780" s="55" t="s">
        <v>7634</v>
      </c>
    </row>
    <row r="781" spans="1:13">
      <c r="A781" s="408" t="s">
        <v>2391</v>
      </c>
      <c r="B781" s="106" t="s">
        <v>327</v>
      </c>
      <c r="C781" s="106" t="s">
        <v>473</v>
      </c>
      <c r="D781" s="107" t="s">
        <v>2392</v>
      </c>
      <c r="E781" s="109" t="s">
        <v>355</v>
      </c>
      <c r="F781" s="109" t="s">
        <v>355</v>
      </c>
      <c r="G781" s="55" t="s">
        <v>355</v>
      </c>
      <c r="H781" s="108" t="s">
        <v>402</v>
      </c>
      <c r="I781" s="111" t="s">
        <v>402</v>
      </c>
      <c r="J781" s="111" t="s">
        <v>402</v>
      </c>
      <c r="K781" s="106" t="s">
        <v>403</v>
      </c>
      <c r="L781" s="55" t="s">
        <v>404</v>
      </c>
      <c r="M781" s="55" t="s">
        <v>7634</v>
      </c>
    </row>
    <row r="782" spans="1:13">
      <c r="A782" s="408" t="s">
        <v>2393</v>
      </c>
      <c r="B782" s="106" t="s">
        <v>327</v>
      </c>
      <c r="C782" s="106" t="s">
        <v>473</v>
      </c>
      <c r="D782" s="107" t="s">
        <v>2394</v>
      </c>
      <c r="E782" s="109" t="s">
        <v>355</v>
      </c>
      <c r="F782" s="109" t="s">
        <v>355</v>
      </c>
      <c r="G782" s="55" t="s">
        <v>355</v>
      </c>
      <c r="H782" s="108" t="s">
        <v>402</v>
      </c>
      <c r="I782" s="111" t="s">
        <v>402</v>
      </c>
      <c r="J782" s="111" t="s">
        <v>402</v>
      </c>
      <c r="K782" s="106" t="s">
        <v>403</v>
      </c>
      <c r="L782" s="55" t="s">
        <v>404</v>
      </c>
      <c r="M782" s="55" t="s">
        <v>7634</v>
      </c>
    </row>
    <row r="783" spans="1:13">
      <c r="A783" s="408" t="s">
        <v>2395</v>
      </c>
      <c r="B783" s="106" t="s">
        <v>327</v>
      </c>
      <c r="C783" s="106" t="s">
        <v>473</v>
      </c>
      <c r="D783" s="107" t="s">
        <v>2394</v>
      </c>
      <c r="E783" s="109" t="s">
        <v>355</v>
      </c>
      <c r="F783" s="109" t="s">
        <v>355</v>
      </c>
      <c r="G783" s="55" t="s">
        <v>355</v>
      </c>
      <c r="H783" s="108" t="s">
        <v>402</v>
      </c>
      <c r="I783" s="111" t="s">
        <v>402</v>
      </c>
      <c r="J783" s="111" t="s">
        <v>402</v>
      </c>
      <c r="K783" s="106" t="s">
        <v>403</v>
      </c>
      <c r="L783" s="55" t="s">
        <v>404</v>
      </c>
      <c r="M783" s="55" t="s">
        <v>7634</v>
      </c>
    </row>
    <row r="784" spans="1:13">
      <c r="A784" s="401" t="s">
        <v>2396</v>
      </c>
      <c r="B784" s="106" t="s">
        <v>327</v>
      </c>
      <c r="C784" s="106" t="s">
        <v>473</v>
      </c>
      <c r="D784" s="109" t="s">
        <v>2397</v>
      </c>
      <c r="E784" s="109" t="s">
        <v>2398</v>
      </c>
      <c r="F784" s="109" t="s">
        <v>2399</v>
      </c>
      <c r="G784" s="114" t="s">
        <v>383</v>
      </c>
      <c r="H784" s="115" t="s">
        <v>402</v>
      </c>
      <c r="I784" s="111" t="s">
        <v>402</v>
      </c>
      <c r="J784" s="111" t="s">
        <v>402</v>
      </c>
      <c r="K784" s="106" t="s">
        <v>403</v>
      </c>
      <c r="L784" s="55" t="s">
        <v>1200</v>
      </c>
      <c r="M784" s="113" t="s">
        <v>1173</v>
      </c>
    </row>
    <row r="785" spans="1:13">
      <c r="A785" s="408" t="s">
        <v>2400</v>
      </c>
      <c r="B785" s="106" t="s">
        <v>327</v>
      </c>
      <c r="C785" s="106" t="s">
        <v>473</v>
      </c>
      <c r="D785" s="107" t="s">
        <v>2401</v>
      </c>
      <c r="E785" s="109" t="s">
        <v>355</v>
      </c>
      <c r="F785" s="109" t="s">
        <v>355</v>
      </c>
      <c r="G785" s="55" t="s">
        <v>355</v>
      </c>
      <c r="H785" s="108" t="s">
        <v>402</v>
      </c>
      <c r="I785" s="111" t="s">
        <v>402</v>
      </c>
      <c r="J785" s="111" t="s">
        <v>402</v>
      </c>
      <c r="K785" s="106" t="s">
        <v>403</v>
      </c>
      <c r="L785" s="55" t="s">
        <v>404</v>
      </c>
      <c r="M785" s="55" t="s">
        <v>7634</v>
      </c>
    </row>
    <row r="786" spans="1:13">
      <c r="A786" s="408" t="s">
        <v>2402</v>
      </c>
      <c r="B786" s="106" t="s">
        <v>327</v>
      </c>
      <c r="C786" s="106" t="s">
        <v>473</v>
      </c>
      <c r="D786" s="107" t="s">
        <v>2403</v>
      </c>
      <c r="E786" s="109" t="s">
        <v>355</v>
      </c>
      <c r="F786" s="109" t="s">
        <v>355</v>
      </c>
      <c r="G786" s="55" t="s">
        <v>355</v>
      </c>
      <c r="H786" s="108" t="s">
        <v>402</v>
      </c>
      <c r="I786" s="111" t="s">
        <v>402</v>
      </c>
      <c r="J786" s="111" t="s">
        <v>402</v>
      </c>
      <c r="K786" s="106" t="s">
        <v>403</v>
      </c>
      <c r="L786" s="55" t="s">
        <v>404</v>
      </c>
      <c r="M786" s="55" t="s">
        <v>7634</v>
      </c>
    </row>
    <row r="787" spans="1:13">
      <c r="A787" s="408" t="s">
        <v>2404</v>
      </c>
      <c r="B787" s="106" t="s">
        <v>327</v>
      </c>
      <c r="C787" s="106" t="s">
        <v>473</v>
      </c>
      <c r="D787" s="107" t="s">
        <v>2403</v>
      </c>
      <c r="E787" s="109" t="s">
        <v>355</v>
      </c>
      <c r="F787" s="109" t="s">
        <v>355</v>
      </c>
      <c r="G787" s="55" t="s">
        <v>355</v>
      </c>
      <c r="H787" s="108" t="s">
        <v>402</v>
      </c>
      <c r="I787" s="111" t="s">
        <v>402</v>
      </c>
      <c r="J787" s="111" t="s">
        <v>402</v>
      </c>
      <c r="K787" s="106" t="s">
        <v>403</v>
      </c>
      <c r="L787" s="55" t="s">
        <v>404</v>
      </c>
      <c r="M787" s="55" t="s">
        <v>7634</v>
      </c>
    </row>
    <row r="788" spans="1:13">
      <c r="A788" s="408" t="s">
        <v>2405</v>
      </c>
      <c r="B788" s="106" t="s">
        <v>327</v>
      </c>
      <c r="C788" s="106" t="s">
        <v>473</v>
      </c>
      <c r="D788" s="107" t="s">
        <v>2406</v>
      </c>
      <c r="E788" s="109" t="s">
        <v>355</v>
      </c>
      <c r="F788" s="109" t="s">
        <v>355</v>
      </c>
      <c r="G788" s="55" t="s">
        <v>355</v>
      </c>
      <c r="H788" s="108" t="s">
        <v>402</v>
      </c>
      <c r="I788" s="111" t="s">
        <v>402</v>
      </c>
      <c r="J788" s="111" t="s">
        <v>402</v>
      </c>
      <c r="K788" s="106" t="s">
        <v>403</v>
      </c>
      <c r="L788" s="55" t="s">
        <v>404</v>
      </c>
      <c r="M788" s="55" t="s">
        <v>7634</v>
      </c>
    </row>
    <row r="789" spans="1:13">
      <c r="A789" s="408" t="s">
        <v>2407</v>
      </c>
      <c r="B789" s="106" t="s">
        <v>327</v>
      </c>
      <c r="C789" s="106" t="s">
        <v>473</v>
      </c>
      <c r="D789" s="107" t="s">
        <v>2406</v>
      </c>
      <c r="E789" s="109" t="s">
        <v>355</v>
      </c>
      <c r="F789" s="109" t="s">
        <v>355</v>
      </c>
      <c r="G789" s="55" t="s">
        <v>355</v>
      </c>
      <c r="H789" s="108" t="s">
        <v>402</v>
      </c>
      <c r="I789" s="111" t="s">
        <v>402</v>
      </c>
      <c r="J789" s="111" t="s">
        <v>402</v>
      </c>
      <c r="K789" s="106" t="s">
        <v>403</v>
      </c>
      <c r="L789" s="55" t="s">
        <v>404</v>
      </c>
      <c r="M789" s="55" t="s">
        <v>7634</v>
      </c>
    </row>
    <row r="790" spans="1:13">
      <c r="A790" s="408" t="s">
        <v>2408</v>
      </c>
      <c r="B790" s="106" t="s">
        <v>327</v>
      </c>
      <c r="C790" s="106" t="s">
        <v>473</v>
      </c>
      <c r="D790" s="107" t="s">
        <v>2401</v>
      </c>
      <c r="E790" s="109" t="s">
        <v>355</v>
      </c>
      <c r="F790" s="109" t="s">
        <v>355</v>
      </c>
      <c r="G790" s="55" t="s">
        <v>355</v>
      </c>
      <c r="H790" s="108" t="s">
        <v>402</v>
      </c>
      <c r="I790" s="111" t="s">
        <v>402</v>
      </c>
      <c r="J790" s="111" t="s">
        <v>402</v>
      </c>
      <c r="K790" s="106" t="s">
        <v>403</v>
      </c>
      <c r="L790" s="55" t="s">
        <v>404</v>
      </c>
      <c r="M790" s="55" t="s">
        <v>7634</v>
      </c>
    </row>
    <row r="791" spans="1:13">
      <c r="A791" s="408" t="s">
        <v>2409</v>
      </c>
      <c r="B791" s="106" t="s">
        <v>327</v>
      </c>
      <c r="C791" s="106" t="s">
        <v>473</v>
      </c>
      <c r="D791" s="107" t="s">
        <v>2410</v>
      </c>
      <c r="E791" s="109" t="s">
        <v>355</v>
      </c>
      <c r="F791" s="109" t="s">
        <v>355</v>
      </c>
      <c r="G791" s="55" t="s">
        <v>355</v>
      </c>
      <c r="H791" s="108" t="s">
        <v>402</v>
      </c>
      <c r="I791" s="111" t="s">
        <v>402</v>
      </c>
      <c r="J791" s="111" t="s">
        <v>402</v>
      </c>
      <c r="K791" s="106" t="s">
        <v>403</v>
      </c>
      <c r="L791" s="55" t="s">
        <v>404</v>
      </c>
      <c r="M791" s="55" t="s">
        <v>7634</v>
      </c>
    </row>
    <row r="792" spans="1:13">
      <c r="A792" s="408" t="s">
        <v>2411</v>
      </c>
      <c r="B792" s="106" t="s">
        <v>327</v>
      </c>
      <c r="C792" s="106" t="s">
        <v>473</v>
      </c>
      <c r="D792" s="107" t="s">
        <v>2412</v>
      </c>
      <c r="E792" s="109" t="s">
        <v>355</v>
      </c>
      <c r="F792" s="109" t="s">
        <v>355</v>
      </c>
      <c r="G792" s="55" t="s">
        <v>355</v>
      </c>
      <c r="H792" s="108" t="s">
        <v>402</v>
      </c>
      <c r="I792" s="111" t="s">
        <v>402</v>
      </c>
      <c r="J792" s="111" t="s">
        <v>402</v>
      </c>
      <c r="K792" s="106" t="s">
        <v>403</v>
      </c>
      <c r="L792" s="55" t="s">
        <v>404</v>
      </c>
      <c r="M792" s="55" t="s">
        <v>7634</v>
      </c>
    </row>
    <row r="793" spans="1:13">
      <c r="A793" s="408" t="s">
        <v>2413</v>
      </c>
      <c r="B793" s="106" t="s">
        <v>327</v>
      </c>
      <c r="C793" s="106" t="s">
        <v>473</v>
      </c>
      <c r="D793" s="107" t="s">
        <v>2414</v>
      </c>
      <c r="E793" s="109" t="s">
        <v>355</v>
      </c>
      <c r="F793" s="109" t="s">
        <v>355</v>
      </c>
      <c r="G793" s="55" t="s">
        <v>355</v>
      </c>
      <c r="H793" s="108" t="s">
        <v>402</v>
      </c>
      <c r="I793" s="111" t="s">
        <v>402</v>
      </c>
      <c r="J793" s="111" t="s">
        <v>402</v>
      </c>
      <c r="K793" s="106" t="s">
        <v>403</v>
      </c>
      <c r="L793" s="55" t="s">
        <v>404</v>
      </c>
      <c r="M793" s="55" t="s">
        <v>7634</v>
      </c>
    </row>
    <row r="794" spans="1:13">
      <c r="A794" s="408" t="s">
        <v>2415</v>
      </c>
      <c r="B794" s="106" t="s">
        <v>327</v>
      </c>
      <c r="C794" s="106" t="s">
        <v>473</v>
      </c>
      <c r="D794" s="107" t="s">
        <v>2416</v>
      </c>
      <c r="E794" s="109" t="s">
        <v>355</v>
      </c>
      <c r="F794" s="109" t="s">
        <v>355</v>
      </c>
      <c r="G794" s="55" t="s">
        <v>355</v>
      </c>
      <c r="H794" s="108" t="s">
        <v>402</v>
      </c>
      <c r="I794" s="111" t="s">
        <v>402</v>
      </c>
      <c r="J794" s="111" t="s">
        <v>402</v>
      </c>
      <c r="K794" s="106" t="s">
        <v>403</v>
      </c>
      <c r="L794" s="55" t="s">
        <v>404</v>
      </c>
      <c r="M794" s="55" t="s">
        <v>7634</v>
      </c>
    </row>
    <row r="795" spans="1:13">
      <c r="A795" s="408" t="s">
        <v>2417</v>
      </c>
      <c r="B795" s="106" t="s">
        <v>327</v>
      </c>
      <c r="C795" s="106" t="s">
        <v>473</v>
      </c>
      <c r="D795" s="107" t="s">
        <v>2418</v>
      </c>
      <c r="E795" s="109" t="s">
        <v>355</v>
      </c>
      <c r="F795" s="109" t="s">
        <v>355</v>
      </c>
      <c r="G795" s="55" t="s">
        <v>355</v>
      </c>
      <c r="H795" s="108" t="s">
        <v>402</v>
      </c>
      <c r="I795" s="111" t="s">
        <v>402</v>
      </c>
      <c r="J795" s="111" t="s">
        <v>402</v>
      </c>
      <c r="K795" s="106" t="s">
        <v>403</v>
      </c>
      <c r="L795" s="55" t="s">
        <v>404</v>
      </c>
      <c r="M795" s="55" t="s">
        <v>7634</v>
      </c>
    </row>
    <row r="796" spans="1:13">
      <c r="A796" s="408" t="s">
        <v>2419</v>
      </c>
      <c r="B796" s="106" t="s">
        <v>327</v>
      </c>
      <c r="C796" s="106" t="s">
        <v>473</v>
      </c>
      <c r="D796" s="107" t="s">
        <v>2418</v>
      </c>
      <c r="E796" s="109" t="s">
        <v>355</v>
      </c>
      <c r="F796" s="109" t="s">
        <v>355</v>
      </c>
      <c r="G796" s="55" t="s">
        <v>355</v>
      </c>
      <c r="H796" s="108" t="s">
        <v>402</v>
      </c>
      <c r="I796" s="111" t="s">
        <v>402</v>
      </c>
      <c r="J796" s="111" t="s">
        <v>402</v>
      </c>
      <c r="K796" s="106" t="s">
        <v>403</v>
      </c>
      <c r="L796" s="55" t="s">
        <v>404</v>
      </c>
      <c r="M796" s="55" t="s">
        <v>7634</v>
      </c>
    </row>
    <row r="797" spans="1:13">
      <c r="A797" s="408" t="s">
        <v>2420</v>
      </c>
      <c r="B797" s="106" t="s">
        <v>327</v>
      </c>
      <c r="C797" s="106" t="s">
        <v>473</v>
      </c>
      <c r="D797" s="107" t="s">
        <v>2421</v>
      </c>
      <c r="E797" s="109" t="s">
        <v>355</v>
      </c>
      <c r="F797" s="109" t="s">
        <v>355</v>
      </c>
      <c r="G797" s="55" t="s">
        <v>355</v>
      </c>
      <c r="H797" s="108" t="s">
        <v>402</v>
      </c>
      <c r="I797" s="111" t="s">
        <v>402</v>
      </c>
      <c r="J797" s="111" t="s">
        <v>402</v>
      </c>
      <c r="K797" s="106" t="s">
        <v>403</v>
      </c>
      <c r="L797" s="55" t="s">
        <v>404</v>
      </c>
      <c r="M797" s="55" t="s">
        <v>7634</v>
      </c>
    </row>
    <row r="798" spans="1:13">
      <c r="A798" s="408" t="s">
        <v>2422</v>
      </c>
      <c r="B798" s="106" t="s">
        <v>327</v>
      </c>
      <c r="C798" s="106" t="s">
        <v>473</v>
      </c>
      <c r="D798" s="107" t="s">
        <v>2423</v>
      </c>
      <c r="E798" s="109" t="s">
        <v>355</v>
      </c>
      <c r="F798" s="109" t="s">
        <v>355</v>
      </c>
      <c r="G798" s="55" t="s">
        <v>355</v>
      </c>
      <c r="H798" s="108" t="s">
        <v>402</v>
      </c>
      <c r="I798" s="111" t="s">
        <v>402</v>
      </c>
      <c r="J798" s="111" t="s">
        <v>402</v>
      </c>
      <c r="K798" s="106" t="s">
        <v>403</v>
      </c>
      <c r="L798" s="55" t="s">
        <v>404</v>
      </c>
      <c r="M798" s="55" t="s">
        <v>7634</v>
      </c>
    </row>
    <row r="799" spans="1:13">
      <c r="A799" s="408" t="s">
        <v>2424</v>
      </c>
      <c r="B799" s="106" t="s">
        <v>327</v>
      </c>
      <c r="C799" s="106" t="s">
        <v>473</v>
      </c>
      <c r="D799" s="107" t="s">
        <v>2425</v>
      </c>
      <c r="E799" s="109" t="s">
        <v>355</v>
      </c>
      <c r="F799" s="109" t="s">
        <v>355</v>
      </c>
      <c r="G799" s="55" t="s">
        <v>355</v>
      </c>
      <c r="H799" s="108" t="s">
        <v>402</v>
      </c>
      <c r="I799" s="111" t="s">
        <v>402</v>
      </c>
      <c r="J799" s="111" t="s">
        <v>402</v>
      </c>
      <c r="K799" s="106" t="s">
        <v>403</v>
      </c>
      <c r="L799" s="55" t="s">
        <v>404</v>
      </c>
      <c r="M799" s="55" t="s">
        <v>7634</v>
      </c>
    </row>
    <row r="800" spans="1:13">
      <c r="A800" s="408" t="s">
        <v>2426</v>
      </c>
      <c r="B800" s="106" t="s">
        <v>327</v>
      </c>
      <c r="C800" s="106" t="s">
        <v>473</v>
      </c>
      <c r="D800" s="107" t="s">
        <v>2425</v>
      </c>
      <c r="E800" s="109" t="s">
        <v>355</v>
      </c>
      <c r="F800" s="109" t="s">
        <v>355</v>
      </c>
      <c r="G800" s="55" t="s">
        <v>355</v>
      </c>
      <c r="H800" s="108" t="s">
        <v>402</v>
      </c>
      <c r="I800" s="111" t="s">
        <v>402</v>
      </c>
      <c r="J800" s="111" t="s">
        <v>402</v>
      </c>
      <c r="K800" s="106" t="s">
        <v>403</v>
      </c>
      <c r="L800" s="55" t="s">
        <v>404</v>
      </c>
      <c r="M800" s="55" t="s">
        <v>7634</v>
      </c>
    </row>
    <row r="801" spans="1:13">
      <c r="A801" s="408" t="s">
        <v>2427</v>
      </c>
      <c r="B801" s="106" t="s">
        <v>327</v>
      </c>
      <c r="C801" s="106" t="s">
        <v>473</v>
      </c>
      <c r="D801" s="107" t="s">
        <v>2428</v>
      </c>
      <c r="E801" s="109" t="s">
        <v>355</v>
      </c>
      <c r="F801" s="109" t="s">
        <v>355</v>
      </c>
      <c r="G801" s="55" t="s">
        <v>355</v>
      </c>
      <c r="H801" s="108" t="s">
        <v>402</v>
      </c>
      <c r="I801" s="111" t="s">
        <v>402</v>
      </c>
      <c r="J801" s="111" t="s">
        <v>402</v>
      </c>
      <c r="K801" s="106" t="s">
        <v>403</v>
      </c>
      <c r="L801" s="55" t="s">
        <v>404</v>
      </c>
      <c r="M801" s="55" t="s">
        <v>7634</v>
      </c>
    </row>
    <row r="802" spans="1:13">
      <c r="A802" s="408" t="s">
        <v>2429</v>
      </c>
      <c r="B802" s="106" t="s">
        <v>327</v>
      </c>
      <c r="C802" s="106" t="s">
        <v>473</v>
      </c>
      <c r="D802" s="107" t="s">
        <v>2430</v>
      </c>
      <c r="E802" s="109" t="s">
        <v>355</v>
      </c>
      <c r="F802" s="109" t="s">
        <v>355</v>
      </c>
      <c r="G802" s="55" t="s">
        <v>355</v>
      </c>
      <c r="H802" s="108" t="s">
        <v>402</v>
      </c>
      <c r="I802" s="111" t="s">
        <v>402</v>
      </c>
      <c r="J802" s="111" t="s">
        <v>402</v>
      </c>
      <c r="K802" s="106" t="s">
        <v>403</v>
      </c>
      <c r="L802" s="55" t="s">
        <v>404</v>
      </c>
      <c r="M802" s="55" t="s">
        <v>7634</v>
      </c>
    </row>
    <row r="803" spans="1:13">
      <c r="A803" s="408" t="s">
        <v>2431</v>
      </c>
      <c r="B803" s="106" t="s">
        <v>327</v>
      </c>
      <c r="C803" s="106" t="s">
        <v>473</v>
      </c>
      <c r="D803" s="107" t="s">
        <v>2432</v>
      </c>
      <c r="E803" s="109" t="s">
        <v>355</v>
      </c>
      <c r="F803" s="109" t="s">
        <v>355</v>
      </c>
      <c r="G803" s="55" t="s">
        <v>355</v>
      </c>
      <c r="H803" s="108" t="s">
        <v>402</v>
      </c>
      <c r="I803" s="111" t="s">
        <v>402</v>
      </c>
      <c r="J803" s="111" t="s">
        <v>402</v>
      </c>
      <c r="K803" s="106" t="s">
        <v>403</v>
      </c>
      <c r="L803" s="55" t="s">
        <v>404</v>
      </c>
      <c r="M803" s="55" t="s">
        <v>7634</v>
      </c>
    </row>
    <row r="804" spans="1:13">
      <c r="A804" s="408" t="s">
        <v>2433</v>
      </c>
      <c r="B804" s="106" t="s">
        <v>327</v>
      </c>
      <c r="C804" s="106" t="s">
        <v>473</v>
      </c>
      <c r="D804" s="107" t="s">
        <v>2434</v>
      </c>
      <c r="E804" s="109" t="s">
        <v>355</v>
      </c>
      <c r="F804" s="109" t="s">
        <v>355</v>
      </c>
      <c r="G804" s="55" t="s">
        <v>355</v>
      </c>
      <c r="H804" s="108" t="s">
        <v>402</v>
      </c>
      <c r="I804" s="111" t="s">
        <v>402</v>
      </c>
      <c r="J804" s="111" t="s">
        <v>402</v>
      </c>
      <c r="K804" s="106" t="s">
        <v>403</v>
      </c>
      <c r="L804" s="55" t="s">
        <v>404</v>
      </c>
      <c r="M804" s="55" t="s">
        <v>7634</v>
      </c>
    </row>
    <row r="805" spans="1:13">
      <c r="A805" s="408" t="s">
        <v>2435</v>
      </c>
      <c r="B805" s="106" t="s">
        <v>327</v>
      </c>
      <c r="C805" s="106" t="s">
        <v>473</v>
      </c>
      <c r="D805" s="107" t="s">
        <v>2436</v>
      </c>
      <c r="E805" s="109" t="s">
        <v>355</v>
      </c>
      <c r="F805" s="109" t="s">
        <v>355</v>
      </c>
      <c r="G805" s="55" t="s">
        <v>355</v>
      </c>
      <c r="H805" s="108" t="s">
        <v>402</v>
      </c>
      <c r="I805" s="111" t="s">
        <v>402</v>
      </c>
      <c r="J805" s="111" t="s">
        <v>402</v>
      </c>
      <c r="K805" s="106" t="s">
        <v>403</v>
      </c>
      <c r="L805" s="55" t="s">
        <v>404</v>
      </c>
      <c r="M805" s="55" t="s">
        <v>7634</v>
      </c>
    </row>
    <row r="806" spans="1:13">
      <c r="A806" s="408" t="s">
        <v>2437</v>
      </c>
      <c r="B806" s="106" t="s">
        <v>327</v>
      </c>
      <c r="C806" s="106" t="s">
        <v>473</v>
      </c>
      <c r="D806" s="107" t="s">
        <v>2438</v>
      </c>
      <c r="E806" s="109" t="s">
        <v>355</v>
      </c>
      <c r="F806" s="109" t="s">
        <v>355</v>
      </c>
      <c r="G806" s="55" t="s">
        <v>355</v>
      </c>
      <c r="H806" s="108" t="s">
        <v>402</v>
      </c>
      <c r="I806" s="111" t="s">
        <v>402</v>
      </c>
      <c r="J806" s="111" t="s">
        <v>402</v>
      </c>
      <c r="K806" s="106" t="s">
        <v>403</v>
      </c>
      <c r="L806" s="55" t="s">
        <v>404</v>
      </c>
      <c r="M806" s="55" t="s">
        <v>7634</v>
      </c>
    </row>
    <row r="807" spans="1:13">
      <c r="A807" s="408" t="s">
        <v>2439</v>
      </c>
      <c r="B807" s="106" t="s">
        <v>327</v>
      </c>
      <c r="C807" s="106" t="s">
        <v>473</v>
      </c>
      <c r="D807" s="107" t="s">
        <v>2438</v>
      </c>
      <c r="E807" s="109" t="s">
        <v>355</v>
      </c>
      <c r="F807" s="109" t="s">
        <v>355</v>
      </c>
      <c r="G807" s="55" t="s">
        <v>355</v>
      </c>
      <c r="H807" s="108" t="s">
        <v>402</v>
      </c>
      <c r="I807" s="111" t="s">
        <v>402</v>
      </c>
      <c r="J807" s="111" t="s">
        <v>402</v>
      </c>
      <c r="K807" s="106" t="s">
        <v>403</v>
      </c>
      <c r="L807" s="55" t="s">
        <v>404</v>
      </c>
      <c r="M807" s="55" t="s">
        <v>7634</v>
      </c>
    </row>
    <row r="808" spans="1:13">
      <c r="A808" s="408" t="s">
        <v>2440</v>
      </c>
      <c r="B808" s="106" t="s">
        <v>327</v>
      </c>
      <c r="C808" s="106" t="s">
        <v>473</v>
      </c>
      <c r="D808" s="107" t="s">
        <v>2441</v>
      </c>
      <c r="E808" s="109" t="s">
        <v>355</v>
      </c>
      <c r="F808" s="109" t="s">
        <v>355</v>
      </c>
      <c r="G808" s="55" t="s">
        <v>355</v>
      </c>
      <c r="H808" s="108" t="s">
        <v>402</v>
      </c>
      <c r="I808" s="111" t="s">
        <v>402</v>
      </c>
      <c r="J808" s="111" t="s">
        <v>402</v>
      </c>
      <c r="K808" s="106" t="s">
        <v>403</v>
      </c>
      <c r="L808" s="55" t="s">
        <v>404</v>
      </c>
      <c r="M808" s="55" t="s">
        <v>7634</v>
      </c>
    </row>
    <row r="809" spans="1:13">
      <c r="A809" s="408" t="s">
        <v>2442</v>
      </c>
      <c r="B809" s="106" t="s">
        <v>327</v>
      </c>
      <c r="C809" s="106" t="s">
        <v>473</v>
      </c>
      <c r="D809" s="107" t="s">
        <v>2443</v>
      </c>
      <c r="E809" s="109" t="s">
        <v>355</v>
      </c>
      <c r="F809" s="109" t="s">
        <v>355</v>
      </c>
      <c r="G809" s="55" t="s">
        <v>355</v>
      </c>
      <c r="H809" s="108" t="s">
        <v>402</v>
      </c>
      <c r="I809" s="111" t="s">
        <v>402</v>
      </c>
      <c r="J809" s="111" t="s">
        <v>402</v>
      </c>
      <c r="K809" s="106" t="s">
        <v>403</v>
      </c>
      <c r="L809" s="55" t="s">
        <v>404</v>
      </c>
      <c r="M809" s="55" t="s">
        <v>7634</v>
      </c>
    </row>
    <row r="810" spans="1:13">
      <c r="A810" s="408" t="s">
        <v>2444</v>
      </c>
      <c r="B810" s="106" t="s">
        <v>327</v>
      </c>
      <c r="C810" s="106" t="s">
        <v>473</v>
      </c>
      <c r="D810" s="107" t="s">
        <v>2445</v>
      </c>
      <c r="E810" s="109" t="s">
        <v>355</v>
      </c>
      <c r="F810" s="109" t="s">
        <v>355</v>
      </c>
      <c r="G810" s="55" t="s">
        <v>355</v>
      </c>
      <c r="H810" s="108" t="s">
        <v>402</v>
      </c>
      <c r="I810" s="111" t="s">
        <v>402</v>
      </c>
      <c r="J810" s="111" t="s">
        <v>402</v>
      </c>
      <c r="K810" s="106" t="s">
        <v>403</v>
      </c>
      <c r="L810" s="55" t="s">
        <v>404</v>
      </c>
      <c r="M810" s="55" t="s">
        <v>7634</v>
      </c>
    </row>
    <row r="811" spans="1:13">
      <c r="A811" s="408" t="s">
        <v>2446</v>
      </c>
      <c r="B811" s="106" t="s">
        <v>327</v>
      </c>
      <c r="C811" s="106" t="s">
        <v>473</v>
      </c>
      <c r="D811" s="107" t="s">
        <v>2447</v>
      </c>
      <c r="E811" s="109" t="s">
        <v>355</v>
      </c>
      <c r="F811" s="109" t="s">
        <v>355</v>
      </c>
      <c r="G811" s="55" t="s">
        <v>355</v>
      </c>
      <c r="H811" s="108" t="s">
        <v>402</v>
      </c>
      <c r="I811" s="111" t="s">
        <v>402</v>
      </c>
      <c r="J811" s="111" t="s">
        <v>402</v>
      </c>
      <c r="K811" s="106" t="s">
        <v>403</v>
      </c>
      <c r="L811" s="55" t="s">
        <v>404</v>
      </c>
      <c r="M811" s="55" t="s">
        <v>7634</v>
      </c>
    </row>
    <row r="812" spans="1:13">
      <c r="A812" s="408" t="s">
        <v>2448</v>
      </c>
      <c r="B812" s="106" t="s">
        <v>327</v>
      </c>
      <c r="C812" s="106" t="s">
        <v>473</v>
      </c>
      <c r="D812" s="107" t="s">
        <v>2447</v>
      </c>
      <c r="E812" s="109" t="s">
        <v>355</v>
      </c>
      <c r="F812" s="109" t="s">
        <v>355</v>
      </c>
      <c r="G812" s="55" t="s">
        <v>355</v>
      </c>
      <c r="H812" s="108" t="s">
        <v>402</v>
      </c>
      <c r="I812" s="111" t="s">
        <v>402</v>
      </c>
      <c r="J812" s="111" t="s">
        <v>402</v>
      </c>
      <c r="K812" s="106" t="s">
        <v>403</v>
      </c>
      <c r="L812" s="55" t="s">
        <v>404</v>
      </c>
      <c r="M812" s="55" t="s">
        <v>7634</v>
      </c>
    </row>
    <row r="813" spans="1:13">
      <c r="A813" s="408" t="s">
        <v>2449</v>
      </c>
      <c r="B813" s="106" t="s">
        <v>327</v>
      </c>
      <c r="C813" s="106" t="s">
        <v>473</v>
      </c>
      <c r="D813" s="107" t="s">
        <v>2450</v>
      </c>
      <c r="E813" s="109" t="s">
        <v>355</v>
      </c>
      <c r="F813" s="109" t="s">
        <v>355</v>
      </c>
      <c r="G813" s="55" t="s">
        <v>355</v>
      </c>
      <c r="H813" s="108" t="s">
        <v>402</v>
      </c>
      <c r="I813" s="111" t="s">
        <v>402</v>
      </c>
      <c r="J813" s="111" t="s">
        <v>402</v>
      </c>
      <c r="K813" s="106" t="s">
        <v>403</v>
      </c>
      <c r="L813" s="55" t="s">
        <v>404</v>
      </c>
      <c r="M813" s="55" t="s">
        <v>7634</v>
      </c>
    </row>
    <row r="814" spans="1:13">
      <c r="A814" s="408" t="s">
        <v>2451</v>
      </c>
      <c r="B814" s="106" t="s">
        <v>327</v>
      </c>
      <c r="C814" s="106" t="s">
        <v>473</v>
      </c>
      <c r="D814" s="107" t="s">
        <v>2452</v>
      </c>
      <c r="E814" s="109" t="s">
        <v>355</v>
      </c>
      <c r="F814" s="109" t="s">
        <v>355</v>
      </c>
      <c r="G814" s="55" t="s">
        <v>355</v>
      </c>
      <c r="H814" s="108" t="s">
        <v>402</v>
      </c>
      <c r="I814" s="111" t="s">
        <v>402</v>
      </c>
      <c r="J814" s="111" t="s">
        <v>402</v>
      </c>
      <c r="K814" s="106" t="s">
        <v>403</v>
      </c>
      <c r="L814" s="55" t="s">
        <v>404</v>
      </c>
      <c r="M814" s="55" t="s">
        <v>7634</v>
      </c>
    </row>
    <row r="815" spans="1:13">
      <c r="A815" s="408" t="s">
        <v>2453</v>
      </c>
      <c r="B815" s="106" t="s">
        <v>327</v>
      </c>
      <c r="C815" s="106" t="s">
        <v>473</v>
      </c>
      <c r="D815" s="107" t="s">
        <v>2454</v>
      </c>
      <c r="E815" s="109" t="s">
        <v>355</v>
      </c>
      <c r="F815" s="109" t="s">
        <v>355</v>
      </c>
      <c r="G815" s="55" t="s">
        <v>355</v>
      </c>
      <c r="H815" s="108" t="s">
        <v>402</v>
      </c>
      <c r="I815" s="111" t="s">
        <v>402</v>
      </c>
      <c r="J815" s="111" t="s">
        <v>402</v>
      </c>
      <c r="K815" s="106" t="s">
        <v>403</v>
      </c>
      <c r="L815" s="55" t="s">
        <v>404</v>
      </c>
      <c r="M815" s="55" t="s">
        <v>7634</v>
      </c>
    </row>
    <row r="816" spans="1:13">
      <c r="A816" s="408" t="s">
        <v>2455</v>
      </c>
      <c r="B816" s="106" t="s">
        <v>327</v>
      </c>
      <c r="C816" s="106" t="s">
        <v>473</v>
      </c>
      <c r="D816" s="107" t="s">
        <v>2456</v>
      </c>
      <c r="E816" s="109" t="s">
        <v>355</v>
      </c>
      <c r="F816" s="109" t="s">
        <v>355</v>
      </c>
      <c r="G816" s="55" t="s">
        <v>355</v>
      </c>
      <c r="H816" s="108" t="s">
        <v>402</v>
      </c>
      <c r="I816" s="111" t="s">
        <v>402</v>
      </c>
      <c r="J816" s="111" t="s">
        <v>402</v>
      </c>
      <c r="K816" s="106" t="s">
        <v>403</v>
      </c>
      <c r="L816" s="55" t="s">
        <v>404</v>
      </c>
      <c r="M816" s="55" t="s">
        <v>7634</v>
      </c>
    </row>
    <row r="817" spans="1:13">
      <c r="A817" s="408" t="s">
        <v>2457</v>
      </c>
      <c r="B817" s="106" t="s">
        <v>327</v>
      </c>
      <c r="C817" s="106" t="s">
        <v>473</v>
      </c>
      <c r="D817" s="107" t="s">
        <v>2458</v>
      </c>
      <c r="E817" s="109" t="s">
        <v>355</v>
      </c>
      <c r="F817" s="109" t="s">
        <v>355</v>
      </c>
      <c r="G817" s="55" t="s">
        <v>355</v>
      </c>
      <c r="H817" s="108" t="s">
        <v>402</v>
      </c>
      <c r="I817" s="111" t="s">
        <v>402</v>
      </c>
      <c r="J817" s="111" t="s">
        <v>402</v>
      </c>
      <c r="K817" s="106" t="s">
        <v>403</v>
      </c>
      <c r="L817" s="55" t="s">
        <v>404</v>
      </c>
      <c r="M817" s="55" t="s">
        <v>7634</v>
      </c>
    </row>
    <row r="818" spans="1:13">
      <c r="A818" s="408" t="s">
        <v>2459</v>
      </c>
      <c r="B818" s="106" t="s">
        <v>327</v>
      </c>
      <c r="C818" s="106" t="s">
        <v>473</v>
      </c>
      <c r="D818" s="107" t="s">
        <v>2460</v>
      </c>
      <c r="E818" s="109" t="s">
        <v>355</v>
      </c>
      <c r="F818" s="109" t="s">
        <v>355</v>
      </c>
      <c r="G818" s="55" t="s">
        <v>355</v>
      </c>
      <c r="H818" s="108" t="s">
        <v>402</v>
      </c>
      <c r="I818" s="111" t="s">
        <v>402</v>
      </c>
      <c r="J818" s="111" t="s">
        <v>402</v>
      </c>
      <c r="K818" s="106" t="s">
        <v>403</v>
      </c>
      <c r="L818" s="55" t="s">
        <v>404</v>
      </c>
      <c r="M818" s="55" t="s">
        <v>7634</v>
      </c>
    </row>
    <row r="819" spans="1:13">
      <c r="A819" s="408" t="s">
        <v>2461</v>
      </c>
      <c r="B819" s="106" t="s">
        <v>327</v>
      </c>
      <c r="C819" s="106" t="s">
        <v>473</v>
      </c>
      <c r="D819" s="107" t="s">
        <v>2462</v>
      </c>
      <c r="E819" s="109" t="s">
        <v>355</v>
      </c>
      <c r="F819" s="109" t="s">
        <v>355</v>
      </c>
      <c r="G819" s="55" t="s">
        <v>355</v>
      </c>
      <c r="H819" s="108" t="s">
        <v>402</v>
      </c>
      <c r="I819" s="111" t="s">
        <v>402</v>
      </c>
      <c r="J819" s="111" t="s">
        <v>402</v>
      </c>
      <c r="K819" s="106" t="s">
        <v>403</v>
      </c>
      <c r="L819" s="55" t="s">
        <v>404</v>
      </c>
      <c r="M819" s="55" t="s">
        <v>7634</v>
      </c>
    </row>
    <row r="820" spans="1:13">
      <c r="A820" s="401" t="s">
        <v>2463</v>
      </c>
      <c r="B820" s="106" t="s">
        <v>327</v>
      </c>
      <c r="C820" s="106" t="s">
        <v>473</v>
      </c>
      <c r="D820" s="109" t="s">
        <v>2464</v>
      </c>
      <c r="E820" s="109" t="s">
        <v>2465</v>
      </c>
      <c r="F820" s="109"/>
      <c r="G820" s="112" t="s">
        <v>2466</v>
      </c>
      <c r="H820" s="115" t="s">
        <v>402</v>
      </c>
      <c r="I820" s="111" t="s">
        <v>402</v>
      </c>
      <c r="J820" s="111" t="s">
        <v>402</v>
      </c>
      <c r="K820" s="106"/>
      <c r="L820" s="55"/>
      <c r="M820" s="55" t="s">
        <v>7634</v>
      </c>
    </row>
    <row r="821" spans="1:13">
      <c r="A821" s="408" t="s">
        <v>2467</v>
      </c>
      <c r="B821" s="106" t="s">
        <v>327</v>
      </c>
      <c r="C821" s="106" t="s">
        <v>473</v>
      </c>
      <c r="D821" s="107" t="s">
        <v>2392</v>
      </c>
      <c r="E821" s="109" t="s">
        <v>355</v>
      </c>
      <c r="F821" s="109" t="s">
        <v>355</v>
      </c>
      <c r="G821" s="55" t="s">
        <v>355</v>
      </c>
      <c r="H821" s="108" t="s">
        <v>402</v>
      </c>
      <c r="I821" s="111" t="s">
        <v>402</v>
      </c>
      <c r="J821" s="111" t="s">
        <v>402</v>
      </c>
      <c r="K821" s="106" t="s">
        <v>403</v>
      </c>
      <c r="L821" s="55" t="s">
        <v>404</v>
      </c>
      <c r="M821" s="55" t="s">
        <v>7634</v>
      </c>
    </row>
    <row r="822" spans="1:13">
      <c r="A822" s="408" t="s">
        <v>2468</v>
      </c>
      <c r="B822" s="106" t="s">
        <v>327</v>
      </c>
      <c r="C822" s="106" t="s">
        <v>473</v>
      </c>
      <c r="D822" s="107" t="s">
        <v>2392</v>
      </c>
      <c r="E822" s="109" t="s">
        <v>355</v>
      </c>
      <c r="F822" s="109" t="s">
        <v>355</v>
      </c>
      <c r="G822" s="55" t="s">
        <v>355</v>
      </c>
      <c r="H822" s="108" t="s">
        <v>402</v>
      </c>
      <c r="I822" s="111" t="s">
        <v>402</v>
      </c>
      <c r="J822" s="111" t="s">
        <v>402</v>
      </c>
      <c r="K822" s="106" t="s">
        <v>403</v>
      </c>
      <c r="L822" s="55" t="s">
        <v>404</v>
      </c>
      <c r="M822" s="55" t="s">
        <v>7634</v>
      </c>
    </row>
    <row r="823" spans="1:13">
      <c r="A823" s="408" t="s">
        <v>2469</v>
      </c>
      <c r="B823" s="106" t="s">
        <v>327</v>
      </c>
      <c r="C823" s="106" t="s">
        <v>473</v>
      </c>
      <c r="D823" s="107" t="s">
        <v>2392</v>
      </c>
      <c r="E823" s="109" t="s">
        <v>355</v>
      </c>
      <c r="F823" s="109" t="s">
        <v>355</v>
      </c>
      <c r="G823" s="55" t="s">
        <v>355</v>
      </c>
      <c r="H823" s="108" t="s">
        <v>402</v>
      </c>
      <c r="I823" s="111" t="s">
        <v>402</v>
      </c>
      <c r="J823" s="111" t="s">
        <v>402</v>
      </c>
      <c r="K823" s="106" t="s">
        <v>403</v>
      </c>
      <c r="L823" s="55" t="s">
        <v>404</v>
      </c>
      <c r="M823" s="55" t="s">
        <v>7634</v>
      </c>
    </row>
    <row r="824" spans="1:13">
      <c r="A824" s="408" t="s">
        <v>2470</v>
      </c>
      <c r="B824" s="106" t="s">
        <v>327</v>
      </c>
      <c r="C824" s="106" t="s">
        <v>473</v>
      </c>
      <c r="D824" s="107" t="s">
        <v>2471</v>
      </c>
      <c r="E824" s="109" t="s">
        <v>355</v>
      </c>
      <c r="F824" s="109" t="s">
        <v>355</v>
      </c>
      <c r="G824" s="55" t="s">
        <v>355</v>
      </c>
      <c r="H824" s="108" t="s">
        <v>402</v>
      </c>
      <c r="I824" s="111" t="s">
        <v>402</v>
      </c>
      <c r="J824" s="111" t="s">
        <v>402</v>
      </c>
      <c r="K824" s="106" t="s">
        <v>403</v>
      </c>
      <c r="L824" s="55" t="s">
        <v>404</v>
      </c>
      <c r="M824" s="55" t="s">
        <v>7634</v>
      </c>
    </row>
    <row r="825" spans="1:13">
      <c r="A825" s="408" t="s">
        <v>2472</v>
      </c>
      <c r="B825" s="106" t="s">
        <v>327</v>
      </c>
      <c r="C825" s="106" t="s">
        <v>473</v>
      </c>
      <c r="D825" s="107" t="s">
        <v>2473</v>
      </c>
      <c r="E825" s="109" t="s">
        <v>355</v>
      </c>
      <c r="F825" s="109" t="s">
        <v>355</v>
      </c>
      <c r="G825" s="55" t="s">
        <v>355</v>
      </c>
      <c r="H825" s="108" t="s">
        <v>402</v>
      </c>
      <c r="I825" s="111" t="s">
        <v>402</v>
      </c>
      <c r="J825" s="111" t="s">
        <v>402</v>
      </c>
      <c r="K825" s="106" t="s">
        <v>403</v>
      </c>
      <c r="L825" s="55" t="s">
        <v>404</v>
      </c>
      <c r="M825" s="55" t="s">
        <v>7634</v>
      </c>
    </row>
    <row r="826" spans="1:13">
      <c r="A826" s="408" t="s">
        <v>2474</v>
      </c>
      <c r="B826" s="106" t="s">
        <v>327</v>
      </c>
      <c r="C826" s="106" t="s">
        <v>473</v>
      </c>
      <c r="D826" s="107" t="s">
        <v>2475</v>
      </c>
      <c r="E826" s="109" t="s">
        <v>355</v>
      </c>
      <c r="F826" s="109" t="s">
        <v>355</v>
      </c>
      <c r="G826" s="55" t="s">
        <v>355</v>
      </c>
      <c r="H826" s="108" t="s">
        <v>402</v>
      </c>
      <c r="I826" s="111" t="s">
        <v>402</v>
      </c>
      <c r="J826" s="111" t="s">
        <v>402</v>
      </c>
      <c r="K826" s="106" t="s">
        <v>403</v>
      </c>
      <c r="L826" s="55" t="s">
        <v>404</v>
      </c>
      <c r="M826" s="55" t="s">
        <v>7634</v>
      </c>
    </row>
    <row r="827" spans="1:13">
      <c r="A827" s="408" t="s">
        <v>2476</v>
      </c>
      <c r="B827" s="106" t="s">
        <v>327</v>
      </c>
      <c r="C827" s="106" t="s">
        <v>473</v>
      </c>
      <c r="D827" s="107" t="s">
        <v>2477</v>
      </c>
      <c r="E827" s="109" t="s">
        <v>355</v>
      </c>
      <c r="F827" s="109" t="s">
        <v>355</v>
      </c>
      <c r="G827" s="55" t="s">
        <v>355</v>
      </c>
      <c r="H827" s="108" t="s">
        <v>402</v>
      </c>
      <c r="I827" s="111" t="s">
        <v>402</v>
      </c>
      <c r="J827" s="111" t="s">
        <v>402</v>
      </c>
      <c r="K827" s="106" t="s">
        <v>403</v>
      </c>
      <c r="L827" s="55" t="s">
        <v>404</v>
      </c>
      <c r="M827" s="55" t="s">
        <v>7634</v>
      </c>
    </row>
    <row r="828" spans="1:13">
      <c r="A828" s="408" t="s">
        <v>2478</v>
      </c>
      <c r="B828" s="106" t="s">
        <v>327</v>
      </c>
      <c r="C828" s="106" t="s">
        <v>473</v>
      </c>
      <c r="D828" s="107" t="s">
        <v>2479</v>
      </c>
      <c r="E828" s="109" t="s">
        <v>355</v>
      </c>
      <c r="F828" s="109" t="s">
        <v>355</v>
      </c>
      <c r="G828" s="55" t="s">
        <v>355</v>
      </c>
      <c r="H828" s="108" t="s">
        <v>402</v>
      </c>
      <c r="I828" s="111" t="s">
        <v>402</v>
      </c>
      <c r="J828" s="111" t="s">
        <v>402</v>
      </c>
      <c r="K828" s="106" t="s">
        <v>403</v>
      </c>
      <c r="L828" s="55" t="s">
        <v>404</v>
      </c>
      <c r="M828" s="55" t="s">
        <v>7634</v>
      </c>
    </row>
    <row r="829" spans="1:13">
      <c r="A829" s="408" t="s">
        <v>2480</v>
      </c>
      <c r="B829" s="106" t="s">
        <v>327</v>
      </c>
      <c r="C829" s="106" t="s">
        <v>473</v>
      </c>
      <c r="D829" s="107" t="s">
        <v>2481</v>
      </c>
      <c r="E829" s="109" t="s">
        <v>355</v>
      </c>
      <c r="F829" s="109" t="s">
        <v>355</v>
      </c>
      <c r="G829" s="55" t="s">
        <v>355</v>
      </c>
      <c r="H829" s="108" t="s">
        <v>402</v>
      </c>
      <c r="I829" s="111" t="s">
        <v>402</v>
      </c>
      <c r="J829" s="111" t="s">
        <v>402</v>
      </c>
      <c r="K829" s="106" t="s">
        <v>403</v>
      </c>
      <c r="L829" s="55" t="s">
        <v>404</v>
      </c>
      <c r="M829" s="55" t="s">
        <v>7634</v>
      </c>
    </row>
    <row r="830" spans="1:13">
      <c r="A830" s="408" t="s">
        <v>2482</v>
      </c>
      <c r="B830" s="106" t="s">
        <v>327</v>
      </c>
      <c r="C830" s="106" t="s">
        <v>473</v>
      </c>
      <c r="D830" s="107" t="s">
        <v>2483</v>
      </c>
      <c r="E830" s="109" t="s">
        <v>355</v>
      </c>
      <c r="F830" s="109" t="s">
        <v>355</v>
      </c>
      <c r="G830" s="55" t="s">
        <v>355</v>
      </c>
      <c r="H830" s="108" t="s">
        <v>402</v>
      </c>
      <c r="I830" s="111" t="s">
        <v>402</v>
      </c>
      <c r="J830" s="111" t="s">
        <v>402</v>
      </c>
      <c r="K830" s="106" t="s">
        <v>403</v>
      </c>
      <c r="L830" s="55" t="s">
        <v>404</v>
      </c>
      <c r="M830" s="55" t="s">
        <v>7634</v>
      </c>
    </row>
    <row r="831" spans="1:13">
      <c r="A831" s="408" t="s">
        <v>2484</v>
      </c>
      <c r="B831" s="106" t="s">
        <v>327</v>
      </c>
      <c r="C831" s="106" t="s">
        <v>473</v>
      </c>
      <c r="D831" s="107" t="s">
        <v>2485</v>
      </c>
      <c r="E831" s="109" t="s">
        <v>355</v>
      </c>
      <c r="F831" s="109" t="s">
        <v>355</v>
      </c>
      <c r="G831" s="55" t="s">
        <v>355</v>
      </c>
      <c r="H831" s="108" t="s">
        <v>402</v>
      </c>
      <c r="I831" s="111" t="s">
        <v>402</v>
      </c>
      <c r="J831" s="111" t="s">
        <v>402</v>
      </c>
      <c r="K831" s="106" t="s">
        <v>403</v>
      </c>
      <c r="L831" s="55" t="s">
        <v>404</v>
      </c>
      <c r="M831" s="55" t="s">
        <v>7634</v>
      </c>
    </row>
    <row r="832" spans="1:13">
      <c r="A832" s="408" t="s">
        <v>2486</v>
      </c>
      <c r="B832" s="106" t="s">
        <v>327</v>
      </c>
      <c r="C832" s="106" t="s">
        <v>473</v>
      </c>
      <c r="D832" s="107" t="s">
        <v>2487</v>
      </c>
      <c r="E832" s="109" t="s">
        <v>355</v>
      </c>
      <c r="F832" s="109" t="s">
        <v>355</v>
      </c>
      <c r="G832" s="55" t="s">
        <v>355</v>
      </c>
      <c r="H832" s="108" t="s">
        <v>402</v>
      </c>
      <c r="I832" s="111" t="s">
        <v>402</v>
      </c>
      <c r="J832" s="111" t="s">
        <v>402</v>
      </c>
      <c r="K832" s="106" t="s">
        <v>403</v>
      </c>
      <c r="L832" s="55" t="s">
        <v>404</v>
      </c>
      <c r="M832" s="55" t="s">
        <v>7634</v>
      </c>
    </row>
    <row r="833" spans="1:13">
      <c r="A833" s="408" t="s">
        <v>2488</v>
      </c>
      <c r="B833" s="106" t="s">
        <v>327</v>
      </c>
      <c r="C833" s="106" t="s">
        <v>473</v>
      </c>
      <c r="D833" s="107" t="s">
        <v>2489</v>
      </c>
      <c r="E833" s="109" t="s">
        <v>355</v>
      </c>
      <c r="F833" s="109" t="s">
        <v>355</v>
      </c>
      <c r="G833" s="55" t="s">
        <v>355</v>
      </c>
      <c r="H833" s="108" t="s">
        <v>402</v>
      </c>
      <c r="I833" s="111" t="s">
        <v>402</v>
      </c>
      <c r="J833" s="111" t="s">
        <v>402</v>
      </c>
      <c r="K833" s="106" t="s">
        <v>403</v>
      </c>
      <c r="L833" s="55" t="s">
        <v>404</v>
      </c>
      <c r="M833" s="55" t="s">
        <v>7634</v>
      </c>
    </row>
    <row r="834" spans="1:13">
      <c r="A834" s="408" t="s">
        <v>2490</v>
      </c>
      <c r="B834" s="106" t="s">
        <v>327</v>
      </c>
      <c r="C834" s="106" t="s">
        <v>473</v>
      </c>
      <c r="D834" s="107" t="s">
        <v>2491</v>
      </c>
      <c r="E834" s="107" t="s">
        <v>2492</v>
      </c>
      <c r="F834" s="107" t="s">
        <v>2493</v>
      </c>
      <c r="G834" s="114" t="s">
        <v>355</v>
      </c>
      <c r="H834" s="108" t="s">
        <v>402</v>
      </c>
      <c r="I834" s="111" t="s">
        <v>402</v>
      </c>
      <c r="J834" s="111" t="s">
        <v>402</v>
      </c>
      <c r="K834" s="106" t="s">
        <v>403</v>
      </c>
      <c r="L834" s="55" t="s">
        <v>404</v>
      </c>
      <c r="M834" s="55" t="s">
        <v>7634</v>
      </c>
    </row>
    <row r="835" spans="1:13">
      <c r="A835" s="408" t="s">
        <v>2494</v>
      </c>
      <c r="B835" s="106" t="s">
        <v>327</v>
      </c>
      <c r="C835" s="106" t="s">
        <v>473</v>
      </c>
      <c r="D835" s="107" t="s">
        <v>2495</v>
      </c>
      <c r="E835" s="109" t="s">
        <v>355</v>
      </c>
      <c r="F835" s="109" t="s">
        <v>355</v>
      </c>
      <c r="G835" s="55" t="s">
        <v>355</v>
      </c>
      <c r="H835" s="108" t="s">
        <v>402</v>
      </c>
      <c r="I835" s="111" t="s">
        <v>402</v>
      </c>
      <c r="J835" s="111" t="s">
        <v>402</v>
      </c>
      <c r="K835" s="106" t="s">
        <v>403</v>
      </c>
      <c r="L835" s="55" t="s">
        <v>404</v>
      </c>
      <c r="M835" s="55" t="s">
        <v>7634</v>
      </c>
    </row>
    <row r="836" spans="1:13">
      <c r="A836" s="401" t="s">
        <v>2496</v>
      </c>
      <c r="B836" s="106" t="s">
        <v>327</v>
      </c>
      <c r="C836" s="106" t="s">
        <v>473</v>
      </c>
      <c r="D836" s="110" t="s">
        <v>383</v>
      </c>
      <c r="E836" s="109" t="s">
        <v>2497</v>
      </c>
      <c r="F836" s="110" t="s">
        <v>383</v>
      </c>
      <c r="G836" s="117" t="s">
        <v>383</v>
      </c>
      <c r="H836" s="115" t="s">
        <v>402</v>
      </c>
      <c r="I836" s="111" t="s">
        <v>402</v>
      </c>
      <c r="J836" s="111" t="s">
        <v>402</v>
      </c>
      <c r="K836" s="106" t="s">
        <v>403</v>
      </c>
      <c r="L836" s="55" t="s">
        <v>404</v>
      </c>
      <c r="M836" s="55" t="s">
        <v>7634</v>
      </c>
    </row>
    <row r="837" spans="1:13">
      <c r="A837" s="401" t="s">
        <v>8536</v>
      </c>
      <c r="B837" s="106" t="s">
        <v>327</v>
      </c>
      <c r="C837" s="132" t="s">
        <v>8537</v>
      </c>
      <c r="D837" s="133" t="s">
        <v>8538</v>
      </c>
      <c r="E837" s="133" t="s">
        <v>8539</v>
      </c>
      <c r="F837" s="133" t="s">
        <v>8540</v>
      </c>
      <c r="G837" s="601" t="s">
        <v>8541</v>
      </c>
      <c r="H837" s="108" t="s">
        <v>402</v>
      </c>
      <c r="I837" s="111" t="s">
        <v>402</v>
      </c>
      <c r="J837" s="111" t="s">
        <v>402</v>
      </c>
      <c r="K837" s="106" t="s">
        <v>403</v>
      </c>
      <c r="L837" s="55" t="s">
        <v>404</v>
      </c>
      <c r="M837" s="55" t="s">
        <v>383</v>
      </c>
    </row>
    <row r="838" spans="1:13">
      <c r="A838" s="401" t="s">
        <v>2498</v>
      </c>
      <c r="B838" s="106" t="s">
        <v>327</v>
      </c>
      <c r="C838" s="106" t="s">
        <v>473</v>
      </c>
      <c r="D838" s="109" t="s">
        <v>2499</v>
      </c>
      <c r="E838" s="109" t="s">
        <v>2500</v>
      </c>
      <c r="F838" s="109" t="s">
        <v>2501</v>
      </c>
      <c r="G838" s="112" t="s">
        <v>2502</v>
      </c>
      <c r="H838" s="115" t="s">
        <v>402</v>
      </c>
      <c r="I838" s="111" t="s">
        <v>402</v>
      </c>
      <c r="J838" s="111" t="s">
        <v>402</v>
      </c>
      <c r="K838" s="108" t="s">
        <v>403</v>
      </c>
      <c r="L838" s="55" t="s">
        <v>404</v>
      </c>
      <c r="M838" s="55" t="s">
        <v>7634</v>
      </c>
    </row>
    <row r="839" spans="1:13">
      <c r="A839" s="578" t="s">
        <v>2503</v>
      </c>
      <c r="B839" s="586" t="s">
        <v>2504</v>
      </c>
      <c r="C839" s="586" t="s">
        <v>473</v>
      </c>
      <c r="D839" s="586" t="s">
        <v>2505</v>
      </c>
      <c r="E839" s="586" t="s">
        <v>2506</v>
      </c>
      <c r="F839" s="586" t="s">
        <v>2507</v>
      </c>
      <c r="G839" s="586"/>
      <c r="H839" s="586" t="s">
        <v>359</v>
      </c>
      <c r="I839" s="587" t="s">
        <v>359</v>
      </c>
      <c r="J839" s="586"/>
      <c r="K839" s="586" t="s">
        <v>2508</v>
      </c>
      <c r="L839" s="586" t="s">
        <v>361</v>
      </c>
      <c r="M839" s="55" t="s">
        <v>7634</v>
      </c>
    </row>
    <row r="840" spans="1:13">
      <c r="A840" s="405" t="s">
        <v>129</v>
      </c>
      <c r="B840" s="106" t="s">
        <v>327</v>
      </c>
      <c r="C840" s="132" t="s">
        <v>473</v>
      </c>
      <c r="D840" s="133"/>
      <c r="E840" s="133"/>
      <c r="F840" s="133"/>
      <c r="H840" s="55"/>
      <c r="I840" s="111"/>
      <c r="J840" s="111"/>
      <c r="K840" s="108"/>
      <c r="L840" s="55"/>
      <c r="M840" s="55" t="s">
        <v>7634</v>
      </c>
    </row>
    <row r="841" spans="1:13">
      <c r="A841" s="408" t="s">
        <v>2509</v>
      </c>
      <c r="B841" s="106" t="s">
        <v>327</v>
      </c>
      <c r="C841" s="106" t="s">
        <v>473</v>
      </c>
      <c r="D841" s="107" t="s">
        <v>2510</v>
      </c>
      <c r="E841" s="109" t="s">
        <v>355</v>
      </c>
      <c r="F841" s="109" t="s">
        <v>355</v>
      </c>
      <c r="G841" s="55" t="s">
        <v>355</v>
      </c>
      <c r="H841" s="108" t="s">
        <v>402</v>
      </c>
      <c r="I841" s="111" t="s">
        <v>402</v>
      </c>
      <c r="J841" s="111" t="s">
        <v>402</v>
      </c>
      <c r="K841" s="106" t="s">
        <v>403</v>
      </c>
      <c r="L841" s="55" t="s">
        <v>404</v>
      </c>
      <c r="M841" s="55" t="s">
        <v>7634</v>
      </c>
    </row>
    <row r="842" spans="1:13">
      <c r="A842" s="408" t="s">
        <v>2511</v>
      </c>
      <c r="B842" s="106" t="s">
        <v>327</v>
      </c>
      <c r="C842" s="106" t="s">
        <v>473</v>
      </c>
      <c r="D842" s="107" t="s">
        <v>2512</v>
      </c>
      <c r="E842" s="109" t="s">
        <v>355</v>
      </c>
      <c r="F842" s="109" t="s">
        <v>355</v>
      </c>
      <c r="G842" s="55" t="s">
        <v>355</v>
      </c>
      <c r="H842" s="108" t="s">
        <v>402</v>
      </c>
      <c r="I842" s="111" t="s">
        <v>402</v>
      </c>
      <c r="J842" s="111" t="s">
        <v>402</v>
      </c>
      <c r="K842" s="106" t="s">
        <v>403</v>
      </c>
      <c r="L842" s="55" t="s">
        <v>404</v>
      </c>
      <c r="M842" s="55" t="s">
        <v>7634</v>
      </c>
    </row>
    <row r="843" spans="1:13">
      <c r="A843" s="408" t="s">
        <v>2513</v>
      </c>
      <c r="B843" s="106" t="s">
        <v>327</v>
      </c>
      <c r="C843" s="106" t="s">
        <v>473</v>
      </c>
      <c r="D843" s="107" t="s">
        <v>2514</v>
      </c>
      <c r="E843" s="109" t="s">
        <v>2515</v>
      </c>
      <c r="F843" s="109" t="s">
        <v>2516</v>
      </c>
      <c r="G843" s="592" t="s">
        <v>2517</v>
      </c>
      <c r="H843" s="108" t="s">
        <v>402</v>
      </c>
      <c r="I843" s="111" t="s">
        <v>402</v>
      </c>
      <c r="J843" s="111" t="s">
        <v>402</v>
      </c>
      <c r="K843" s="106" t="s">
        <v>403</v>
      </c>
      <c r="L843" s="55" t="s">
        <v>404</v>
      </c>
      <c r="M843" s="55" t="s">
        <v>7634</v>
      </c>
    </row>
    <row r="844" spans="1:13">
      <c r="A844" s="408" t="s">
        <v>2518</v>
      </c>
      <c r="B844" s="106" t="s">
        <v>327</v>
      </c>
      <c r="C844" s="106" t="s">
        <v>473</v>
      </c>
      <c r="D844" s="107" t="s">
        <v>2519</v>
      </c>
      <c r="E844" s="109" t="s">
        <v>2520</v>
      </c>
      <c r="F844" s="109" t="s">
        <v>2521</v>
      </c>
      <c r="G844" s="114"/>
      <c r="H844" s="108" t="s">
        <v>402</v>
      </c>
      <c r="I844" s="111" t="s">
        <v>402</v>
      </c>
      <c r="J844" s="111" t="s">
        <v>402</v>
      </c>
      <c r="K844" s="106" t="s">
        <v>403</v>
      </c>
      <c r="L844" s="55" t="s">
        <v>404</v>
      </c>
      <c r="M844" s="55" t="s">
        <v>7634</v>
      </c>
    </row>
    <row r="845" spans="1:13">
      <c r="A845" s="408" t="s">
        <v>2522</v>
      </c>
      <c r="B845" s="106" t="s">
        <v>327</v>
      </c>
      <c r="C845" s="106" t="s">
        <v>473</v>
      </c>
      <c r="D845" s="107" t="s">
        <v>2523</v>
      </c>
      <c r="E845" s="109" t="s">
        <v>355</v>
      </c>
      <c r="F845" s="109" t="s">
        <v>355</v>
      </c>
      <c r="G845" s="55" t="s">
        <v>355</v>
      </c>
      <c r="H845" s="108" t="s">
        <v>402</v>
      </c>
      <c r="I845" s="111" t="s">
        <v>402</v>
      </c>
      <c r="J845" s="111" t="s">
        <v>402</v>
      </c>
      <c r="K845" s="106" t="s">
        <v>403</v>
      </c>
      <c r="L845" s="55" t="s">
        <v>404</v>
      </c>
      <c r="M845" s="55" t="s">
        <v>7634</v>
      </c>
    </row>
    <row r="846" spans="1:13">
      <c r="A846" s="408" t="s">
        <v>2524</v>
      </c>
      <c r="B846" s="106" t="s">
        <v>327</v>
      </c>
      <c r="C846" s="106" t="s">
        <v>473</v>
      </c>
      <c r="D846" s="107" t="s">
        <v>2525</v>
      </c>
      <c r="E846" s="109" t="s">
        <v>355</v>
      </c>
      <c r="F846" s="109" t="s">
        <v>355</v>
      </c>
      <c r="G846" s="55" t="s">
        <v>355</v>
      </c>
      <c r="H846" s="108" t="s">
        <v>402</v>
      </c>
      <c r="I846" s="111" t="s">
        <v>402</v>
      </c>
      <c r="J846" s="111" t="s">
        <v>402</v>
      </c>
      <c r="K846" s="106" t="s">
        <v>403</v>
      </c>
      <c r="L846" s="55" t="s">
        <v>404</v>
      </c>
      <c r="M846" s="55" t="s">
        <v>7634</v>
      </c>
    </row>
    <row r="847" spans="1:13">
      <c r="A847" s="408" t="s">
        <v>2526</v>
      </c>
      <c r="B847" s="106" t="s">
        <v>327</v>
      </c>
      <c r="C847" s="106" t="s">
        <v>473</v>
      </c>
      <c r="D847" s="107" t="s">
        <v>2527</v>
      </c>
      <c r="E847" s="109" t="s">
        <v>355</v>
      </c>
      <c r="F847" s="109" t="s">
        <v>355</v>
      </c>
      <c r="G847" s="55" t="s">
        <v>355</v>
      </c>
      <c r="H847" s="108" t="s">
        <v>402</v>
      </c>
      <c r="I847" s="111" t="s">
        <v>402</v>
      </c>
      <c r="J847" s="111" t="s">
        <v>402</v>
      </c>
      <c r="K847" s="106" t="s">
        <v>403</v>
      </c>
      <c r="L847" s="55" t="s">
        <v>404</v>
      </c>
      <c r="M847" s="55" t="s">
        <v>7634</v>
      </c>
    </row>
    <row r="848" spans="1:13">
      <c r="A848" s="408" t="s">
        <v>2528</v>
      </c>
      <c r="B848" s="106" t="s">
        <v>327</v>
      </c>
      <c r="C848" s="106" t="s">
        <v>473</v>
      </c>
      <c r="D848" s="107" t="s">
        <v>2529</v>
      </c>
      <c r="E848" s="109" t="s">
        <v>355</v>
      </c>
      <c r="F848" s="109" t="s">
        <v>355</v>
      </c>
      <c r="G848" s="55" t="s">
        <v>355</v>
      </c>
      <c r="H848" s="108" t="s">
        <v>402</v>
      </c>
      <c r="I848" s="111" t="s">
        <v>402</v>
      </c>
      <c r="J848" s="111" t="s">
        <v>402</v>
      </c>
      <c r="K848" s="106" t="s">
        <v>403</v>
      </c>
      <c r="L848" s="55" t="s">
        <v>404</v>
      </c>
      <c r="M848" s="55" t="s">
        <v>7634</v>
      </c>
    </row>
    <row r="849" spans="1:13">
      <c r="A849" s="408" t="s">
        <v>2530</v>
      </c>
      <c r="B849" s="106" t="s">
        <v>327</v>
      </c>
      <c r="C849" s="106" t="s">
        <v>473</v>
      </c>
      <c r="D849" s="107" t="s">
        <v>2531</v>
      </c>
      <c r="E849" s="109" t="s">
        <v>355</v>
      </c>
      <c r="F849" s="109" t="s">
        <v>355</v>
      </c>
      <c r="G849" s="55" t="s">
        <v>355</v>
      </c>
      <c r="H849" s="108" t="s">
        <v>402</v>
      </c>
      <c r="I849" s="111" t="s">
        <v>402</v>
      </c>
      <c r="J849" s="111" t="s">
        <v>402</v>
      </c>
      <c r="K849" s="106" t="s">
        <v>403</v>
      </c>
      <c r="L849" s="55" t="s">
        <v>404</v>
      </c>
      <c r="M849" s="55" t="s">
        <v>7634</v>
      </c>
    </row>
    <row r="850" spans="1:13">
      <c r="A850" s="408" t="s">
        <v>2532</v>
      </c>
      <c r="B850" s="106" t="s">
        <v>327</v>
      </c>
      <c r="C850" s="106" t="s">
        <v>473</v>
      </c>
      <c r="D850" s="107" t="s">
        <v>2533</v>
      </c>
      <c r="E850" s="109" t="s">
        <v>355</v>
      </c>
      <c r="F850" s="109" t="s">
        <v>355</v>
      </c>
      <c r="G850" s="55" t="s">
        <v>355</v>
      </c>
      <c r="H850" s="108" t="s">
        <v>402</v>
      </c>
      <c r="I850" s="111" t="s">
        <v>402</v>
      </c>
      <c r="J850" s="111" t="s">
        <v>402</v>
      </c>
      <c r="K850" s="106" t="s">
        <v>403</v>
      </c>
      <c r="L850" s="55" t="s">
        <v>404</v>
      </c>
      <c r="M850" s="55" t="s">
        <v>7634</v>
      </c>
    </row>
    <row r="851" spans="1:13">
      <c r="A851" s="408" t="s">
        <v>2534</v>
      </c>
      <c r="B851" s="106" t="s">
        <v>327</v>
      </c>
      <c r="C851" s="106" t="s">
        <v>473</v>
      </c>
      <c r="D851" s="107" t="s">
        <v>2535</v>
      </c>
      <c r="E851" s="109" t="s">
        <v>355</v>
      </c>
      <c r="F851" s="109" t="s">
        <v>355</v>
      </c>
      <c r="G851" s="55" t="s">
        <v>355</v>
      </c>
      <c r="H851" s="108" t="s">
        <v>402</v>
      </c>
      <c r="I851" s="111" t="s">
        <v>402</v>
      </c>
      <c r="J851" s="111" t="s">
        <v>402</v>
      </c>
      <c r="K851" s="106" t="s">
        <v>403</v>
      </c>
      <c r="L851" s="55" t="s">
        <v>404</v>
      </c>
      <c r="M851" s="55" t="s">
        <v>7634</v>
      </c>
    </row>
    <row r="852" spans="1:13">
      <c r="A852" s="408" t="s">
        <v>2536</v>
      </c>
      <c r="B852" s="106" t="s">
        <v>327</v>
      </c>
      <c r="C852" s="106" t="s">
        <v>473</v>
      </c>
      <c r="D852" s="107" t="s">
        <v>2537</v>
      </c>
      <c r="E852" s="109" t="s">
        <v>355</v>
      </c>
      <c r="F852" s="109" t="s">
        <v>355</v>
      </c>
      <c r="G852" s="55" t="s">
        <v>355</v>
      </c>
      <c r="H852" s="108" t="s">
        <v>402</v>
      </c>
      <c r="I852" s="111" t="s">
        <v>402</v>
      </c>
      <c r="J852" s="111" t="s">
        <v>402</v>
      </c>
      <c r="K852" s="106" t="s">
        <v>403</v>
      </c>
      <c r="L852" s="55" t="s">
        <v>404</v>
      </c>
      <c r="M852" s="55" t="s">
        <v>7634</v>
      </c>
    </row>
    <row r="853" spans="1:13">
      <c r="A853" s="408" t="s">
        <v>2538</v>
      </c>
      <c r="B853" s="106" t="s">
        <v>327</v>
      </c>
      <c r="C853" s="106" t="s">
        <v>473</v>
      </c>
      <c r="D853" s="107" t="s">
        <v>2539</v>
      </c>
      <c r="E853" s="109" t="s">
        <v>355</v>
      </c>
      <c r="F853" s="109" t="s">
        <v>355</v>
      </c>
      <c r="G853" s="55" t="s">
        <v>355</v>
      </c>
      <c r="H853" s="108" t="s">
        <v>402</v>
      </c>
      <c r="I853" s="111" t="s">
        <v>402</v>
      </c>
      <c r="J853" s="111" t="s">
        <v>402</v>
      </c>
      <c r="K853" s="106" t="s">
        <v>403</v>
      </c>
      <c r="L853" s="55" t="s">
        <v>404</v>
      </c>
      <c r="M853" s="55" t="s">
        <v>7634</v>
      </c>
    </row>
    <row r="854" spans="1:13">
      <c r="A854" s="408" t="s">
        <v>2540</v>
      </c>
      <c r="B854" s="106" t="s">
        <v>327</v>
      </c>
      <c r="C854" s="106" t="s">
        <v>473</v>
      </c>
      <c r="D854" s="107" t="s">
        <v>2541</v>
      </c>
      <c r="E854" s="109" t="s">
        <v>355</v>
      </c>
      <c r="F854" s="109" t="s">
        <v>355</v>
      </c>
      <c r="G854" s="55" t="s">
        <v>355</v>
      </c>
      <c r="H854" s="108" t="s">
        <v>402</v>
      </c>
      <c r="I854" s="111" t="s">
        <v>402</v>
      </c>
      <c r="J854" s="111" t="s">
        <v>402</v>
      </c>
      <c r="K854" s="106" t="s">
        <v>403</v>
      </c>
      <c r="L854" s="55" t="s">
        <v>404</v>
      </c>
      <c r="M854" s="55" t="s">
        <v>7634</v>
      </c>
    </row>
    <row r="855" spans="1:13">
      <c r="A855" s="408" t="s">
        <v>2542</v>
      </c>
      <c r="B855" s="106" t="s">
        <v>327</v>
      </c>
      <c r="C855" s="106" t="s">
        <v>473</v>
      </c>
      <c r="D855" s="107" t="s">
        <v>2541</v>
      </c>
      <c r="E855" s="109" t="s">
        <v>355</v>
      </c>
      <c r="F855" s="109" t="s">
        <v>355</v>
      </c>
      <c r="G855" s="55" t="s">
        <v>355</v>
      </c>
      <c r="H855" s="108" t="s">
        <v>402</v>
      </c>
      <c r="I855" s="111" t="s">
        <v>402</v>
      </c>
      <c r="J855" s="111" t="s">
        <v>402</v>
      </c>
      <c r="K855" s="106" t="s">
        <v>403</v>
      </c>
      <c r="L855" s="55" t="s">
        <v>404</v>
      </c>
      <c r="M855" s="55" t="s">
        <v>7634</v>
      </c>
    </row>
    <row r="856" spans="1:13">
      <c r="A856" s="408" t="s">
        <v>2543</v>
      </c>
      <c r="B856" s="106" t="s">
        <v>327</v>
      </c>
      <c r="C856" s="106" t="s">
        <v>473</v>
      </c>
      <c r="D856" s="107" t="s">
        <v>2539</v>
      </c>
      <c r="E856" s="109" t="s">
        <v>355</v>
      </c>
      <c r="F856" s="109" t="s">
        <v>355</v>
      </c>
      <c r="G856" s="55" t="s">
        <v>355</v>
      </c>
      <c r="H856" s="108" t="s">
        <v>402</v>
      </c>
      <c r="I856" s="111" t="s">
        <v>402</v>
      </c>
      <c r="J856" s="111" t="s">
        <v>402</v>
      </c>
      <c r="K856" s="106" t="s">
        <v>403</v>
      </c>
      <c r="L856" s="55" t="s">
        <v>404</v>
      </c>
      <c r="M856" s="55" t="s">
        <v>7634</v>
      </c>
    </row>
    <row r="857" spans="1:13">
      <c r="A857" s="408" t="s">
        <v>2544</v>
      </c>
      <c r="B857" s="106" t="s">
        <v>327</v>
      </c>
      <c r="C857" s="106" t="s">
        <v>473</v>
      </c>
      <c r="D857" s="107" t="s">
        <v>2545</v>
      </c>
      <c r="E857" s="109" t="s">
        <v>355</v>
      </c>
      <c r="F857" s="109" t="s">
        <v>355</v>
      </c>
      <c r="G857" s="55" t="s">
        <v>355</v>
      </c>
      <c r="H857" s="108" t="s">
        <v>402</v>
      </c>
      <c r="I857" s="111" t="s">
        <v>402</v>
      </c>
      <c r="J857" s="111" t="s">
        <v>402</v>
      </c>
      <c r="K857" s="106" t="s">
        <v>403</v>
      </c>
      <c r="L857" s="55" t="s">
        <v>404</v>
      </c>
      <c r="M857" s="55" t="s">
        <v>7634</v>
      </c>
    </row>
    <row r="858" spans="1:13">
      <c r="A858" s="408" t="s">
        <v>2546</v>
      </c>
      <c r="B858" s="106" t="s">
        <v>327</v>
      </c>
      <c r="C858" s="106" t="s">
        <v>473</v>
      </c>
      <c r="D858" s="107" t="s">
        <v>2547</v>
      </c>
      <c r="E858" s="109" t="s">
        <v>355</v>
      </c>
      <c r="F858" s="109" t="s">
        <v>355</v>
      </c>
      <c r="G858" s="55" t="s">
        <v>355</v>
      </c>
      <c r="H858" s="108" t="s">
        <v>402</v>
      </c>
      <c r="I858" s="111" t="s">
        <v>402</v>
      </c>
      <c r="J858" s="111" t="s">
        <v>402</v>
      </c>
      <c r="K858" s="106" t="s">
        <v>403</v>
      </c>
      <c r="L858" s="55" t="s">
        <v>404</v>
      </c>
      <c r="M858" s="55" t="s">
        <v>7634</v>
      </c>
    </row>
    <row r="859" spans="1:13">
      <c r="A859" s="401" t="s">
        <v>2548</v>
      </c>
      <c r="B859" s="106" t="s">
        <v>327</v>
      </c>
      <c r="C859" s="106" t="s">
        <v>473</v>
      </c>
      <c r="D859" s="107" t="s">
        <v>2549</v>
      </c>
      <c r="E859" s="107" t="s">
        <v>2550</v>
      </c>
      <c r="F859" s="107" t="s">
        <v>2551</v>
      </c>
      <c r="G859" s="114" t="s">
        <v>355</v>
      </c>
      <c r="H859" s="108" t="s">
        <v>402</v>
      </c>
      <c r="I859" s="111" t="s">
        <v>402</v>
      </c>
      <c r="J859" s="111" t="s">
        <v>402</v>
      </c>
      <c r="K859" s="106" t="s">
        <v>403</v>
      </c>
      <c r="L859" s="55" t="s">
        <v>404</v>
      </c>
      <c r="M859" s="55" t="s">
        <v>355</v>
      </c>
    </row>
    <row r="860" spans="1:13">
      <c r="A860" s="408" t="s">
        <v>2552</v>
      </c>
      <c r="B860" s="106" t="s">
        <v>327</v>
      </c>
      <c r="C860" s="106" t="s">
        <v>473</v>
      </c>
      <c r="D860" s="107" t="s">
        <v>2553</v>
      </c>
      <c r="E860" s="109" t="s">
        <v>355</v>
      </c>
      <c r="F860" s="109" t="s">
        <v>355</v>
      </c>
      <c r="G860" s="55" t="s">
        <v>355</v>
      </c>
      <c r="H860" s="108" t="s">
        <v>402</v>
      </c>
      <c r="I860" s="111" t="s">
        <v>402</v>
      </c>
      <c r="J860" s="111" t="s">
        <v>402</v>
      </c>
      <c r="K860" s="106" t="s">
        <v>403</v>
      </c>
      <c r="L860" s="55" t="s">
        <v>404</v>
      </c>
      <c r="M860" s="55" t="s">
        <v>7634</v>
      </c>
    </row>
    <row r="861" spans="1:13">
      <c r="A861" s="408" t="s">
        <v>2554</v>
      </c>
      <c r="B861" s="106" t="s">
        <v>327</v>
      </c>
      <c r="C861" s="106" t="s">
        <v>473</v>
      </c>
      <c r="D861" s="107" t="s">
        <v>1323</v>
      </c>
      <c r="E861" s="109" t="s">
        <v>355</v>
      </c>
      <c r="F861" s="109" t="s">
        <v>355</v>
      </c>
      <c r="G861" s="55" t="s">
        <v>355</v>
      </c>
      <c r="H861" s="108" t="s">
        <v>402</v>
      </c>
      <c r="I861" s="111" t="s">
        <v>402</v>
      </c>
      <c r="J861" s="111" t="s">
        <v>402</v>
      </c>
      <c r="K861" s="106" t="s">
        <v>403</v>
      </c>
      <c r="L861" s="55" t="s">
        <v>404</v>
      </c>
      <c r="M861" s="55" t="s">
        <v>7634</v>
      </c>
    </row>
    <row r="862" spans="1:13">
      <c r="A862" s="405" t="s">
        <v>233</v>
      </c>
      <c r="B862" s="106" t="s">
        <v>327</v>
      </c>
      <c r="C862" s="132" t="s">
        <v>473</v>
      </c>
      <c r="D862" s="107" t="s">
        <v>8425</v>
      </c>
      <c r="E862" s="133" t="s">
        <v>8937</v>
      </c>
      <c r="F862" s="133" t="s">
        <v>8426</v>
      </c>
      <c r="G862" s="108" t="s">
        <v>8425</v>
      </c>
      <c r="H862" s="108" t="s">
        <v>402</v>
      </c>
      <c r="I862" s="111" t="s">
        <v>402</v>
      </c>
      <c r="J862" s="111" t="s">
        <v>402</v>
      </c>
      <c r="K862" s="106" t="s">
        <v>403</v>
      </c>
      <c r="L862" s="55" t="s">
        <v>404</v>
      </c>
      <c r="M862" s="55" t="s">
        <v>383</v>
      </c>
    </row>
    <row r="863" spans="1:13">
      <c r="A863" s="401" t="s">
        <v>2555</v>
      </c>
      <c r="B863" s="106" t="s">
        <v>327</v>
      </c>
      <c r="C863" s="106" t="s">
        <v>473</v>
      </c>
      <c r="D863" s="109" t="s">
        <v>2556</v>
      </c>
      <c r="E863" s="109" t="s">
        <v>2557</v>
      </c>
      <c r="F863" s="109" t="s">
        <v>2558</v>
      </c>
      <c r="G863" s="112" t="s">
        <v>2559</v>
      </c>
      <c r="H863" s="115" t="s">
        <v>402</v>
      </c>
      <c r="I863" s="111" t="s">
        <v>402</v>
      </c>
      <c r="J863" s="111" t="s">
        <v>402</v>
      </c>
      <c r="K863" s="108" t="s">
        <v>403</v>
      </c>
      <c r="L863" s="55" t="s">
        <v>404</v>
      </c>
      <c r="M863" s="113" t="s">
        <v>383</v>
      </c>
    </row>
    <row r="864" spans="1:13">
      <c r="A864" s="408" t="s">
        <v>2560</v>
      </c>
      <c r="B864" s="106" t="s">
        <v>327</v>
      </c>
      <c r="C864" s="106" t="s">
        <v>473</v>
      </c>
      <c r="D864" s="107" t="s">
        <v>2561</v>
      </c>
      <c r="E864" s="109" t="s">
        <v>355</v>
      </c>
      <c r="F864" s="109" t="s">
        <v>355</v>
      </c>
      <c r="G864" s="55" t="s">
        <v>355</v>
      </c>
      <c r="H864" s="108" t="s">
        <v>402</v>
      </c>
      <c r="I864" s="111" t="s">
        <v>402</v>
      </c>
      <c r="J864" s="111" t="s">
        <v>402</v>
      </c>
      <c r="K864" s="106" t="s">
        <v>403</v>
      </c>
      <c r="L864" s="55" t="s">
        <v>404</v>
      </c>
      <c r="M864" s="55" t="s">
        <v>7634</v>
      </c>
    </row>
    <row r="865" spans="1:13">
      <c r="A865" s="408" t="s">
        <v>2562</v>
      </c>
      <c r="B865" s="106" t="s">
        <v>327</v>
      </c>
      <c r="C865" s="106" t="s">
        <v>473</v>
      </c>
      <c r="D865" s="107" t="s">
        <v>2563</v>
      </c>
      <c r="E865" s="109" t="s">
        <v>355</v>
      </c>
      <c r="F865" s="109" t="s">
        <v>355</v>
      </c>
      <c r="G865" s="55" t="s">
        <v>355</v>
      </c>
      <c r="H865" s="108" t="s">
        <v>402</v>
      </c>
      <c r="I865" s="111" t="s">
        <v>402</v>
      </c>
      <c r="J865" s="111" t="s">
        <v>402</v>
      </c>
      <c r="K865" s="106" t="s">
        <v>403</v>
      </c>
      <c r="L865" s="55" t="s">
        <v>404</v>
      </c>
      <c r="M865" s="55" t="s">
        <v>7634</v>
      </c>
    </row>
    <row r="866" spans="1:13">
      <c r="A866" s="408" t="s">
        <v>2564</v>
      </c>
      <c r="B866" s="106" t="s">
        <v>327</v>
      </c>
      <c r="C866" s="106" t="s">
        <v>473</v>
      </c>
      <c r="D866" s="107" t="s">
        <v>2565</v>
      </c>
      <c r="E866" s="109" t="s">
        <v>355</v>
      </c>
      <c r="F866" s="109" t="s">
        <v>355</v>
      </c>
      <c r="G866" s="55" t="s">
        <v>355</v>
      </c>
      <c r="H866" s="108" t="s">
        <v>402</v>
      </c>
      <c r="I866" s="111" t="s">
        <v>402</v>
      </c>
      <c r="J866" s="111" t="s">
        <v>402</v>
      </c>
      <c r="K866" s="106" t="s">
        <v>403</v>
      </c>
      <c r="L866" s="55" t="s">
        <v>404</v>
      </c>
      <c r="M866" s="55" t="s">
        <v>7634</v>
      </c>
    </row>
    <row r="867" spans="1:13">
      <c r="A867" s="408" t="s">
        <v>2566</v>
      </c>
      <c r="B867" s="106" t="s">
        <v>327</v>
      </c>
      <c r="C867" s="106" t="s">
        <v>473</v>
      </c>
      <c r="D867" s="107" t="s">
        <v>2565</v>
      </c>
      <c r="E867" s="109" t="s">
        <v>355</v>
      </c>
      <c r="F867" s="109" t="s">
        <v>355</v>
      </c>
      <c r="G867" s="55" t="s">
        <v>355</v>
      </c>
      <c r="H867" s="108" t="s">
        <v>402</v>
      </c>
      <c r="I867" s="111" t="s">
        <v>402</v>
      </c>
      <c r="J867" s="111" t="s">
        <v>402</v>
      </c>
      <c r="K867" s="106" t="s">
        <v>403</v>
      </c>
      <c r="L867" s="55" t="s">
        <v>404</v>
      </c>
      <c r="M867" s="55" t="s">
        <v>7634</v>
      </c>
    </row>
    <row r="868" spans="1:13">
      <c r="A868" s="408" t="s">
        <v>2567</v>
      </c>
      <c r="B868" s="106" t="s">
        <v>327</v>
      </c>
      <c r="C868" s="106" t="s">
        <v>473</v>
      </c>
      <c r="D868" s="107" t="s">
        <v>2565</v>
      </c>
      <c r="E868" s="109" t="s">
        <v>355</v>
      </c>
      <c r="F868" s="109" t="s">
        <v>355</v>
      </c>
      <c r="G868" s="55" t="s">
        <v>355</v>
      </c>
      <c r="H868" s="108" t="s">
        <v>402</v>
      </c>
      <c r="I868" s="111" t="s">
        <v>402</v>
      </c>
      <c r="J868" s="111" t="s">
        <v>402</v>
      </c>
      <c r="K868" s="106" t="s">
        <v>403</v>
      </c>
      <c r="L868" s="55" t="s">
        <v>404</v>
      </c>
      <c r="M868" s="55" t="s">
        <v>7634</v>
      </c>
    </row>
    <row r="869" spans="1:13">
      <c r="A869" s="408" t="s">
        <v>2568</v>
      </c>
      <c r="B869" s="106" t="s">
        <v>327</v>
      </c>
      <c r="C869" s="106" t="s">
        <v>473</v>
      </c>
      <c r="D869" s="107" t="s">
        <v>2569</v>
      </c>
      <c r="E869" s="109" t="s">
        <v>355</v>
      </c>
      <c r="F869" s="109" t="s">
        <v>355</v>
      </c>
      <c r="G869" s="55" t="s">
        <v>355</v>
      </c>
      <c r="H869" s="108" t="s">
        <v>402</v>
      </c>
      <c r="I869" s="111" t="s">
        <v>402</v>
      </c>
      <c r="J869" s="111" t="s">
        <v>402</v>
      </c>
      <c r="K869" s="106" t="s">
        <v>403</v>
      </c>
      <c r="L869" s="55" t="s">
        <v>404</v>
      </c>
      <c r="M869" s="55" t="s">
        <v>7634</v>
      </c>
    </row>
    <row r="870" spans="1:13">
      <c r="A870" s="578" t="s">
        <v>2570</v>
      </c>
      <c r="B870" s="586" t="s">
        <v>473</v>
      </c>
      <c r="C870" s="586" t="s">
        <v>473</v>
      </c>
      <c r="D870" s="586" t="s">
        <v>2571</v>
      </c>
      <c r="E870" s="586" t="s">
        <v>2572</v>
      </c>
      <c r="F870" s="586" t="s">
        <v>2573</v>
      </c>
      <c r="G870" s="586"/>
      <c r="H870" s="586" t="s">
        <v>359</v>
      </c>
      <c r="I870" s="587" t="s">
        <v>359</v>
      </c>
      <c r="J870" s="586"/>
      <c r="K870" s="586" t="s">
        <v>360</v>
      </c>
      <c r="L870" s="586" t="s">
        <v>361</v>
      </c>
      <c r="M870" s="55" t="s">
        <v>7634</v>
      </c>
    </row>
    <row r="871" spans="1:13">
      <c r="A871" s="408" t="s">
        <v>2574</v>
      </c>
      <c r="B871" s="106" t="s">
        <v>327</v>
      </c>
      <c r="C871" s="106" t="s">
        <v>473</v>
      </c>
      <c r="D871" s="107" t="s">
        <v>2575</v>
      </c>
      <c r="E871" s="109" t="s">
        <v>355</v>
      </c>
      <c r="F871" s="109" t="s">
        <v>355</v>
      </c>
      <c r="G871" s="55" t="s">
        <v>355</v>
      </c>
      <c r="H871" s="108" t="s">
        <v>402</v>
      </c>
      <c r="I871" s="111" t="s">
        <v>402</v>
      </c>
      <c r="J871" s="111" t="s">
        <v>402</v>
      </c>
      <c r="K871" s="106" t="s">
        <v>403</v>
      </c>
      <c r="L871" s="55" t="s">
        <v>404</v>
      </c>
      <c r="M871" s="55" t="s">
        <v>7634</v>
      </c>
    </row>
    <row r="872" spans="1:13">
      <c r="A872" s="408" t="s">
        <v>2576</v>
      </c>
      <c r="B872" s="106" t="s">
        <v>327</v>
      </c>
      <c r="C872" s="106" t="s">
        <v>473</v>
      </c>
      <c r="D872" s="107" t="s">
        <v>2577</v>
      </c>
      <c r="E872" s="109" t="s">
        <v>355</v>
      </c>
      <c r="F872" s="109" t="s">
        <v>355</v>
      </c>
      <c r="G872" s="55" t="s">
        <v>355</v>
      </c>
      <c r="H872" s="108" t="s">
        <v>402</v>
      </c>
      <c r="I872" s="111" t="s">
        <v>402</v>
      </c>
      <c r="J872" s="111" t="s">
        <v>402</v>
      </c>
      <c r="K872" s="106" t="s">
        <v>403</v>
      </c>
      <c r="L872" s="55" t="s">
        <v>404</v>
      </c>
      <c r="M872" s="55" t="s">
        <v>7634</v>
      </c>
    </row>
    <row r="873" spans="1:13">
      <c r="A873" s="408" t="s">
        <v>2578</v>
      </c>
      <c r="B873" s="106" t="s">
        <v>327</v>
      </c>
      <c r="C873" s="106" t="s">
        <v>473</v>
      </c>
      <c r="D873" s="107" t="s">
        <v>2577</v>
      </c>
      <c r="E873" s="109" t="s">
        <v>355</v>
      </c>
      <c r="F873" s="109" t="s">
        <v>355</v>
      </c>
      <c r="G873" s="55" t="s">
        <v>355</v>
      </c>
      <c r="H873" s="108" t="s">
        <v>402</v>
      </c>
      <c r="I873" s="111" t="s">
        <v>402</v>
      </c>
      <c r="J873" s="111" t="s">
        <v>402</v>
      </c>
      <c r="K873" s="106" t="s">
        <v>403</v>
      </c>
      <c r="L873" s="55" t="s">
        <v>404</v>
      </c>
      <c r="M873" s="55" t="s">
        <v>7634</v>
      </c>
    </row>
    <row r="874" spans="1:13">
      <c r="A874" s="408" t="s">
        <v>2579</v>
      </c>
      <c r="B874" s="106" t="s">
        <v>327</v>
      </c>
      <c r="C874" s="106" t="s">
        <v>473</v>
      </c>
      <c r="D874" s="107" t="s">
        <v>2580</v>
      </c>
      <c r="E874" s="109" t="s">
        <v>355</v>
      </c>
      <c r="F874" s="109" t="s">
        <v>355</v>
      </c>
      <c r="G874" s="55" t="s">
        <v>355</v>
      </c>
      <c r="H874" s="108" t="s">
        <v>402</v>
      </c>
      <c r="I874" s="111" t="s">
        <v>402</v>
      </c>
      <c r="J874" s="111" t="s">
        <v>402</v>
      </c>
      <c r="K874" s="106" t="s">
        <v>403</v>
      </c>
      <c r="L874" s="55" t="s">
        <v>404</v>
      </c>
      <c r="M874" s="55" t="s">
        <v>7634</v>
      </c>
    </row>
    <row r="875" spans="1:13">
      <c r="A875" s="401" t="s">
        <v>2581</v>
      </c>
      <c r="B875" s="106" t="s">
        <v>984</v>
      </c>
      <c r="C875" s="106" t="s">
        <v>473</v>
      </c>
      <c r="D875" s="109" t="s">
        <v>2582</v>
      </c>
      <c r="E875" s="109" t="s">
        <v>2583</v>
      </c>
      <c r="F875" s="109" t="s">
        <v>2584</v>
      </c>
      <c r="G875" s="114" t="s">
        <v>383</v>
      </c>
      <c r="H875" s="115" t="s">
        <v>402</v>
      </c>
      <c r="I875" s="111" t="s">
        <v>402</v>
      </c>
      <c r="J875" s="111" t="s">
        <v>402</v>
      </c>
      <c r="K875" s="115" t="s">
        <v>403</v>
      </c>
      <c r="L875" s="55" t="s">
        <v>404</v>
      </c>
      <c r="M875" s="113" t="s">
        <v>383</v>
      </c>
    </row>
    <row r="876" spans="1:13">
      <c r="A876" s="408" t="s">
        <v>2585</v>
      </c>
      <c r="B876" s="106" t="s">
        <v>327</v>
      </c>
      <c r="C876" s="106" t="s">
        <v>473</v>
      </c>
      <c r="D876" s="107" t="s">
        <v>2586</v>
      </c>
      <c r="E876" s="109" t="s">
        <v>355</v>
      </c>
      <c r="F876" s="109" t="s">
        <v>355</v>
      </c>
      <c r="G876" s="55" t="s">
        <v>355</v>
      </c>
      <c r="H876" s="108" t="s">
        <v>402</v>
      </c>
      <c r="I876" s="111" t="s">
        <v>402</v>
      </c>
      <c r="J876" s="111" t="s">
        <v>402</v>
      </c>
      <c r="K876" s="106" t="s">
        <v>403</v>
      </c>
      <c r="L876" s="55" t="s">
        <v>404</v>
      </c>
      <c r="M876" s="55" t="s">
        <v>7634</v>
      </c>
    </row>
    <row r="877" spans="1:13">
      <c r="A877" s="408" t="s">
        <v>2587</v>
      </c>
      <c r="B877" s="106" t="s">
        <v>327</v>
      </c>
      <c r="C877" s="106" t="s">
        <v>473</v>
      </c>
      <c r="D877" s="107" t="s">
        <v>2588</v>
      </c>
      <c r="E877" s="109" t="s">
        <v>355</v>
      </c>
      <c r="F877" s="109" t="s">
        <v>355</v>
      </c>
      <c r="G877" s="55" t="s">
        <v>355</v>
      </c>
      <c r="H877" s="108" t="s">
        <v>402</v>
      </c>
      <c r="I877" s="111" t="s">
        <v>402</v>
      </c>
      <c r="J877" s="111" t="s">
        <v>402</v>
      </c>
      <c r="K877" s="106" t="s">
        <v>403</v>
      </c>
      <c r="L877" s="55" t="s">
        <v>404</v>
      </c>
      <c r="M877" s="55" t="s">
        <v>7634</v>
      </c>
    </row>
    <row r="878" spans="1:13">
      <c r="A878" s="401" t="s">
        <v>2589</v>
      </c>
      <c r="B878" s="106" t="s">
        <v>327</v>
      </c>
      <c r="C878" s="106" t="s">
        <v>473</v>
      </c>
      <c r="D878" s="109" t="s">
        <v>2590</v>
      </c>
      <c r="E878" s="109" t="s">
        <v>2591</v>
      </c>
      <c r="F878" s="110" t="s">
        <v>383</v>
      </c>
      <c r="G878" s="112" t="s">
        <v>2592</v>
      </c>
      <c r="H878" s="115" t="s">
        <v>402</v>
      </c>
      <c r="I878" s="111" t="s">
        <v>402</v>
      </c>
      <c r="J878" s="111" t="s">
        <v>402</v>
      </c>
      <c r="K878" s="106" t="s">
        <v>403</v>
      </c>
      <c r="L878" s="55" t="s">
        <v>404</v>
      </c>
      <c r="M878" s="55" t="s">
        <v>1173</v>
      </c>
    </row>
    <row r="879" spans="1:13">
      <c r="A879" s="408" t="s">
        <v>2593</v>
      </c>
      <c r="B879" s="106" t="s">
        <v>327</v>
      </c>
      <c r="C879" s="106" t="s">
        <v>473</v>
      </c>
      <c r="D879" s="107" t="s">
        <v>2594</v>
      </c>
      <c r="E879" s="109" t="s">
        <v>355</v>
      </c>
      <c r="F879" s="109" t="s">
        <v>355</v>
      </c>
      <c r="G879" s="55" t="s">
        <v>355</v>
      </c>
      <c r="H879" s="108" t="s">
        <v>402</v>
      </c>
      <c r="I879" s="111" t="s">
        <v>402</v>
      </c>
      <c r="J879" s="111" t="s">
        <v>402</v>
      </c>
      <c r="K879" s="106" t="s">
        <v>403</v>
      </c>
      <c r="L879" s="55" t="s">
        <v>404</v>
      </c>
      <c r="M879" s="55" t="s">
        <v>7634</v>
      </c>
    </row>
    <row r="880" spans="1:13">
      <c r="A880" s="408" t="s">
        <v>2595</v>
      </c>
      <c r="B880" s="106" t="s">
        <v>327</v>
      </c>
      <c r="C880" s="106" t="s">
        <v>473</v>
      </c>
      <c r="D880" s="107" t="s">
        <v>2596</v>
      </c>
      <c r="E880" s="109" t="s">
        <v>355</v>
      </c>
      <c r="F880" s="109" t="s">
        <v>355</v>
      </c>
      <c r="G880" s="55" t="s">
        <v>355</v>
      </c>
      <c r="H880" s="108" t="s">
        <v>402</v>
      </c>
      <c r="I880" s="111" t="s">
        <v>402</v>
      </c>
      <c r="J880" s="111" t="s">
        <v>402</v>
      </c>
      <c r="K880" s="106" t="s">
        <v>403</v>
      </c>
      <c r="L880" s="55" t="s">
        <v>404</v>
      </c>
      <c r="M880" s="55" t="s">
        <v>7634</v>
      </c>
    </row>
    <row r="881" spans="1:13">
      <c r="A881" s="408" t="s">
        <v>2597</v>
      </c>
      <c r="B881" s="106" t="s">
        <v>327</v>
      </c>
      <c r="C881" s="106" t="s">
        <v>473</v>
      </c>
      <c r="D881" s="107" t="s">
        <v>2598</v>
      </c>
      <c r="E881" s="109" t="s">
        <v>355</v>
      </c>
      <c r="F881" s="109" t="s">
        <v>355</v>
      </c>
      <c r="G881" s="55" t="s">
        <v>355</v>
      </c>
      <c r="H881" s="108" t="s">
        <v>402</v>
      </c>
      <c r="I881" s="111" t="s">
        <v>402</v>
      </c>
      <c r="J881" s="111" t="s">
        <v>402</v>
      </c>
      <c r="K881" s="106" t="s">
        <v>403</v>
      </c>
      <c r="L881" s="55" t="s">
        <v>404</v>
      </c>
      <c r="M881" s="55" t="s">
        <v>7634</v>
      </c>
    </row>
    <row r="882" spans="1:13">
      <c r="A882" s="408" t="s">
        <v>2599</v>
      </c>
      <c r="B882" s="106" t="s">
        <v>327</v>
      </c>
      <c r="C882" s="106" t="s">
        <v>473</v>
      </c>
      <c r="D882" s="107" t="s">
        <v>2600</v>
      </c>
      <c r="E882" s="109" t="s">
        <v>355</v>
      </c>
      <c r="F882" s="109" t="s">
        <v>355</v>
      </c>
      <c r="G882" s="55" t="s">
        <v>355</v>
      </c>
      <c r="H882" s="108" t="s">
        <v>402</v>
      </c>
      <c r="I882" s="111" t="s">
        <v>402</v>
      </c>
      <c r="J882" s="111" t="s">
        <v>402</v>
      </c>
      <c r="K882" s="106" t="s">
        <v>403</v>
      </c>
      <c r="L882" s="55" t="s">
        <v>404</v>
      </c>
      <c r="M882" s="55" t="s">
        <v>7634</v>
      </c>
    </row>
    <row r="883" spans="1:13">
      <c r="A883" s="408" t="s">
        <v>2601</v>
      </c>
      <c r="B883" s="106" t="s">
        <v>327</v>
      </c>
      <c r="C883" s="106" t="s">
        <v>473</v>
      </c>
      <c r="D883" s="107" t="s">
        <v>2602</v>
      </c>
      <c r="E883" s="109" t="s">
        <v>355</v>
      </c>
      <c r="F883" s="109" t="s">
        <v>355</v>
      </c>
      <c r="G883" s="55" t="s">
        <v>355</v>
      </c>
      <c r="H883" s="108" t="s">
        <v>402</v>
      </c>
      <c r="I883" s="111" t="s">
        <v>402</v>
      </c>
      <c r="J883" s="111" t="s">
        <v>402</v>
      </c>
      <c r="K883" s="106" t="s">
        <v>403</v>
      </c>
      <c r="L883" s="55" t="s">
        <v>404</v>
      </c>
      <c r="M883" s="55" t="s">
        <v>7634</v>
      </c>
    </row>
    <row r="884" spans="1:13">
      <c r="A884" s="408" t="s">
        <v>2603</v>
      </c>
      <c r="B884" s="106" t="s">
        <v>327</v>
      </c>
      <c r="C884" s="106" t="s">
        <v>473</v>
      </c>
      <c r="D884" s="107" t="s">
        <v>2604</v>
      </c>
      <c r="E884" s="109" t="s">
        <v>355</v>
      </c>
      <c r="F884" s="109" t="s">
        <v>355</v>
      </c>
      <c r="G884" s="55" t="s">
        <v>355</v>
      </c>
      <c r="H884" s="108" t="s">
        <v>402</v>
      </c>
      <c r="I884" s="111" t="s">
        <v>402</v>
      </c>
      <c r="J884" s="111" t="s">
        <v>402</v>
      </c>
      <c r="K884" s="106" t="s">
        <v>403</v>
      </c>
      <c r="L884" s="55" t="s">
        <v>404</v>
      </c>
      <c r="M884" s="55" t="s">
        <v>7634</v>
      </c>
    </row>
    <row r="885" spans="1:13">
      <c r="A885" s="408" t="s">
        <v>2605</v>
      </c>
      <c r="B885" s="106" t="s">
        <v>327</v>
      </c>
      <c r="C885" s="106" t="s">
        <v>473</v>
      </c>
      <c r="D885" s="107" t="s">
        <v>2606</v>
      </c>
      <c r="E885" s="109" t="s">
        <v>355</v>
      </c>
      <c r="F885" s="109" t="s">
        <v>355</v>
      </c>
      <c r="G885" s="55" t="s">
        <v>355</v>
      </c>
      <c r="H885" s="108" t="s">
        <v>402</v>
      </c>
      <c r="I885" s="111" t="s">
        <v>402</v>
      </c>
      <c r="J885" s="111" t="s">
        <v>402</v>
      </c>
      <c r="K885" s="106" t="s">
        <v>403</v>
      </c>
      <c r="L885" s="55" t="s">
        <v>404</v>
      </c>
      <c r="M885" s="55" t="s">
        <v>7634</v>
      </c>
    </row>
    <row r="886" spans="1:13">
      <c r="A886" s="408" t="s">
        <v>2607</v>
      </c>
      <c r="B886" s="106" t="s">
        <v>327</v>
      </c>
      <c r="C886" s="106" t="s">
        <v>473</v>
      </c>
      <c r="D886" s="107" t="s">
        <v>2608</v>
      </c>
      <c r="E886" s="109" t="s">
        <v>355</v>
      </c>
      <c r="F886" s="109" t="s">
        <v>355</v>
      </c>
      <c r="G886" s="55" t="s">
        <v>355</v>
      </c>
      <c r="H886" s="108" t="s">
        <v>402</v>
      </c>
      <c r="I886" s="111" t="s">
        <v>402</v>
      </c>
      <c r="J886" s="111" t="s">
        <v>402</v>
      </c>
      <c r="K886" s="106" t="s">
        <v>403</v>
      </c>
      <c r="L886" s="55" t="s">
        <v>404</v>
      </c>
      <c r="M886" s="55" t="s">
        <v>7634</v>
      </c>
    </row>
    <row r="887" spans="1:13">
      <c r="A887" s="408" t="s">
        <v>2609</v>
      </c>
      <c r="B887" s="106" t="s">
        <v>327</v>
      </c>
      <c r="C887" s="106" t="s">
        <v>473</v>
      </c>
      <c r="D887" s="107" t="s">
        <v>2608</v>
      </c>
      <c r="E887" s="109" t="s">
        <v>355</v>
      </c>
      <c r="F887" s="109" t="s">
        <v>355</v>
      </c>
      <c r="G887" s="55" t="s">
        <v>355</v>
      </c>
      <c r="H887" s="108" t="s">
        <v>402</v>
      </c>
      <c r="I887" s="111" t="s">
        <v>402</v>
      </c>
      <c r="J887" s="111" t="s">
        <v>402</v>
      </c>
      <c r="K887" s="106" t="s">
        <v>403</v>
      </c>
      <c r="L887" s="55" t="s">
        <v>404</v>
      </c>
      <c r="M887" s="55" t="s">
        <v>7634</v>
      </c>
    </row>
    <row r="888" spans="1:13">
      <c r="A888" s="408" t="s">
        <v>2610</v>
      </c>
      <c r="B888" s="106" t="s">
        <v>327</v>
      </c>
      <c r="C888" s="106" t="s">
        <v>473</v>
      </c>
      <c r="D888" s="107" t="s">
        <v>2611</v>
      </c>
      <c r="E888" s="109" t="s">
        <v>355</v>
      </c>
      <c r="F888" s="109" t="s">
        <v>355</v>
      </c>
      <c r="G888" s="55" t="s">
        <v>355</v>
      </c>
      <c r="H888" s="108" t="s">
        <v>402</v>
      </c>
      <c r="I888" s="111" t="s">
        <v>402</v>
      </c>
      <c r="J888" s="111" t="s">
        <v>402</v>
      </c>
      <c r="K888" s="106" t="s">
        <v>403</v>
      </c>
      <c r="L888" s="55" t="s">
        <v>404</v>
      </c>
      <c r="M888" s="55" t="s">
        <v>7634</v>
      </c>
    </row>
    <row r="889" spans="1:13">
      <c r="A889" s="408" t="s">
        <v>2612</v>
      </c>
      <c r="B889" s="106" t="s">
        <v>327</v>
      </c>
      <c r="C889" s="106" t="s">
        <v>473</v>
      </c>
      <c r="D889" s="107" t="s">
        <v>2613</v>
      </c>
      <c r="E889" s="109" t="s">
        <v>355</v>
      </c>
      <c r="F889" s="109" t="s">
        <v>355</v>
      </c>
      <c r="G889" s="55" t="s">
        <v>355</v>
      </c>
      <c r="H889" s="108" t="s">
        <v>402</v>
      </c>
      <c r="I889" s="111" t="s">
        <v>402</v>
      </c>
      <c r="J889" s="111" t="s">
        <v>402</v>
      </c>
      <c r="K889" s="106" t="s">
        <v>403</v>
      </c>
      <c r="L889" s="55" t="s">
        <v>404</v>
      </c>
      <c r="M889" s="55" t="s">
        <v>7634</v>
      </c>
    </row>
    <row r="890" spans="1:13">
      <c r="A890" s="408" t="s">
        <v>2614</v>
      </c>
      <c r="B890" s="106" t="s">
        <v>327</v>
      </c>
      <c r="C890" s="106" t="s">
        <v>473</v>
      </c>
      <c r="D890" s="107" t="s">
        <v>2615</v>
      </c>
      <c r="E890" s="109" t="s">
        <v>355</v>
      </c>
      <c r="F890" s="109" t="s">
        <v>355</v>
      </c>
      <c r="G890" s="55" t="s">
        <v>355</v>
      </c>
      <c r="H890" s="108" t="s">
        <v>402</v>
      </c>
      <c r="I890" s="111" t="s">
        <v>402</v>
      </c>
      <c r="J890" s="111" t="s">
        <v>402</v>
      </c>
      <c r="K890" s="106" t="s">
        <v>403</v>
      </c>
      <c r="L890" s="55" t="s">
        <v>404</v>
      </c>
      <c r="M890" s="55" t="s">
        <v>7634</v>
      </c>
    </row>
    <row r="891" spans="1:13">
      <c r="A891" s="408" t="s">
        <v>2616</v>
      </c>
      <c r="B891" s="106" t="s">
        <v>327</v>
      </c>
      <c r="C891" s="106" t="s">
        <v>473</v>
      </c>
      <c r="D891" s="107" t="s">
        <v>2617</v>
      </c>
      <c r="E891" s="109" t="s">
        <v>355</v>
      </c>
      <c r="F891" s="109" t="s">
        <v>355</v>
      </c>
      <c r="G891" s="55" t="s">
        <v>355</v>
      </c>
      <c r="H891" s="108" t="s">
        <v>402</v>
      </c>
      <c r="I891" s="111" t="s">
        <v>402</v>
      </c>
      <c r="J891" s="111" t="s">
        <v>402</v>
      </c>
      <c r="K891" s="106" t="s">
        <v>403</v>
      </c>
      <c r="L891" s="55" t="s">
        <v>404</v>
      </c>
      <c r="M891" s="55" t="s">
        <v>7634</v>
      </c>
    </row>
    <row r="892" spans="1:13">
      <c r="A892" s="401" t="s">
        <v>2618</v>
      </c>
      <c r="B892" s="106" t="s">
        <v>327</v>
      </c>
      <c r="C892" s="106" t="s">
        <v>473</v>
      </c>
      <c r="D892" s="109"/>
      <c r="E892" s="109" t="s">
        <v>355</v>
      </c>
      <c r="F892" s="109" t="s">
        <v>355</v>
      </c>
      <c r="G892" s="55" t="s">
        <v>355</v>
      </c>
      <c r="H892" s="115" t="s">
        <v>402</v>
      </c>
      <c r="I892" s="111" t="s">
        <v>402</v>
      </c>
      <c r="J892" s="111" t="s">
        <v>402</v>
      </c>
      <c r="K892" s="106"/>
      <c r="L892" s="55"/>
      <c r="M892" s="55" t="s">
        <v>7634</v>
      </c>
    </row>
    <row r="893" spans="1:13">
      <c r="A893" s="408" t="s">
        <v>2619</v>
      </c>
      <c r="B893" s="106" t="s">
        <v>327</v>
      </c>
      <c r="C893" s="106" t="s">
        <v>473</v>
      </c>
      <c r="D893" s="107" t="s">
        <v>2620</v>
      </c>
      <c r="E893" s="109" t="s">
        <v>355</v>
      </c>
      <c r="F893" s="109" t="s">
        <v>355</v>
      </c>
      <c r="G893" s="55" t="s">
        <v>355</v>
      </c>
      <c r="H893" s="108" t="s">
        <v>402</v>
      </c>
      <c r="I893" s="111" t="s">
        <v>402</v>
      </c>
      <c r="J893" s="111" t="s">
        <v>402</v>
      </c>
      <c r="K893" s="106" t="s">
        <v>403</v>
      </c>
      <c r="L893" s="55" t="s">
        <v>404</v>
      </c>
      <c r="M893" s="55" t="s">
        <v>7634</v>
      </c>
    </row>
    <row r="894" spans="1:13">
      <c r="A894" s="408" t="s">
        <v>2621</v>
      </c>
      <c r="B894" s="106" t="s">
        <v>327</v>
      </c>
      <c r="C894" s="106" t="s">
        <v>473</v>
      </c>
      <c r="D894" s="107" t="s">
        <v>2622</v>
      </c>
      <c r="E894" s="109" t="s">
        <v>355</v>
      </c>
      <c r="F894" s="109" t="s">
        <v>355</v>
      </c>
      <c r="G894" s="55" t="s">
        <v>355</v>
      </c>
      <c r="H894" s="108" t="s">
        <v>402</v>
      </c>
      <c r="I894" s="111" t="s">
        <v>402</v>
      </c>
      <c r="J894" s="111" t="s">
        <v>402</v>
      </c>
      <c r="K894" s="106" t="s">
        <v>403</v>
      </c>
      <c r="L894" s="55" t="s">
        <v>404</v>
      </c>
      <c r="M894" s="55" t="s">
        <v>7634</v>
      </c>
    </row>
    <row r="895" spans="1:13">
      <c r="A895" s="408" t="s">
        <v>2623</v>
      </c>
      <c r="B895" s="106" t="s">
        <v>327</v>
      </c>
      <c r="C895" s="106" t="s">
        <v>473</v>
      </c>
      <c r="D895" s="107" t="s">
        <v>2622</v>
      </c>
      <c r="E895" s="109" t="s">
        <v>355</v>
      </c>
      <c r="F895" s="109" t="s">
        <v>355</v>
      </c>
      <c r="G895" s="55" t="s">
        <v>355</v>
      </c>
      <c r="H895" s="108" t="s">
        <v>402</v>
      </c>
      <c r="I895" s="111" t="s">
        <v>402</v>
      </c>
      <c r="J895" s="111" t="s">
        <v>402</v>
      </c>
      <c r="K895" s="106" t="s">
        <v>403</v>
      </c>
      <c r="L895" s="55" t="s">
        <v>404</v>
      </c>
      <c r="M895" s="55" t="s">
        <v>7634</v>
      </c>
    </row>
    <row r="896" spans="1:13">
      <c r="A896" s="408" t="s">
        <v>2624</v>
      </c>
      <c r="B896" s="106" t="s">
        <v>327</v>
      </c>
      <c r="C896" s="106" t="s">
        <v>473</v>
      </c>
      <c r="D896" s="107" t="s">
        <v>2625</v>
      </c>
      <c r="E896" s="109" t="s">
        <v>355</v>
      </c>
      <c r="F896" s="109" t="s">
        <v>355</v>
      </c>
      <c r="G896" s="55" t="s">
        <v>355</v>
      </c>
      <c r="H896" s="108" t="s">
        <v>402</v>
      </c>
      <c r="I896" s="111" t="s">
        <v>402</v>
      </c>
      <c r="J896" s="111" t="s">
        <v>402</v>
      </c>
      <c r="K896" s="106" t="s">
        <v>403</v>
      </c>
      <c r="L896" s="55" t="s">
        <v>404</v>
      </c>
      <c r="M896" s="55" t="s">
        <v>7634</v>
      </c>
    </row>
    <row r="897" spans="1:13">
      <c r="A897" s="408" t="s">
        <v>2626</v>
      </c>
      <c r="B897" s="106" t="s">
        <v>327</v>
      </c>
      <c r="C897" s="106" t="s">
        <v>473</v>
      </c>
      <c r="D897" s="107" t="s">
        <v>2627</v>
      </c>
      <c r="E897" s="109" t="s">
        <v>355</v>
      </c>
      <c r="F897" s="109" t="s">
        <v>355</v>
      </c>
      <c r="G897" s="55" t="s">
        <v>355</v>
      </c>
      <c r="H897" s="108" t="s">
        <v>402</v>
      </c>
      <c r="I897" s="111" t="s">
        <v>402</v>
      </c>
      <c r="J897" s="111" t="s">
        <v>402</v>
      </c>
      <c r="K897" s="106" t="s">
        <v>403</v>
      </c>
      <c r="L897" s="55" t="s">
        <v>404</v>
      </c>
      <c r="M897" s="55" t="s">
        <v>7634</v>
      </c>
    </row>
    <row r="898" spans="1:13">
      <c r="A898" s="408" t="s">
        <v>2628</v>
      </c>
      <c r="B898" s="106" t="s">
        <v>327</v>
      </c>
      <c r="C898" s="106" t="s">
        <v>473</v>
      </c>
      <c r="D898" s="107" t="s">
        <v>2629</v>
      </c>
      <c r="E898" s="109" t="s">
        <v>355</v>
      </c>
      <c r="F898" s="109" t="s">
        <v>355</v>
      </c>
      <c r="G898" s="55" t="s">
        <v>355</v>
      </c>
      <c r="H898" s="108" t="s">
        <v>402</v>
      </c>
      <c r="I898" s="111" t="s">
        <v>402</v>
      </c>
      <c r="J898" s="111" t="s">
        <v>402</v>
      </c>
      <c r="K898" s="106" t="s">
        <v>403</v>
      </c>
      <c r="L898" s="55" t="s">
        <v>404</v>
      </c>
      <c r="M898" s="55" t="s">
        <v>7634</v>
      </c>
    </row>
    <row r="899" spans="1:13">
      <c r="A899" s="408" t="s">
        <v>2630</v>
      </c>
      <c r="B899" s="106" t="s">
        <v>327</v>
      </c>
      <c r="C899" s="106" t="s">
        <v>473</v>
      </c>
      <c r="D899" s="107" t="s">
        <v>2631</v>
      </c>
      <c r="E899" s="109" t="s">
        <v>355</v>
      </c>
      <c r="F899" s="109" t="s">
        <v>355</v>
      </c>
      <c r="G899" s="55" t="s">
        <v>355</v>
      </c>
      <c r="H899" s="108" t="s">
        <v>402</v>
      </c>
      <c r="I899" s="111" t="s">
        <v>402</v>
      </c>
      <c r="J899" s="111" t="s">
        <v>402</v>
      </c>
      <c r="K899" s="106" t="s">
        <v>403</v>
      </c>
      <c r="L899" s="55" t="s">
        <v>404</v>
      </c>
      <c r="M899" s="55" t="s">
        <v>7634</v>
      </c>
    </row>
    <row r="900" spans="1:13">
      <c r="A900" s="408" t="s">
        <v>2632</v>
      </c>
      <c r="B900" s="106" t="s">
        <v>327</v>
      </c>
      <c r="C900" s="106" t="s">
        <v>473</v>
      </c>
      <c r="D900" s="107" t="s">
        <v>2633</v>
      </c>
      <c r="E900" s="109" t="s">
        <v>355</v>
      </c>
      <c r="F900" s="109" t="s">
        <v>355</v>
      </c>
      <c r="G900" s="55" t="s">
        <v>355</v>
      </c>
      <c r="H900" s="108" t="s">
        <v>402</v>
      </c>
      <c r="I900" s="111" t="s">
        <v>402</v>
      </c>
      <c r="J900" s="111" t="s">
        <v>402</v>
      </c>
      <c r="K900" s="106" t="s">
        <v>403</v>
      </c>
      <c r="L900" s="55" t="s">
        <v>404</v>
      </c>
      <c r="M900" s="55" t="s">
        <v>7634</v>
      </c>
    </row>
    <row r="901" spans="1:13">
      <c r="A901" s="408" t="s">
        <v>2634</v>
      </c>
      <c r="B901" s="106" t="s">
        <v>327</v>
      </c>
      <c r="C901" s="106" t="s">
        <v>473</v>
      </c>
      <c r="D901" s="107" t="s">
        <v>2635</v>
      </c>
      <c r="E901" s="109" t="s">
        <v>355</v>
      </c>
      <c r="F901" s="109" t="s">
        <v>355</v>
      </c>
      <c r="G901" s="55" t="s">
        <v>355</v>
      </c>
      <c r="H901" s="108" t="s">
        <v>402</v>
      </c>
      <c r="I901" s="111" t="s">
        <v>402</v>
      </c>
      <c r="J901" s="111" t="s">
        <v>402</v>
      </c>
      <c r="K901" s="106" t="s">
        <v>403</v>
      </c>
      <c r="L901" s="55" t="s">
        <v>404</v>
      </c>
      <c r="M901" s="55" t="s">
        <v>7634</v>
      </c>
    </row>
    <row r="902" spans="1:13">
      <c r="A902" s="408" t="s">
        <v>2636</v>
      </c>
      <c r="B902" s="106" t="s">
        <v>327</v>
      </c>
      <c r="C902" s="106" t="s">
        <v>473</v>
      </c>
      <c r="D902" s="107" t="s">
        <v>2637</v>
      </c>
      <c r="E902" s="109" t="s">
        <v>355</v>
      </c>
      <c r="F902" s="109" t="s">
        <v>355</v>
      </c>
      <c r="G902" s="55" t="s">
        <v>355</v>
      </c>
      <c r="H902" s="108" t="s">
        <v>402</v>
      </c>
      <c r="I902" s="111" t="s">
        <v>402</v>
      </c>
      <c r="J902" s="111" t="s">
        <v>402</v>
      </c>
      <c r="K902" s="106" t="s">
        <v>403</v>
      </c>
      <c r="L902" s="55" t="s">
        <v>404</v>
      </c>
      <c r="M902" s="55" t="s">
        <v>7634</v>
      </c>
    </row>
    <row r="903" spans="1:13">
      <c r="A903" s="408" t="s">
        <v>2638</v>
      </c>
      <c r="B903" s="106" t="s">
        <v>327</v>
      </c>
      <c r="C903" s="106" t="s">
        <v>473</v>
      </c>
      <c r="D903" s="107" t="s">
        <v>2639</v>
      </c>
      <c r="E903" s="109" t="s">
        <v>355</v>
      </c>
      <c r="F903" s="109" t="s">
        <v>355</v>
      </c>
      <c r="G903" s="55" t="s">
        <v>355</v>
      </c>
      <c r="H903" s="108" t="s">
        <v>402</v>
      </c>
      <c r="I903" s="111" t="s">
        <v>402</v>
      </c>
      <c r="J903" s="111" t="s">
        <v>402</v>
      </c>
      <c r="K903" s="106" t="s">
        <v>403</v>
      </c>
      <c r="L903" s="55" t="s">
        <v>404</v>
      </c>
      <c r="M903" s="55" t="s">
        <v>7634</v>
      </c>
    </row>
    <row r="904" spans="1:13">
      <c r="A904" s="408" t="s">
        <v>2640</v>
      </c>
      <c r="B904" s="106" t="s">
        <v>327</v>
      </c>
      <c r="C904" s="106" t="s">
        <v>473</v>
      </c>
      <c r="D904" s="107" t="s">
        <v>2641</v>
      </c>
      <c r="E904" s="109" t="s">
        <v>355</v>
      </c>
      <c r="F904" s="109" t="s">
        <v>355</v>
      </c>
      <c r="G904" s="55" t="s">
        <v>355</v>
      </c>
      <c r="H904" s="108" t="s">
        <v>402</v>
      </c>
      <c r="I904" s="111" t="s">
        <v>402</v>
      </c>
      <c r="J904" s="111" t="s">
        <v>402</v>
      </c>
      <c r="K904" s="106" t="s">
        <v>403</v>
      </c>
      <c r="L904" s="55" t="s">
        <v>404</v>
      </c>
      <c r="M904" s="55" t="s">
        <v>7634</v>
      </c>
    </row>
    <row r="905" spans="1:13">
      <c r="A905" s="408" t="s">
        <v>2642</v>
      </c>
      <c r="B905" s="106" t="s">
        <v>327</v>
      </c>
      <c r="C905" s="106" t="s">
        <v>473</v>
      </c>
      <c r="D905" s="107" t="s">
        <v>2643</v>
      </c>
      <c r="E905" s="109" t="s">
        <v>355</v>
      </c>
      <c r="F905" s="109" t="s">
        <v>355</v>
      </c>
      <c r="G905" s="55" t="s">
        <v>355</v>
      </c>
      <c r="H905" s="108" t="s">
        <v>402</v>
      </c>
      <c r="I905" s="111" t="s">
        <v>402</v>
      </c>
      <c r="J905" s="111" t="s">
        <v>402</v>
      </c>
      <c r="K905" s="106" t="s">
        <v>403</v>
      </c>
      <c r="L905" s="55" t="s">
        <v>404</v>
      </c>
      <c r="M905" s="55" t="s">
        <v>7634</v>
      </c>
    </row>
    <row r="906" spans="1:13">
      <c r="A906" s="408" t="s">
        <v>2644</v>
      </c>
      <c r="B906" s="106" t="s">
        <v>327</v>
      </c>
      <c r="C906" s="106" t="s">
        <v>473</v>
      </c>
      <c r="D906" s="107" t="s">
        <v>2643</v>
      </c>
      <c r="E906" s="109" t="s">
        <v>2645</v>
      </c>
      <c r="F906" s="109" t="s">
        <v>2646</v>
      </c>
      <c r="G906" s="593" t="s">
        <v>2647</v>
      </c>
      <c r="H906" s="108" t="s">
        <v>402</v>
      </c>
      <c r="I906" s="111" t="s">
        <v>402</v>
      </c>
      <c r="J906" s="111" t="s">
        <v>402</v>
      </c>
      <c r="K906" s="106" t="s">
        <v>403</v>
      </c>
      <c r="L906" s="55" t="s">
        <v>404</v>
      </c>
      <c r="M906" s="55" t="s">
        <v>7634</v>
      </c>
    </row>
    <row r="907" spans="1:13">
      <c r="A907" s="408" t="s">
        <v>2648</v>
      </c>
      <c r="B907" s="106" t="s">
        <v>327</v>
      </c>
      <c r="C907" s="106" t="s">
        <v>473</v>
      </c>
      <c r="D907" s="107" t="s">
        <v>2649</v>
      </c>
      <c r="E907" s="109" t="s">
        <v>355</v>
      </c>
      <c r="F907" s="109" t="s">
        <v>355</v>
      </c>
      <c r="G907" s="55" t="s">
        <v>355</v>
      </c>
      <c r="H907" s="108" t="s">
        <v>402</v>
      </c>
      <c r="I907" s="111" t="s">
        <v>402</v>
      </c>
      <c r="J907" s="111" t="s">
        <v>402</v>
      </c>
      <c r="K907" s="106" t="s">
        <v>403</v>
      </c>
      <c r="L907" s="55" t="s">
        <v>404</v>
      </c>
      <c r="M907" s="55" t="s">
        <v>7634</v>
      </c>
    </row>
    <row r="908" spans="1:13">
      <c r="A908" s="578" t="s">
        <v>2650</v>
      </c>
      <c r="B908" s="586" t="s">
        <v>473</v>
      </c>
      <c r="C908" s="586" t="s">
        <v>473</v>
      </c>
      <c r="D908" s="586" t="s">
        <v>2651</v>
      </c>
      <c r="E908" s="586" t="s">
        <v>1225</v>
      </c>
      <c r="F908" s="586" t="s">
        <v>2652</v>
      </c>
      <c r="G908" s="586" t="s">
        <v>377</v>
      </c>
      <c r="H908" s="586" t="s">
        <v>359</v>
      </c>
      <c r="I908" s="587" t="s">
        <v>359</v>
      </c>
      <c r="J908" s="586"/>
      <c r="K908" s="586" t="s">
        <v>360</v>
      </c>
      <c r="L908" s="586" t="s">
        <v>361</v>
      </c>
      <c r="M908" s="55" t="s">
        <v>7634</v>
      </c>
    </row>
    <row r="909" spans="1:13">
      <c r="A909" s="408" t="s">
        <v>2653</v>
      </c>
      <c r="B909" s="106" t="s">
        <v>327</v>
      </c>
      <c r="C909" s="106" t="s">
        <v>473</v>
      </c>
      <c r="D909" s="107" t="s">
        <v>2651</v>
      </c>
      <c r="E909" s="109" t="s">
        <v>355</v>
      </c>
      <c r="F909" s="109" t="s">
        <v>355</v>
      </c>
      <c r="G909" s="55" t="s">
        <v>355</v>
      </c>
      <c r="H909" s="108" t="s">
        <v>402</v>
      </c>
      <c r="I909" s="111" t="s">
        <v>402</v>
      </c>
      <c r="J909" s="111" t="s">
        <v>402</v>
      </c>
      <c r="K909" s="106" t="s">
        <v>403</v>
      </c>
      <c r="L909" s="55" t="s">
        <v>404</v>
      </c>
      <c r="M909" s="55" t="s">
        <v>7634</v>
      </c>
    </row>
    <row r="910" spans="1:13">
      <c r="A910" s="408" t="s">
        <v>2654</v>
      </c>
      <c r="B910" s="106" t="s">
        <v>327</v>
      </c>
      <c r="C910" s="106" t="s">
        <v>473</v>
      </c>
      <c r="D910" s="107" t="s">
        <v>2655</v>
      </c>
      <c r="E910" s="109" t="s">
        <v>355</v>
      </c>
      <c r="F910" s="109" t="s">
        <v>355</v>
      </c>
      <c r="G910" s="55" t="s">
        <v>355</v>
      </c>
      <c r="H910" s="108" t="s">
        <v>402</v>
      </c>
      <c r="I910" s="111" t="s">
        <v>402</v>
      </c>
      <c r="J910" s="111" t="s">
        <v>402</v>
      </c>
      <c r="K910" s="106" t="s">
        <v>403</v>
      </c>
      <c r="L910" s="55" t="s">
        <v>404</v>
      </c>
      <c r="M910" s="55" t="s">
        <v>7634</v>
      </c>
    </row>
    <row r="911" spans="1:13">
      <c r="A911" s="408" t="s">
        <v>2656</v>
      </c>
      <c r="B911" s="106" t="s">
        <v>327</v>
      </c>
      <c r="C911" s="106" t="s">
        <v>473</v>
      </c>
      <c r="D911" s="107" t="s">
        <v>2657</v>
      </c>
      <c r="E911" s="109" t="s">
        <v>355</v>
      </c>
      <c r="F911" s="109" t="s">
        <v>355</v>
      </c>
      <c r="G911" s="55" t="s">
        <v>355</v>
      </c>
      <c r="H911" s="108" t="s">
        <v>402</v>
      </c>
      <c r="I911" s="111" t="s">
        <v>402</v>
      </c>
      <c r="J911" s="111" t="s">
        <v>402</v>
      </c>
      <c r="K911" s="106" t="s">
        <v>403</v>
      </c>
      <c r="L911" s="55" t="s">
        <v>404</v>
      </c>
      <c r="M911" s="55" t="s">
        <v>7634</v>
      </c>
    </row>
    <row r="912" spans="1:13">
      <c r="A912" s="408" t="s">
        <v>2658</v>
      </c>
      <c r="B912" s="106" t="s">
        <v>327</v>
      </c>
      <c r="C912" s="106" t="s">
        <v>473</v>
      </c>
      <c r="D912" s="107" t="s">
        <v>2659</v>
      </c>
      <c r="E912" s="109" t="s">
        <v>355</v>
      </c>
      <c r="F912" s="109" t="s">
        <v>355</v>
      </c>
      <c r="G912" s="55" t="s">
        <v>355</v>
      </c>
      <c r="H912" s="108" t="s">
        <v>402</v>
      </c>
      <c r="I912" s="111" t="s">
        <v>402</v>
      </c>
      <c r="J912" s="111" t="s">
        <v>402</v>
      </c>
      <c r="K912" s="106" t="s">
        <v>403</v>
      </c>
      <c r="L912" s="55" t="s">
        <v>404</v>
      </c>
      <c r="M912" s="55" t="s">
        <v>7634</v>
      </c>
    </row>
    <row r="913" spans="1:13">
      <c r="A913" s="401" t="s">
        <v>2660</v>
      </c>
      <c r="B913" s="109" t="s">
        <v>327</v>
      </c>
      <c r="C913" s="109" t="s">
        <v>473</v>
      </c>
      <c r="D913" s="109" t="s">
        <v>383</v>
      </c>
      <c r="E913" s="109" t="s">
        <v>383</v>
      </c>
      <c r="F913" s="109" t="s">
        <v>383</v>
      </c>
      <c r="G913" s="112" t="s">
        <v>2661</v>
      </c>
      <c r="H913" s="115" t="s">
        <v>402</v>
      </c>
      <c r="I913" s="111" t="s">
        <v>402</v>
      </c>
      <c r="J913" s="111" t="s">
        <v>402</v>
      </c>
      <c r="K913" s="106" t="s">
        <v>403</v>
      </c>
      <c r="L913" s="55" t="s">
        <v>404</v>
      </c>
      <c r="M913" s="55" t="s">
        <v>7634</v>
      </c>
    </row>
    <row r="914" spans="1:13">
      <c r="A914" s="408" t="s">
        <v>2662</v>
      </c>
      <c r="B914" s="106" t="s">
        <v>327</v>
      </c>
      <c r="C914" s="106" t="s">
        <v>473</v>
      </c>
      <c r="D914" s="107" t="s">
        <v>2663</v>
      </c>
      <c r="E914" s="109" t="s">
        <v>355</v>
      </c>
      <c r="F914" s="109" t="s">
        <v>355</v>
      </c>
      <c r="G914" s="55" t="s">
        <v>355</v>
      </c>
      <c r="H914" s="108" t="s">
        <v>402</v>
      </c>
      <c r="I914" s="111" t="s">
        <v>402</v>
      </c>
      <c r="J914" s="111" t="s">
        <v>402</v>
      </c>
      <c r="K914" s="106" t="s">
        <v>403</v>
      </c>
      <c r="L914" s="55" t="s">
        <v>404</v>
      </c>
      <c r="M914" s="55" t="s">
        <v>7634</v>
      </c>
    </row>
    <row r="915" spans="1:13">
      <c r="A915" s="408" t="s">
        <v>2664</v>
      </c>
      <c r="B915" s="106" t="s">
        <v>327</v>
      </c>
      <c r="C915" s="106" t="s">
        <v>473</v>
      </c>
      <c r="D915" s="107" t="s">
        <v>2665</v>
      </c>
      <c r="E915" s="109" t="s">
        <v>355</v>
      </c>
      <c r="F915" s="109" t="s">
        <v>355</v>
      </c>
      <c r="G915" s="55" t="s">
        <v>355</v>
      </c>
      <c r="H915" s="108" t="s">
        <v>402</v>
      </c>
      <c r="I915" s="111" t="s">
        <v>402</v>
      </c>
      <c r="J915" s="111" t="s">
        <v>402</v>
      </c>
      <c r="K915" s="106" t="s">
        <v>403</v>
      </c>
      <c r="L915" s="55" t="s">
        <v>404</v>
      </c>
      <c r="M915" s="55" t="s">
        <v>7634</v>
      </c>
    </row>
    <row r="916" spans="1:13">
      <c r="A916" s="408" t="s">
        <v>2666</v>
      </c>
      <c r="B916" s="106" t="s">
        <v>327</v>
      </c>
      <c r="C916" s="106" t="s">
        <v>473</v>
      </c>
      <c r="D916" s="107" t="s">
        <v>2667</v>
      </c>
      <c r="E916" s="109" t="s">
        <v>355</v>
      </c>
      <c r="F916" s="109" t="s">
        <v>355</v>
      </c>
      <c r="G916" s="55" t="s">
        <v>355</v>
      </c>
      <c r="H916" s="108" t="s">
        <v>402</v>
      </c>
      <c r="I916" s="111" t="s">
        <v>402</v>
      </c>
      <c r="J916" s="111" t="s">
        <v>402</v>
      </c>
      <c r="K916" s="106" t="s">
        <v>403</v>
      </c>
      <c r="L916" s="55" t="s">
        <v>404</v>
      </c>
      <c r="M916" s="55" t="s">
        <v>7634</v>
      </c>
    </row>
    <row r="917" spans="1:13">
      <c r="A917" s="408" t="s">
        <v>2668</v>
      </c>
      <c r="B917" s="106" t="s">
        <v>327</v>
      </c>
      <c r="C917" s="106" t="s">
        <v>473</v>
      </c>
      <c r="D917" s="107" t="s">
        <v>2669</v>
      </c>
      <c r="E917" s="109" t="s">
        <v>355</v>
      </c>
      <c r="F917" s="109" t="s">
        <v>355</v>
      </c>
      <c r="G917" s="55" t="s">
        <v>355</v>
      </c>
      <c r="H917" s="108" t="s">
        <v>402</v>
      </c>
      <c r="I917" s="111" t="s">
        <v>402</v>
      </c>
      <c r="J917" s="111" t="s">
        <v>402</v>
      </c>
      <c r="K917" s="106" t="s">
        <v>403</v>
      </c>
      <c r="L917" s="55" t="s">
        <v>404</v>
      </c>
      <c r="M917" s="55" t="s">
        <v>7634</v>
      </c>
    </row>
    <row r="918" spans="1:13">
      <c r="A918" s="408" t="s">
        <v>2670</v>
      </c>
      <c r="B918" s="106" t="s">
        <v>327</v>
      </c>
      <c r="C918" s="106" t="s">
        <v>473</v>
      </c>
      <c r="D918" s="107" t="s">
        <v>2671</v>
      </c>
      <c r="E918" s="109" t="s">
        <v>355</v>
      </c>
      <c r="F918" s="109" t="s">
        <v>355</v>
      </c>
      <c r="G918" s="55" t="s">
        <v>355</v>
      </c>
      <c r="H918" s="108" t="s">
        <v>402</v>
      </c>
      <c r="I918" s="111" t="s">
        <v>402</v>
      </c>
      <c r="J918" s="111" t="s">
        <v>402</v>
      </c>
      <c r="K918" s="106" t="s">
        <v>403</v>
      </c>
      <c r="L918" s="55" t="s">
        <v>404</v>
      </c>
      <c r="M918" s="55" t="s">
        <v>7634</v>
      </c>
    </row>
    <row r="919" spans="1:13">
      <c r="A919" s="408" t="s">
        <v>2672</v>
      </c>
      <c r="B919" s="106" t="s">
        <v>327</v>
      </c>
      <c r="C919" s="106" t="s">
        <v>473</v>
      </c>
      <c r="D919" s="107" t="s">
        <v>2673</v>
      </c>
      <c r="E919" s="109" t="s">
        <v>355</v>
      </c>
      <c r="F919" s="109" t="s">
        <v>355</v>
      </c>
      <c r="G919" s="55" t="s">
        <v>355</v>
      </c>
      <c r="H919" s="108" t="s">
        <v>402</v>
      </c>
      <c r="I919" s="111" t="s">
        <v>402</v>
      </c>
      <c r="J919" s="111" t="s">
        <v>402</v>
      </c>
      <c r="K919" s="106" t="s">
        <v>403</v>
      </c>
      <c r="L919" s="55" t="s">
        <v>404</v>
      </c>
      <c r="M919" s="55" t="s">
        <v>7634</v>
      </c>
    </row>
    <row r="920" spans="1:13">
      <c r="A920" s="401" t="s">
        <v>2674</v>
      </c>
      <c r="B920" s="106" t="s">
        <v>327</v>
      </c>
      <c r="C920" s="106" t="s">
        <v>473</v>
      </c>
      <c r="D920" s="109" t="s">
        <v>2675</v>
      </c>
      <c r="E920" s="109" t="s">
        <v>2676</v>
      </c>
      <c r="F920" s="109" t="s">
        <v>2677</v>
      </c>
      <c r="G920" s="114" t="s">
        <v>383</v>
      </c>
      <c r="H920" s="115" t="s">
        <v>402</v>
      </c>
      <c r="I920" s="111" t="s">
        <v>402</v>
      </c>
      <c r="J920" s="111" t="s">
        <v>402</v>
      </c>
      <c r="K920" s="106" t="s">
        <v>403</v>
      </c>
      <c r="L920" s="55" t="s">
        <v>1200</v>
      </c>
      <c r="M920" s="113" t="s">
        <v>1173</v>
      </c>
    </row>
    <row r="921" spans="1:13">
      <c r="A921" s="401" t="s">
        <v>2678</v>
      </c>
      <c r="B921" s="106" t="s">
        <v>327</v>
      </c>
      <c r="C921" s="106" t="s">
        <v>473</v>
      </c>
      <c r="D921" s="107" t="s">
        <v>2679</v>
      </c>
      <c r="E921" s="107" t="s">
        <v>2680</v>
      </c>
      <c r="F921" s="107" t="s">
        <v>2681</v>
      </c>
      <c r="G921" s="114" t="s">
        <v>355</v>
      </c>
      <c r="H921" s="115" t="s">
        <v>402</v>
      </c>
      <c r="I921" s="111" t="s">
        <v>402</v>
      </c>
      <c r="J921" s="111" t="s">
        <v>402</v>
      </c>
      <c r="K921" s="106" t="s">
        <v>403</v>
      </c>
      <c r="L921" s="55" t="s">
        <v>404</v>
      </c>
      <c r="M921" s="113" t="s">
        <v>383</v>
      </c>
    </row>
    <row r="922" spans="1:13">
      <c r="A922" s="401" t="s">
        <v>2682</v>
      </c>
      <c r="B922" s="106" t="s">
        <v>327</v>
      </c>
      <c r="C922" s="106" t="s">
        <v>473</v>
      </c>
      <c r="D922" s="109"/>
      <c r="E922" s="109" t="s">
        <v>355</v>
      </c>
      <c r="F922" s="109" t="s">
        <v>355</v>
      </c>
      <c r="G922" s="55" t="s">
        <v>355</v>
      </c>
      <c r="H922" s="115" t="s">
        <v>402</v>
      </c>
      <c r="I922" s="111" t="s">
        <v>402</v>
      </c>
      <c r="J922" s="111" t="s">
        <v>402</v>
      </c>
      <c r="K922" s="106"/>
      <c r="L922" s="55"/>
      <c r="M922" s="55" t="s">
        <v>7634</v>
      </c>
    </row>
    <row r="923" spans="1:13">
      <c r="A923" s="408" t="s">
        <v>2683</v>
      </c>
      <c r="B923" s="106" t="s">
        <v>327</v>
      </c>
      <c r="C923" s="106" t="s">
        <v>473</v>
      </c>
      <c r="D923" s="107" t="s">
        <v>2684</v>
      </c>
      <c r="E923" s="109" t="s">
        <v>355</v>
      </c>
      <c r="F923" s="109" t="s">
        <v>355</v>
      </c>
      <c r="G923" s="55" t="s">
        <v>355</v>
      </c>
      <c r="H923" s="108" t="s">
        <v>402</v>
      </c>
      <c r="I923" s="111" t="s">
        <v>402</v>
      </c>
      <c r="J923" s="111" t="s">
        <v>402</v>
      </c>
      <c r="K923" s="106" t="s">
        <v>403</v>
      </c>
      <c r="L923" s="55" t="s">
        <v>404</v>
      </c>
      <c r="M923" s="55" t="s">
        <v>7634</v>
      </c>
    </row>
    <row r="924" spans="1:13">
      <c r="A924" s="408" t="s">
        <v>2685</v>
      </c>
      <c r="B924" s="106" t="s">
        <v>327</v>
      </c>
      <c r="C924" s="106" t="s">
        <v>473</v>
      </c>
      <c r="D924" s="107" t="s">
        <v>2684</v>
      </c>
      <c r="E924" s="109" t="s">
        <v>355</v>
      </c>
      <c r="F924" s="109" t="s">
        <v>355</v>
      </c>
      <c r="G924" s="55" t="s">
        <v>355</v>
      </c>
      <c r="H924" s="108" t="s">
        <v>402</v>
      </c>
      <c r="I924" s="111" t="s">
        <v>402</v>
      </c>
      <c r="J924" s="111" t="s">
        <v>402</v>
      </c>
      <c r="K924" s="106" t="s">
        <v>403</v>
      </c>
      <c r="L924" s="55" t="s">
        <v>404</v>
      </c>
      <c r="M924" s="55" t="s">
        <v>7634</v>
      </c>
    </row>
    <row r="925" spans="1:13">
      <c r="A925" s="408" t="s">
        <v>2686</v>
      </c>
      <c r="B925" s="106" t="s">
        <v>327</v>
      </c>
      <c r="C925" s="106" t="s">
        <v>473</v>
      </c>
      <c r="D925" s="107" t="s">
        <v>2687</v>
      </c>
      <c r="E925" s="109" t="s">
        <v>355</v>
      </c>
      <c r="F925" s="109" t="s">
        <v>355</v>
      </c>
      <c r="G925" s="55" t="s">
        <v>355</v>
      </c>
      <c r="H925" s="108" t="s">
        <v>402</v>
      </c>
      <c r="I925" s="111" t="s">
        <v>402</v>
      </c>
      <c r="J925" s="111" t="s">
        <v>402</v>
      </c>
      <c r="K925" s="106" t="s">
        <v>403</v>
      </c>
      <c r="L925" s="55" t="s">
        <v>404</v>
      </c>
      <c r="M925" s="55" t="s">
        <v>7634</v>
      </c>
    </row>
    <row r="926" spans="1:13">
      <c r="A926" s="408" t="s">
        <v>2688</v>
      </c>
      <c r="B926" s="106" t="s">
        <v>327</v>
      </c>
      <c r="C926" s="106" t="s">
        <v>473</v>
      </c>
      <c r="D926" s="107" t="s">
        <v>2687</v>
      </c>
      <c r="E926" s="109" t="s">
        <v>355</v>
      </c>
      <c r="F926" s="109" t="s">
        <v>355</v>
      </c>
      <c r="G926" s="55" t="s">
        <v>355</v>
      </c>
      <c r="H926" s="108" t="s">
        <v>402</v>
      </c>
      <c r="I926" s="111" t="s">
        <v>402</v>
      </c>
      <c r="J926" s="111" t="s">
        <v>402</v>
      </c>
      <c r="K926" s="106" t="s">
        <v>403</v>
      </c>
      <c r="L926" s="55" t="s">
        <v>404</v>
      </c>
      <c r="M926" s="55" t="s">
        <v>7634</v>
      </c>
    </row>
    <row r="927" spans="1:13">
      <c r="A927" s="401" t="s">
        <v>2689</v>
      </c>
      <c r="B927" s="106" t="s">
        <v>984</v>
      </c>
      <c r="C927" s="106" t="s">
        <v>473</v>
      </c>
      <c r="D927" s="109"/>
      <c r="E927" s="109" t="s">
        <v>1748</v>
      </c>
      <c r="F927" s="109" t="s">
        <v>2690</v>
      </c>
      <c r="G927" s="117" t="s">
        <v>383</v>
      </c>
      <c r="H927" s="115" t="s">
        <v>402</v>
      </c>
      <c r="I927" s="111" t="s">
        <v>402</v>
      </c>
      <c r="J927" s="111" t="s">
        <v>402</v>
      </c>
      <c r="K927" s="115" t="s">
        <v>403</v>
      </c>
      <c r="L927" s="55" t="s">
        <v>404</v>
      </c>
      <c r="M927" s="113" t="s">
        <v>1173</v>
      </c>
    </row>
    <row r="928" spans="1:13">
      <c r="A928" s="408" t="s">
        <v>2691</v>
      </c>
      <c r="B928" s="106" t="s">
        <v>327</v>
      </c>
      <c r="C928" s="106" t="s">
        <v>473</v>
      </c>
      <c r="D928" s="107" t="s">
        <v>2692</v>
      </c>
      <c r="E928" s="109" t="s">
        <v>355</v>
      </c>
      <c r="F928" s="109" t="s">
        <v>355</v>
      </c>
      <c r="G928" s="55" t="s">
        <v>355</v>
      </c>
      <c r="H928" s="108" t="s">
        <v>402</v>
      </c>
      <c r="I928" s="111" t="s">
        <v>402</v>
      </c>
      <c r="J928" s="111" t="s">
        <v>402</v>
      </c>
      <c r="K928" s="106" t="s">
        <v>403</v>
      </c>
      <c r="L928" s="55" t="s">
        <v>404</v>
      </c>
      <c r="M928" s="55" t="s">
        <v>7634</v>
      </c>
    </row>
    <row r="929" spans="1:13">
      <c r="A929" s="408" t="s">
        <v>2693</v>
      </c>
      <c r="B929" s="106" t="s">
        <v>327</v>
      </c>
      <c r="C929" s="106" t="s">
        <v>473</v>
      </c>
      <c r="D929" s="107" t="s">
        <v>2692</v>
      </c>
      <c r="E929" s="109" t="s">
        <v>355</v>
      </c>
      <c r="F929" s="109" t="s">
        <v>355</v>
      </c>
      <c r="G929" s="55" t="s">
        <v>355</v>
      </c>
      <c r="H929" s="108" t="s">
        <v>402</v>
      </c>
      <c r="I929" s="111" t="s">
        <v>402</v>
      </c>
      <c r="J929" s="111" t="s">
        <v>402</v>
      </c>
      <c r="K929" s="106" t="s">
        <v>403</v>
      </c>
      <c r="L929" s="55" t="s">
        <v>404</v>
      </c>
      <c r="M929" s="55" t="s">
        <v>7634</v>
      </c>
    </row>
    <row r="930" spans="1:13">
      <c r="A930" s="408" t="s">
        <v>2694</v>
      </c>
      <c r="B930" s="106" t="s">
        <v>327</v>
      </c>
      <c r="C930" s="106" t="s">
        <v>473</v>
      </c>
      <c r="D930" s="107" t="s">
        <v>2695</v>
      </c>
      <c r="E930" s="109" t="s">
        <v>355</v>
      </c>
      <c r="F930" s="109" t="s">
        <v>355</v>
      </c>
      <c r="G930" s="55" t="s">
        <v>355</v>
      </c>
      <c r="H930" s="108" t="s">
        <v>402</v>
      </c>
      <c r="I930" s="111" t="s">
        <v>402</v>
      </c>
      <c r="J930" s="111" t="s">
        <v>402</v>
      </c>
      <c r="K930" s="106" t="s">
        <v>403</v>
      </c>
      <c r="L930" s="55" t="s">
        <v>404</v>
      </c>
      <c r="M930" s="55" t="s">
        <v>7634</v>
      </c>
    </row>
    <row r="931" spans="1:13">
      <c r="A931" s="408" t="s">
        <v>2696</v>
      </c>
      <c r="B931" s="106" t="s">
        <v>327</v>
      </c>
      <c r="C931" s="106" t="s">
        <v>473</v>
      </c>
      <c r="D931" s="107" t="s">
        <v>2695</v>
      </c>
      <c r="E931" s="109" t="s">
        <v>355</v>
      </c>
      <c r="F931" s="109" t="s">
        <v>355</v>
      </c>
      <c r="G931" s="55" t="s">
        <v>355</v>
      </c>
      <c r="H931" s="108" t="s">
        <v>402</v>
      </c>
      <c r="I931" s="111" t="s">
        <v>402</v>
      </c>
      <c r="J931" s="111" t="s">
        <v>402</v>
      </c>
      <c r="K931" s="106" t="s">
        <v>403</v>
      </c>
      <c r="L931" s="55" t="s">
        <v>404</v>
      </c>
      <c r="M931" s="55" t="s">
        <v>7634</v>
      </c>
    </row>
    <row r="932" spans="1:13">
      <c r="A932" s="408" t="s">
        <v>2697</v>
      </c>
      <c r="B932" s="106" t="s">
        <v>327</v>
      </c>
      <c r="C932" s="106" t="s">
        <v>473</v>
      </c>
      <c r="D932" s="107" t="s">
        <v>2698</v>
      </c>
      <c r="E932" s="109" t="s">
        <v>355</v>
      </c>
      <c r="F932" s="109" t="s">
        <v>355</v>
      </c>
      <c r="G932" s="55" t="s">
        <v>355</v>
      </c>
      <c r="H932" s="108" t="s">
        <v>402</v>
      </c>
      <c r="I932" s="111" t="s">
        <v>402</v>
      </c>
      <c r="J932" s="111" t="s">
        <v>402</v>
      </c>
      <c r="K932" s="106" t="s">
        <v>403</v>
      </c>
      <c r="L932" s="55" t="s">
        <v>404</v>
      </c>
      <c r="M932" s="55" t="s">
        <v>7634</v>
      </c>
    </row>
    <row r="933" spans="1:13">
      <c r="A933" s="408" t="s">
        <v>2699</v>
      </c>
      <c r="B933" s="106" t="s">
        <v>327</v>
      </c>
      <c r="C933" s="106" t="s">
        <v>473</v>
      </c>
      <c r="D933" s="107" t="s">
        <v>2698</v>
      </c>
      <c r="E933" s="109" t="s">
        <v>355</v>
      </c>
      <c r="F933" s="109" t="s">
        <v>355</v>
      </c>
      <c r="G933" s="55" t="s">
        <v>355</v>
      </c>
      <c r="H933" s="108" t="s">
        <v>402</v>
      </c>
      <c r="I933" s="111" t="s">
        <v>402</v>
      </c>
      <c r="J933" s="111" t="s">
        <v>402</v>
      </c>
      <c r="K933" s="106" t="s">
        <v>403</v>
      </c>
      <c r="L933" s="55" t="s">
        <v>404</v>
      </c>
      <c r="M933" s="55" t="s">
        <v>7634</v>
      </c>
    </row>
    <row r="934" spans="1:13">
      <c r="A934" s="408" t="s">
        <v>2700</v>
      </c>
      <c r="B934" s="106" t="s">
        <v>327</v>
      </c>
      <c r="C934" s="106" t="s">
        <v>473</v>
      </c>
      <c r="D934" s="107" t="s">
        <v>2701</v>
      </c>
      <c r="E934" s="109" t="s">
        <v>355</v>
      </c>
      <c r="F934" s="109" t="s">
        <v>355</v>
      </c>
      <c r="G934" s="55" t="s">
        <v>355</v>
      </c>
      <c r="H934" s="108" t="s">
        <v>402</v>
      </c>
      <c r="I934" s="111" t="s">
        <v>402</v>
      </c>
      <c r="J934" s="111" t="s">
        <v>402</v>
      </c>
      <c r="K934" s="106" t="s">
        <v>403</v>
      </c>
      <c r="L934" s="55" t="s">
        <v>404</v>
      </c>
      <c r="M934" s="55" t="s">
        <v>7634</v>
      </c>
    </row>
    <row r="935" spans="1:13">
      <c r="A935" s="408" t="s">
        <v>2702</v>
      </c>
      <c r="B935" s="106" t="s">
        <v>327</v>
      </c>
      <c r="C935" s="106" t="s">
        <v>473</v>
      </c>
      <c r="D935" s="107" t="s">
        <v>2703</v>
      </c>
      <c r="E935" s="109" t="s">
        <v>355</v>
      </c>
      <c r="F935" s="109" t="s">
        <v>355</v>
      </c>
      <c r="G935" s="55" t="s">
        <v>355</v>
      </c>
      <c r="H935" s="108" t="s">
        <v>402</v>
      </c>
      <c r="I935" s="111" t="s">
        <v>402</v>
      </c>
      <c r="J935" s="111" t="s">
        <v>402</v>
      </c>
      <c r="K935" s="106" t="s">
        <v>403</v>
      </c>
      <c r="L935" s="55" t="s">
        <v>404</v>
      </c>
      <c r="M935" s="55" t="s">
        <v>7634</v>
      </c>
    </row>
    <row r="936" spans="1:13">
      <c r="A936" s="408" t="s">
        <v>2704</v>
      </c>
      <c r="B936" s="106" t="s">
        <v>327</v>
      </c>
      <c r="C936" s="106" t="s">
        <v>473</v>
      </c>
      <c r="D936" s="107" t="s">
        <v>2705</v>
      </c>
      <c r="E936" s="109" t="s">
        <v>355</v>
      </c>
      <c r="F936" s="109" t="s">
        <v>355</v>
      </c>
      <c r="G936" s="55" t="s">
        <v>355</v>
      </c>
      <c r="H936" s="108" t="s">
        <v>402</v>
      </c>
      <c r="I936" s="111" t="s">
        <v>402</v>
      </c>
      <c r="J936" s="111" t="s">
        <v>402</v>
      </c>
      <c r="K936" s="106" t="s">
        <v>403</v>
      </c>
      <c r="L936" s="55" t="s">
        <v>404</v>
      </c>
      <c r="M936" s="55" t="s">
        <v>7634</v>
      </c>
    </row>
    <row r="937" spans="1:13">
      <c r="A937" s="408" t="s">
        <v>2706</v>
      </c>
      <c r="B937" s="106" t="s">
        <v>327</v>
      </c>
      <c r="C937" s="106" t="s">
        <v>473</v>
      </c>
      <c r="D937" s="107" t="s">
        <v>2707</v>
      </c>
      <c r="E937" s="109" t="s">
        <v>355</v>
      </c>
      <c r="F937" s="109" t="s">
        <v>355</v>
      </c>
      <c r="G937" s="55" t="s">
        <v>355</v>
      </c>
      <c r="H937" s="108" t="s">
        <v>402</v>
      </c>
      <c r="I937" s="111" t="s">
        <v>402</v>
      </c>
      <c r="J937" s="111" t="s">
        <v>402</v>
      </c>
      <c r="K937" s="106" t="s">
        <v>403</v>
      </c>
      <c r="L937" s="55" t="s">
        <v>404</v>
      </c>
      <c r="M937" s="55" t="s">
        <v>7634</v>
      </c>
    </row>
    <row r="938" spans="1:13">
      <c r="A938" s="408" t="s">
        <v>2708</v>
      </c>
      <c r="B938" s="106" t="s">
        <v>327</v>
      </c>
      <c r="C938" s="106" t="s">
        <v>473</v>
      </c>
      <c r="D938" s="107" t="s">
        <v>2707</v>
      </c>
      <c r="E938" s="109" t="s">
        <v>355</v>
      </c>
      <c r="F938" s="109" t="s">
        <v>355</v>
      </c>
      <c r="G938" s="55" t="s">
        <v>355</v>
      </c>
      <c r="H938" s="108" t="s">
        <v>402</v>
      </c>
      <c r="I938" s="111" t="s">
        <v>402</v>
      </c>
      <c r="J938" s="111" t="s">
        <v>402</v>
      </c>
      <c r="K938" s="106" t="s">
        <v>403</v>
      </c>
      <c r="L938" s="55" t="s">
        <v>404</v>
      </c>
      <c r="M938" s="55" t="s">
        <v>7634</v>
      </c>
    </row>
    <row r="939" spans="1:13">
      <c r="A939" s="408" t="s">
        <v>2709</v>
      </c>
      <c r="B939" s="106" t="s">
        <v>327</v>
      </c>
      <c r="C939" s="106" t="s">
        <v>473</v>
      </c>
      <c r="D939" s="107" t="s">
        <v>2710</v>
      </c>
      <c r="E939" s="109" t="s">
        <v>355</v>
      </c>
      <c r="F939" s="109" t="s">
        <v>355</v>
      </c>
      <c r="G939" s="55" t="s">
        <v>355</v>
      </c>
      <c r="H939" s="108" t="s">
        <v>402</v>
      </c>
      <c r="I939" s="111" t="s">
        <v>402</v>
      </c>
      <c r="J939" s="111" t="s">
        <v>402</v>
      </c>
      <c r="K939" s="106" t="s">
        <v>403</v>
      </c>
      <c r="L939" s="55" t="s">
        <v>404</v>
      </c>
      <c r="M939" s="55" t="s">
        <v>7634</v>
      </c>
    </row>
    <row r="940" spans="1:13">
      <c r="A940" s="401" t="s">
        <v>2711</v>
      </c>
      <c r="B940" s="106" t="s">
        <v>327</v>
      </c>
      <c r="C940" s="106" t="s">
        <v>473</v>
      </c>
      <c r="D940" s="110" t="s">
        <v>383</v>
      </c>
      <c r="E940" s="109" t="s">
        <v>2712</v>
      </c>
      <c r="F940" s="109" t="s">
        <v>2713</v>
      </c>
      <c r="G940" s="112" t="s">
        <v>2714</v>
      </c>
      <c r="H940" s="115" t="s">
        <v>402</v>
      </c>
      <c r="I940" s="111" t="s">
        <v>402</v>
      </c>
      <c r="J940" s="111" t="s">
        <v>402</v>
      </c>
      <c r="K940" s="115" t="s">
        <v>403</v>
      </c>
      <c r="L940" s="55" t="s">
        <v>404</v>
      </c>
      <c r="M940" s="113" t="s">
        <v>383</v>
      </c>
    </row>
    <row r="941" spans="1:13">
      <c r="A941" s="408" t="s">
        <v>2715</v>
      </c>
      <c r="B941" s="106" t="s">
        <v>327</v>
      </c>
      <c r="C941" s="106" t="s">
        <v>473</v>
      </c>
      <c r="D941" s="107" t="s">
        <v>2716</v>
      </c>
      <c r="E941" s="109" t="s">
        <v>355</v>
      </c>
      <c r="F941" s="109" t="s">
        <v>355</v>
      </c>
      <c r="G941" s="55" t="s">
        <v>355</v>
      </c>
      <c r="H941" s="108" t="s">
        <v>402</v>
      </c>
      <c r="I941" s="111" t="s">
        <v>402</v>
      </c>
      <c r="J941" s="111" t="s">
        <v>402</v>
      </c>
      <c r="K941" s="106" t="s">
        <v>403</v>
      </c>
      <c r="L941" s="55" t="s">
        <v>404</v>
      </c>
      <c r="M941" s="55" t="s">
        <v>7634</v>
      </c>
    </row>
    <row r="942" spans="1:13">
      <c r="A942" s="408" t="s">
        <v>2717</v>
      </c>
      <c r="B942" s="106" t="s">
        <v>327</v>
      </c>
      <c r="C942" s="106" t="s">
        <v>473</v>
      </c>
      <c r="D942" s="107" t="s">
        <v>2718</v>
      </c>
      <c r="E942" s="109" t="s">
        <v>355</v>
      </c>
      <c r="F942" s="109" t="s">
        <v>355</v>
      </c>
      <c r="G942" s="55" t="s">
        <v>355</v>
      </c>
      <c r="H942" s="108" t="s">
        <v>402</v>
      </c>
      <c r="I942" s="111" t="s">
        <v>402</v>
      </c>
      <c r="J942" s="111" t="s">
        <v>402</v>
      </c>
      <c r="K942" s="106" t="s">
        <v>403</v>
      </c>
      <c r="L942" s="55" t="s">
        <v>404</v>
      </c>
      <c r="M942" s="55" t="s">
        <v>7634</v>
      </c>
    </row>
    <row r="943" spans="1:13">
      <c r="A943" s="408" t="s">
        <v>2719</v>
      </c>
      <c r="B943" s="106" t="s">
        <v>327</v>
      </c>
      <c r="C943" s="106" t="s">
        <v>473</v>
      </c>
      <c r="D943" s="107" t="s">
        <v>2720</v>
      </c>
      <c r="E943" s="109" t="s">
        <v>355</v>
      </c>
      <c r="F943" s="109" t="s">
        <v>355</v>
      </c>
      <c r="G943" s="55" t="s">
        <v>355</v>
      </c>
      <c r="H943" s="108" t="s">
        <v>402</v>
      </c>
      <c r="I943" s="111" t="s">
        <v>402</v>
      </c>
      <c r="J943" s="111" t="s">
        <v>402</v>
      </c>
      <c r="K943" s="106" t="s">
        <v>403</v>
      </c>
      <c r="L943" s="55" t="s">
        <v>404</v>
      </c>
      <c r="M943" s="55" t="s">
        <v>7634</v>
      </c>
    </row>
    <row r="944" spans="1:13">
      <c r="A944" s="408" t="s">
        <v>2721</v>
      </c>
      <c r="B944" s="106" t="s">
        <v>327</v>
      </c>
      <c r="C944" s="106" t="s">
        <v>473</v>
      </c>
      <c r="D944" s="107" t="s">
        <v>2722</v>
      </c>
      <c r="E944" s="109" t="s">
        <v>355</v>
      </c>
      <c r="F944" s="109" t="s">
        <v>355</v>
      </c>
      <c r="G944" s="55" t="s">
        <v>355</v>
      </c>
      <c r="H944" s="108" t="s">
        <v>402</v>
      </c>
      <c r="I944" s="111" t="s">
        <v>402</v>
      </c>
      <c r="J944" s="111" t="s">
        <v>402</v>
      </c>
      <c r="K944" s="106" t="s">
        <v>403</v>
      </c>
      <c r="L944" s="55" t="s">
        <v>404</v>
      </c>
      <c r="M944" s="55" t="s">
        <v>7634</v>
      </c>
    </row>
    <row r="945" spans="1:13">
      <c r="A945" s="408" t="s">
        <v>2723</v>
      </c>
      <c r="B945" s="106" t="s">
        <v>327</v>
      </c>
      <c r="C945" s="106" t="s">
        <v>473</v>
      </c>
      <c r="D945" s="107" t="s">
        <v>2724</v>
      </c>
      <c r="E945" s="109" t="s">
        <v>355</v>
      </c>
      <c r="F945" s="109" t="s">
        <v>355</v>
      </c>
      <c r="G945" s="55" t="s">
        <v>355</v>
      </c>
      <c r="H945" s="108" t="s">
        <v>402</v>
      </c>
      <c r="I945" s="111" t="s">
        <v>402</v>
      </c>
      <c r="J945" s="111" t="s">
        <v>402</v>
      </c>
      <c r="K945" s="106" t="s">
        <v>403</v>
      </c>
      <c r="L945" s="55" t="s">
        <v>404</v>
      </c>
      <c r="M945" s="55" t="s">
        <v>7634</v>
      </c>
    </row>
    <row r="946" spans="1:13">
      <c r="A946" s="408" t="s">
        <v>2725</v>
      </c>
      <c r="B946" s="106" t="s">
        <v>327</v>
      </c>
      <c r="C946" s="106" t="s">
        <v>473</v>
      </c>
      <c r="D946" s="107" t="s">
        <v>2726</v>
      </c>
      <c r="E946" s="109" t="s">
        <v>355</v>
      </c>
      <c r="F946" s="109" t="s">
        <v>355</v>
      </c>
      <c r="G946" s="55" t="s">
        <v>355</v>
      </c>
      <c r="H946" s="108" t="s">
        <v>402</v>
      </c>
      <c r="I946" s="111" t="s">
        <v>402</v>
      </c>
      <c r="J946" s="111" t="s">
        <v>402</v>
      </c>
      <c r="K946" s="106" t="s">
        <v>403</v>
      </c>
      <c r="L946" s="55" t="s">
        <v>404</v>
      </c>
      <c r="M946" s="55" t="s">
        <v>7634</v>
      </c>
    </row>
    <row r="947" spans="1:13">
      <c r="A947" s="408" t="s">
        <v>2727</v>
      </c>
      <c r="B947" s="106" t="s">
        <v>327</v>
      </c>
      <c r="C947" s="106" t="s">
        <v>473</v>
      </c>
      <c r="D947" s="107" t="s">
        <v>2728</v>
      </c>
      <c r="E947" s="109" t="s">
        <v>355</v>
      </c>
      <c r="F947" s="109" t="s">
        <v>355</v>
      </c>
      <c r="G947" s="55" t="s">
        <v>355</v>
      </c>
      <c r="H947" s="108" t="s">
        <v>402</v>
      </c>
      <c r="I947" s="111" t="s">
        <v>402</v>
      </c>
      <c r="J947" s="111" t="s">
        <v>402</v>
      </c>
      <c r="K947" s="106" t="s">
        <v>403</v>
      </c>
      <c r="L947" s="55" t="s">
        <v>404</v>
      </c>
      <c r="M947" s="55" t="s">
        <v>7634</v>
      </c>
    </row>
    <row r="948" spans="1:13">
      <c r="A948" s="408" t="s">
        <v>2729</v>
      </c>
      <c r="B948" s="106" t="s">
        <v>327</v>
      </c>
      <c r="C948" s="106" t="s">
        <v>473</v>
      </c>
      <c r="D948" s="107" t="s">
        <v>2730</v>
      </c>
      <c r="E948" s="109" t="s">
        <v>355</v>
      </c>
      <c r="F948" s="109" t="s">
        <v>355</v>
      </c>
      <c r="G948" s="55" t="s">
        <v>355</v>
      </c>
      <c r="H948" s="108" t="s">
        <v>402</v>
      </c>
      <c r="I948" s="111" t="s">
        <v>402</v>
      </c>
      <c r="J948" s="111" t="s">
        <v>402</v>
      </c>
      <c r="K948" s="106" t="s">
        <v>403</v>
      </c>
      <c r="L948" s="55" t="s">
        <v>404</v>
      </c>
      <c r="M948" s="55" t="s">
        <v>7634</v>
      </c>
    </row>
    <row r="949" spans="1:13">
      <c r="A949" s="401" t="s">
        <v>2731</v>
      </c>
      <c r="B949" s="106" t="s">
        <v>327</v>
      </c>
      <c r="C949" s="106" t="s">
        <v>473</v>
      </c>
      <c r="D949" s="107" t="s">
        <v>355</v>
      </c>
      <c r="E949" s="107" t="s">
        <v>2732</v>
      </c>
      <c r="F949" s="107" t="s">
        <v>2733</v>
      </c>
      <c r="G949" s="590" t="s">
        <v>2734</v>
      </c>
      <c r="H949" s="115" t="s">
        <v>402</v>
      </c>
      <c r="I949" s="111" t="s">
        <v>402</v>
      </c>
      <c r="J949" s="111" t="s">
        <v>402</v>
      </c>
      <c r="K949" s="106" t="s">
        <v>403</v>
      </c>
      <c r="L949" s="55" t="s">
        <v>404</v>
      </c>
      <c r="M949" s="113" t="s">
        <v>383</v>
      </c>
    </row>
    <row r="950" spans="1:13">
      <c r="A950" s="408" t="s">
        <v>2735</v>
      </c>
      <c r="B950" s="106" t="s">
        <v>327</v>
      </c>
      <c r="C950" s="106" t="s">
        <v>473</v>
      </c>
      <c r="D950" s="107" t="s">
        <v>2736</v>
      </c>
      <c r="E950" s="109" t="s">
        <v>355</v>
      </c>
      <c r="F950" s="109" t="s">
        <v>355</v>
      </c>
      <c r="G950" s="55" t="s">
        <v>355</v>
      </c>
      <c r="H950" s="108" t="s">
        <v>402</v>
      </c>
      <c r="I950" s="111" t="s">
        <v>402</v>
      </c>
      <c r="J950" s="111" t="s">
        <v>402</v>
      </c>
      <c r="K950" s="106" t="s">
        <v>403</v>
      </c>
      <c r="L950" s="55" t="s">
        <v>404</v>
      </c>
      <c r="M950" s="55" t="s">
        <v>7634</v>
      </c>
    </row>
    <row r="951" spans="1:13">
      <c r="A951" s="408" t="s">
        <v>2737</v>
      </c>
      <c r="B951" s="106" t="s">
        <v>327</v>
      </c>
      <c r="C951" s="106" t="s">
        <v>473</v>
      </c>
      <c r="D951" s="107" t="s">
        <v>2738</v>
      </c>
      <c r="E951" s="109" t="s">
        <v>355</v>
      </c>
      <c r="F951" s="109" t="s">
        <v>355</v>
      </c>
      <c r="G951" s="55" t="s">
        <v>355</v>
      </c>
      <c r="H951" s="108" t="s">
        <v>402</v>
      </c>
      <c r="I951" s="111" t="s">
        <v>402</v>
      </c>
      <c r="J951" s="111" t="s">
        <v>402</v>
      </c>
      <c r="K951" s="106" t="s">
        <v>403</v>
      </c>
      <c r="L951" s="55" t="s">
        <v>404</v>
      </c>
      <c r="M951" s="55" t="s">
        <v>7634</v>
      </c>
    </row>
    <row r="952" spans="1:13">
      <c r="A952" s="408" t="s">
        <v>2739</v>
      </c>
      <c r="B952" s="106" t="s">
        <v>327</v>
      </c>
      <c r="C952" s="106" t="s">
        <v>473</v>
      </c>
      <c r="D952" s="107" t="s">
        <v>2740</v>
      </c>
      <c r="E952" s="109" t="s">
        <v>355</v>
      </c>
      <c r="F952" s="109" t="s">
        <v>355</v>
      </c>
      <c r="G952" s="55" t="s">
        <v>355</v>
      </c>
      <c r="H952" s="108" t="s">
        <v>402</v>
      </c>
      <c r="I952" s="111" t="s">
        <v>402</v>
      </c>
      <c r="J952" s="111" t="s">
        <v>402</v>
      </c>
      <c r="K952" s="106" t="s">
        <v>403</v>
      </c>
      <c r="L952" s="55" t="s">
        <v>404</v>
      </c>
      <c r="M952" s="55" t="s">
        <v>7634</v>
      </c>
    </row>
    <row r="953" spans="1:13">
      <c r="A953" s="408" t="s">
        <v>2741</v>
      </c>
      <c r="B953" s="106" t="s">
        <v>327</v>
      </c>
      <c r="C953" s="106" t="s">
        <v>473</v>
      </c>
      <c r="D953" s="107" t="s">
        <v>2742</v>
      </c>
      <c r="E953" s="109" t="s">
        <v>355</v>
      </c>
      <c r="F953" s="109" t="s">
        <v>355</v>
      </c>
      <c r="G953" s="55" t="s">
        <v>355</v>
      </c>
      <c r="H953" s="108" t="s">
        <v>402</v>
      </c>
      <c r="I953" s="111" t="s">
        <v>402</v>
      </c>
      <c r="J953" s="111" t="s">
        <v>402</v>
      </c>
      <c r="K953" s="106" t="s">
        <v>403</v>
      </c>
      <c r="L953" s="55" t="s">
        <v>404</v>
      </c>
      <c r="M953" s="55" t="s">
        <v>7634</v>
      </c>
    </row>
    <row r="954" spans="1:13">
      <c r="A954" s="408" t="s">
        <v>2743</v>
      </c>
      <c r="B954" s="106" t="s">
        <v>327</v>
      </c>
      <c r="C954" s="106" t="s">
        <v>473</v>
      </c>
      <c r="D954" s="107" t="s">
        <v>2744</v>
      </c>
      <c r="E954" s="109" t="s">
        <v>355</v>
      </c>
      <c r="F954" s="109" t="s">
        <v>355</v>
      </c>
      <c r="G954" s="55" t="s">
        <v>355</v>
      </c>
      <c r="H954" s="108" t="s">
        <v>402</v>
      </c>
      <c r="I954" s="111" t="s">
        <v>402</v>
      </c>
      <c r="J954" s="111" t="s">
        <v>402</v>
      </c>
      <c r="K954" s="106" t="s">
        <v>403</v>
      </c>
      <c r="L954" s="55" t="s">
        <v>404</v>
      </c>
      <c r="M954" s="55" t="s">
        <v>7634</v>
      </c>
    </row>
    <row r="955" spans="1:13">
      <c r="A955" s="408" t="s">
        <v>2745</v>
      </c>
      <c r="B955" s="106" t="s">
        <v>327</v>
      </c>
      <c r="C955" s="106" t="s">
        <v>473</v>
      </c>
      <c r="D955" s="107" t="s">
        <v>2746</v>
      </c>
      <c r="E955" s="109" t="s">
        <v>355</v>
      </c>
      <c r="F955" s="109" t="s">
        <v>355</v>
      </c>
      <c r="G955" s="55" t="s">
        <v>355</v>
      </c>
      <c r="H955" s="108" t="s">
        <v>402</v>
      </c>
      <c r="I955" s="111" t="s">
        <v>402</v>
      </c>
      <c r="J955" s="111" t="s">
        <v>402</v>
      </c>
      <c r="K955" s="106" t="s">
        <v>403</v>
      </c>
      <c r="L955" s="55" t="s">
        <v>404</v>
      </c>
      <c r="M955" s="55" t="s">
        <v>7634</v>
      </c>
    </row>
    <row r="956" spans="1:13">
      <c r="A956" s="408" t="s">
        <v>2747</v>
      </c>
      <c r="B956" s="106" t="s">
        <v>327</v>
      </c>
      <c r="C956" s="106" t="s">
        <v>473</v>
      </c>
      <c r="D956" s="107" t="s">
        <v>2748</v>
      </c>
      <c r="E956" s="109" t="s">
        <v>355</v>
      </c>
      <c r="F956" s="109" t="s">
        <v>355</v>
      </c>
      <c r="G956" s="55" t="s">
        <v>355</v>
      </c>
      <c r="H956" s="108" t="s">
        <v>402</v>
      </c>
      <c r="I956" s="111" t="s">
        <v>402</v>
      </c>
      <c r="J956" s="111" t="s">
        <v>402</v>
      </c>
      <c r="K956" s="106" t="s">
        <v>403</v>
      </c>
      <c r="L956" s="55" t="s">
        <v>404</v>
      </c>
      <c r="M956" s="55" t="s">
        <v>7634</v>
      </c>
    </row>
    <row r="957" spans="1:13">
      <c r="A957" s="408" t="s">
        <v>2749</v>
      </c>
      <c r="B957" s="106" t="s">
        <v>327</v>
      </c>
      <c r="C957" s="106" t="s">
        <v>473</v>
      </c>
      <c r="D957" s="107" t="s">
        <v>2750</v>
      </c>
      <c r="E957" s="109" t="s">
        <v>355</v>
      </c>
      <c r="F957" s="109" t="s">
        <v>355</v>
      </c>
      <c r="G957" s="55" t="s">
        <v>355</v>
      </c>
      <c r="H957" s="108" t="s">
        <v>402</v>
      </c>
      <c r="I957" s="111" t="s">
        <v>402</v>
      </c>
      <c r="J957" s="111" t="s">
        <v>402</v>
      </c>
      <c r="K957" s="106" t="s">
        <v>403</v>
      </c>
      <c r="L957" s="55" t="s">
        <v>404</v>
      </c>
      <c r="M957" s="55" t="s">
        <v>7634</v>
      </c>
    </row>
    <row r="958" spans="1:13">
      <c r="A958" s="578" t="s">
        <v>2751</v>
      </c>
      <c r="B958" s="586" t="s">
        <v>473</v>
      </c>
      <c r="C958" s="586" t="s">
        <v>473</v>
      </c>
      <c r="D958" s="586" t="s">
        <v>2750</v>
      </c>
      <c r="E958" s="586" t="s">
        <v>1225</v>
      </c>
      <c r="F958" s="586" t="s">
        <v>2752</v>
      </c>
      <c r="G958" s="586" t="s">
        <v>377</v>
      </c>
      <c r="H958" s="586" t="s">
        <v>359</v>
      </c>
      <c r="I958" s="587" t="s">
        <v>359</v>
      </c>
      <c r="J958" s="586"/>
      <c r="K958" s="586" t="s">
        <v>360</v>
      </c>
      <c r="L958" s="586" t="s">
        <v>361</v>
      </c>
      <c r="M958" s="55" t="s">
        <v>7634</v>
      </c>
    </row>
    <row r="959" spans="1:13">
      <c r="A959" s="401" t="s">
        <v>2753</v>
      </c>
      <c r="B959" s="106" t="s">
        <v>327</v>
      </c>
      <c r="C959" s="106" t="s">
        <v>473</v>
      </c>
      <c r="D959" s="109" t="s">
        <v>2754</v>
      </c>
      <c r="E959" s="109" t="s">
        <v>2755</v>
      </c>
      <c r="F959" s="109" t="s">
        <v>2756</v>
      </c>
      <c r="G959" s="117" t="s">
        <v>383</v>
      </c>
      <c r="H959" s="115" t="s">
        <v>402</v>
      </c>
      <c r="I959" s="111" t="s">
        <v>402</v>
      </c>
      <c r="J959" s="111" t="s">
        <v>402</v>
      </c>
      <c r="K959" s="106" t="s">
        <v>403</v>
      </c>
      <c r="L959" s="55" t="s">
        <v>404</v>
      </c>
      <c r="M959" s="55" t="s">
        <v>2757</v>
      </c>
    </row>
    <row r="960" spans="1:13">
      <c r="A960" s="408" t="s">
        <v>2758</v>
      </c>
      <c r="B960" s="106" t="s">
        <v>327</v>
      </c>
      <c r="C960" s="106" t="s">
        <v>473</v>
      </c>
      <c r="D960" s="107" t="s">
        <v>2759</v>
      </c>
      <c r="E960" s="109" t="s">
        <v>355</v>
      </c>
      <c r="F960" s="109" t="s">
        <v>355</v>
      </c>
      <c r="G960" s="55" t="s">
        <v>355</v>
      </c>
      <c r="H960" s="108" t="s">
        <v>402</v>
      </c>
      <c r="I960" s="111" t="s">
        <v>402</v>
      </c>
      <c r="J960" s="111" t="s">
        <v>402</v>
      </c>
      <c r="K960" s="106" t="s">
        <v>403</v>
      </c>
      <c r="L960" s="55" t="s">
        <v>404</v>
      </c>
      <c r="M960" s="55" t="s">
        <v>7634</v>
      </c>
    </row>
    <row r="961" spans="1:13">
      <c r="A961" s="408" t="s">
        <v>2760</v>
      </c>
      <c r="B961" s="106" t="s">
        <v>327</v>
      </c>
      <c r="C961" s="106" t="s">
        <v>473</v>
      </c>
      <c r="D961" s="107" t="s">
        <v>2761</v>
      </c>
      <c r="E961" s="109" t="s">
        <v>355</v>
      </c>
      <c r="F961" s="109" t="s">
        <v>355</v>
      </c>
      <c r="G961" s="55" t="s">
        <v>355</v>
      </c>
      <c r="H961" s="108" t="s">
        <v>402</v>
      </c>
      <c r="I961" s="111" t="s">
        <v>402</v>
      </c>
      <c r="J961" s="111" t="s">
        <v>402</v>
      </c>
      <c r="K961" s="106" t="s">
        <v>403</v>
      </c>
      <c r="L961" s="55" t="s">
        <v>404</v>
      </c>
      <c r="M961" s="55" t="s">
        <v>7634</v>
      </c>
    </row>
    <row r="962" spans="1:13">
      <c r="A962" s="408" t="s">
        <v>2762</v>
      </c>
      <c r="B962" s="106" t="s">
        <v>327</v>
      </c>
      <c r="C962" s="106" t="s">
        <v>473</v>
      </c>
      <c r="D962" s="107" t="s">
        <v>2763</v>
      </c>
      <c r="E962" s="109" t="s">
        <v>355</v>
      </c>
      <c r="F962" s="109" t="s">
        <v>355</v>
      </c>
      <c r="G962" s="55" t="s">
        <v>355</v>
      </c>
      <c r="H962" s="108" t="s">
        <v>402</v>
      </c>
      <c r="I962" s="111" t="s">
        <v>402</v>
      </c>
      <c r="J962" s="111" t="s">
        <v>402</v>
      </c>
      <c r="K962" s="106" t="s">
        <v>403</v>
      </c>
      <c r="L962" s="55" t="s">
        <v>404</v>
      </c>
      <c r="M962" s="55" t="s">
        <v>7634</v>
      </c>
    </row>
    <row r="963" spans="1:13">
      <c r="A963" s="408" t="s">
        <v>2764</v>
      </c>
      <c r="B963" s="106" t="s">
        <v>327</v>
      </c>
      <c r="C963" s="106" t="s">
        <v>473</v>
      </c>
      <c r="D963" s="107" t="s">
        <v>2763</v>
      </c>
      <c r="E963" s="109" t="s">
        <v>355</v>
      </c>
      <c r="F963" s="109" t="s">
        <v>355</v>
      </c>
      <c r="G963" s="55" t="s">
        <v>355</v>
      </c>
      <c r="H963" s="108" t="s">
        <v>402</v>
      </c>
      <c r="I963" s="111" t="s">
        <v>402</v>
      </c>
      <c r="J963" s="111" t="s">
        <v>402</v>
      </c>
      <c r="K963" s="106" t="s">
        <v>403</v>
      </c>
      <c r="L963" s="55" t="s">
        <v>404</v>
      </c>
      <c r="M963" s="55" t="s">
        <v>7634</v>
      </c>
    </row>
    <row r="964" spans="1:13">
      <c r="A964" s="408" t="s">
        <v>2765</v>
      </c>
      <c r="B964" s="106" t="s">
        <v>327</v>
      </c>
      <c r="C964" s="106" t="s">
        <v>473</v>
      </c>
      <c r="D964" s="107" t="s">
        <v>2766</v>
      </c>
      <c r="E964" s="109" t="s">
        <v>355</v>
      </c>
      <c r="F964" s="109" t="s">
        <v>355</v>
      </c>
      <c r="G964" s="55" t="s">
        <v>355</v>
      </c>
      <c r="H964" s="108" t="s">
        <v>402</v>
      </c>
      <c r="I964" s="111" t="s">
        <v>402</v>
      </c>
      <c r="J964" s="111" t="s">
        <v>402</v>
      </c>
      <c r="K964" s="106" t="s">
        <v>403</v>
      </c>
      <c r="L964" s="55" t="s">
        <v>404</v>
      </c>
      <c r="M964" s="55" t="s">
        <v>7634</v>
      </c>
    </row>
    <row r="965" spans="1:13">
      <c r="A965" s="408" t="s">
        <v>2767</v>
      </c>
      <c r="B965" s="106" t="s">
        <v>327</v>
      </c>
      <c r="C965" s="106" t="s">
        <v>473</v>
      </c>
      <c r="D965" s="107" t="s">
        <v>2768</v>
      </c>
      <c r="E965" s="109" t="s">
        <v>355</v>
      </c>
      <c r="F965" s="109" t="s">
        <v>355</v>
      </c>
      <c r="G965" s="55" t="s">
        <v>355</v>
      </c>
      <c r="H965" s="108" t="s">
        <v>402</v>
      </c>
      <c r="I965" s="111" t="s">
        <v>402</v>
      </c>
      <c r="J965" s="111" t="s">
        <v>402</v>
      </c>
      <c r="K965" s="106" t="s">
        <v>403</v>
      </c>
      <c r="L965" s="55" t="s">
        <v>404</v>
      </c>
      <c r="M965" s="55" t="s">
        <v>7634</v>
      </c>
    </row>
    <row r="966" spans="1:13">
      <c r="A966" s="408" t="s">
        <v>2769</v>
      </c>
      <c r="B966" s="106" t="s">
        <v>327</v>
      </c>
      <c r="C966" s="106" t="s">
        <v>473</v>
      </c>
      <c r="D966" s="107" t="s">
        <v>2770</v>
      </c>
      <c r="E966" s="109" t="s">
        <v>355</v>
      </c>
      <c r="F966" s="109" t="s">
        <v>355</v>
      </c>
      <c r="G966" s="55" t="s">
        <v>355</v>
      </c>
      <c r="H966" s="108" t="s">
        <v>402</v>
      </c>
      <c r="I966" s="111" t="s">
        <v>402</v>
      </c>
      <c r="J966" s="111" t="s">
        <v>402</v>
      </c>
      <c r="K966" s="106" t="s">
        <v>403</v>
      </c>
      <c r="L966" s="55" t="s">
        <v>404</v>
      </c>
      <c r="M966" s="55" t="s">
        <v>7634</v>
      </c>
    </row>
    <row r="967" spans="1:13">
      <c r="A967" s="408" t="s">
        <v>2771</v>
      </c>
      <c r="B967" s="106" t="s">
        <v>327</v>
      </c>
      <c r="C967" s="106" t="s">
        <v>473</v>
      </c>
      <c r="D967" s="107" t="s">
        <v>2772</v>
      </c>
      <c r="E967" s="109" t="s">
        <v>355</v>
      </c>
      <c r="F967" s="109" t="s">
        <v>355</v>
      </c>
      <c r="G967" s="55" t="s">
        <v>355</v>
      </c>
      <c r="H967" s="108" t="s">
        <v>402</v>
      </c>
      <c r="I967" s="111" t="s">
        <v>402</v>
      </c>
      <c r="J967" s="111" t="s">
        <v>402</v>
      </c>
      <c r="K967" s="106" t="s">
        <v>403</v>
      </c>
      <c r="L967" s="55" t="s">
        <v>404</v>
      </c>
      <c r="M967" s="55" t="s">
        <v>7634</v>
      </c>
    </row>
    <row r="968" spans="1:13">
      <c r="A968" s="408" t="s">
        <v>2773</v>
      </c>
      <c r="B968" s="106" t="s">
        <v>327</v>
      </c>
      <c r="C968" s="106" t="s">
        <v>473</v>
      </c>
      <c r="D968" s="107" t="s">
        <v>2774</v>
      </c>
      <c r="E968" s="109" t="s">
        <v>355</v>
      </c>
      <c r="F968" s="109" t="s">
        <v>355</v>
      </c>
      <c r="G968" s="55" t="s">
        <v>355</v>
      </c>
      <c r="H968" s="108" t="s">
        <v>402</v>
      </c>
      <c r="I968" s="111" t="s">
        <v>402</v>
      </c>
      <c r="J968" s="111" t="s">
        <v>402</v>
      </c>
      <c r="K968" s="106" t="s">
        <v>403</v>
      </c>
      <c r="L968" s="55" t="s">
        <v>404</v>
      </c>
      <c r="M968" s="55" t="s">
        <v>7634</v>
      </c>
    </row>
    <row r="969" spans="1:13">
      <c r="A969" s="408" t="s">
        <v>2775</v>
      </c>
      <c r="B969" s="106" t="s">
        <v>327</v>
      </c>
      <c r="C969" s="106" t="s">
        <v>473</v>
      </c>
      <c r="D969" s="107" t="s">
        <v>2776</v>
      </c>
      <c r="E969" s="109" t="s">
        <v>355</v>
      </c>
      <c r="F969" s="109" t="s">
        <v>355</v>
      </c>
      <c r="G969" s="55" t="s">
        <v>355</v>
      </c>
      <c r="H969" s="108" t="s">
        <v>402</v>
      </c>
      <c r="I969" s="111" t="s">
        <v>402</v>
      </c>
      <c r="J969" s="111" t="s">
        <v>402</v>
      </c>
      <c r="K969" s="106" t="s">
        <v>403</v>
      </c>
      <c r="L969" s="55" t="s">
        <v>404</v>
      </c>
      <c r="M969" s="55" t="s">
        <v>7634</v>
      </c>
    </row>
    <row r="970" spans="1:13">
      <c r="A970" s="408" t="s">
        <v>2777</v>
      </c>
      <c r="B970" s="106" t="s">
        <v>327</v>
      </c>
      <c r="C970" s="106" t="s">
        <v>473</v>
      </c>
      <c r="D970" s="107" t="s">
        <v>2778</v>
      </c>
      <c r="E970" s="109" t="s">
        <v>355</v>
      </c>
      <c r="F970" s="109" t="s">
        <v>355</v>
      </c>
      <c r="G970" s="55" t="s">
        <v>355</v>
      </c>
      <c r="H970" s="108" t="s">
        <v>402</v>
      </c>
      <c r="I970" s="111" t="s">
        <v>402</v>
      </c>
      <c r="J970" s="111" t="s">
        <v>402</v>
      </c>
      <c r="K970" s="106" t="s">
        <v>403</v>
      </c>
      <c r="L970" s="55" t="s">
        <v>404</v>
      </c>
      <c r="M970" s="55" t="s">
        <v>7634</v>
      </c>
    </row>
    <row r="971" spans="1:13">
      <c r="A971" s="408" t="s">
        <v>2779</v>
      </c>
      <c r="B971" s="106" t="s">
        <v>327</v>
      </c>
      <c r="C971" s="106" t="s">
        <v>473</v>
      </c>
      <c r="D971" s="107" t="s">
        <v>2780</v>
      </c>
      <c r="E971" s="109" t="s">
        <v>355</v>
      </c>
      <c r="F971" s="109" t="s">
        <v>355</v>
      </c>
      <c r="G971" s="55" t="s">
        <v>355</v>
      </c>
      <c r="H971" s="108" t="s">
        <v>402</v>
      </c>
      <c r="I971" s="111" t="s">
        <v>402</v>
      </c>
      <c r="J971" s="111" t="s">
        <v>402</v>
      </c>
      <c r="K971" s="106" t="s">
        <v>403</v>
      </c>
      <c r="L971" s="55" t="s">
        <v>404</v>
      </c>
      <c r="M971" s="55" t="s">
        <v>7634</v>
      </c>
    </row>
    <row r="972" spans="1:13">
      <c r="A972" s="408" t="s">
        <v>2781</v>
      </c>
      <c r="B972" s="106" t="s">
        <v>327</v>
      </c>
      <c r="C972" s="106" t="s">
        <v>473</v>
      </c>
      <c r="D972" s="107" t="s">
        <v>2782</v>
      </c>
      <c r="E972" s="109" t="s">
        <v>355</v>
      </c>
      <c r="F972" s="109" t="s">
        <v>355</v>
      </c>
      <c r="G972" s="55" t="s">
        <v>355</v>
      </c>
      <c r="H972" s="108" t="s">
        <v>402</v>
      </c>
      <c r="I972" s="111" t="s">
        <v>402</v>
      </c>
      <c r="J972" s="111" t="s">
        <v>402</v>
      </c>
      <c r="K972" s="106" t="s">
        <v>403</v>
      </c>
      <c r="L972" s="55" t="s">
        <v>404</v>
      </c>
      <c r="M972" s="55" t="s">
        <v>7634</v>
      </c>
    </row>
    <row r="973" spans="1:13">
      <c r="A973" s="408" t="s">
        <v>2783</v>
      </c>
      <c r="B973" s="106" t="s">
        <v>327</v>
      </c>
      <c r="C973" s="106" t="s">
        <v>473</v>
      </c>
      <c r="D973" s="107" t="s">
        <v>2784</v>
      </c>
      <c r="E973" s="109" t="s">
        <v>355</v>
      </c>
      <c r="F973" s="109" t="s">
        <v>355</v>
      </c>
      <c r="G973" s="55" t="s">
        <v>355</v>
      </c>
      <c r="H973" s="108" t="s">
        <v>402</v>
      </c>
      <c r="I973" s="111" t="s">
        <v>402</v>
      </c>
      <c r="J973" s="111" t="s">
        <v>402</v>
      </c>
      <c r="K973" s="106" t="s">
        <v>403</v>
      </c>
      <c r="L973" s="55" t="s">
        <v>404</v>
      </c>
      <c r="M973" s="55" t="s">
        <v>7634</v>
      </c>
    </row>
    <row r="974" spans="1:13">
      <c r="A974" s="408" t="s">
        <v>2785</v>
      </c>
      <c r="B974" s="106" t="s">
        <v>327</v>
      </c>
      <c r="C974" s="106" t="s">
        <v>473</v>
      </c>
      <c r="D974" s="107" t="s">
        <v>2786</v>
      </c>
      <c r="E974" s="109" t="s">
        <v>355</v>
      </c>
      <c r="F974" s="109" t="s">
        <v>355</v>
      </c>
      <c r="G974" s="55" t="s">
        <v>355</v>
      </c>
      <c r="H974" s="108" t="s">
        <v>402</v>
      </c>
      <c r="I974" s="111" t="s">
        <v>402</v>
      </c>
      <c r="J974" s="111" t="s">
        <v>402</v>
      </c>
      <c r="K974" s="106" t="s">
        <v>403</v>
      </c>
      <c r="L974" s="55" t="s">
        <v>404</v>
      </c>
      <c r="M974" s="55" t="s">
        <v>7634</v>
      </c>
    </row>
    <row r="975" spans="1:13">
      <c r="A975" s="408" t="s">
        <v>2787</v>
      </c>
      <c r="B975" s="106" t="s">
        <v>327</v>
      </c>
      <c r="C975" s="106" t="s">
        <v>473</v>
      </c>
      <c r="D975" s="107" t="s">
        <v>2788</v>
      </c>
      <c r="E975" s="109" t="s">
        <v>355</v>
      </c>
      <c r="F975" s="109" t="s">
        <v>355</v>
      </c>
      <c r="G975" s="55" t="s">
        <v>355</v>
      </c>
      <c r="H975" s="108" t="s">
        <v>402</v>
      </c>
      <c r="I975" s="111" t="s">
        <v>402</v>
      </c>
      <c r="J975" s="111" t="s">
        <v>402</v>
      </c>
      <c r="K975" s="106" t="s">
        <v>403</v>
      </c>
      <c r="L975" s="55" t="s">
        <v>404</v>
      </c>
      <c r="M975" s="55" t="s">
        <v>7634</v>
      </c>
    </row>
    <row r="976" spans="1:13">
      <c r="A976" s="408" t="s">
        <v>2789</v>
      </c>
      <c r="B976" s="106" t="s">
        <v>327</v>
      </c>
      <c r="C976" s="106" t="s">
        <v>473</v>
      </c>
      <c r="D976" s="107" t="s">
        <v>2790</v>
      </c>
      <c r="E976" s="109" t="s">
        <v>355</v>
      </c>
      <c r="F976" s="109" t="s">
        <v>355</v>
      </c>
      <c r="G976" s="55" t="s">
        <v>355</v>
      </c>
      <c r="H976" s="108" t="s">
        <v>402</v>
      </c>
      <c r="I976" s="111" t="s">
        <v>402</v>
      </c>
      <c r="J976" s="111" t="s">
        <v>402</v>
      </c>
      <c r="K976" s="106" t="s">
        <v>403</v>
      </c>
      <c r="L976" s="55" t="s">
        <v>404</v>
      </c>
      <c r="M976" s="55" t="s">
        <v>7634</v>
      </c>
    </row>
    <row r="977" spans="1:13">
      <c r="A977" s="408" t="s">
        <v>2791</v>
      </c>
      <c r="B977" s="106" t="s">
        <v>327</v>
      </c>
      <c r="C977" s="106" t="s">
        <v>473</v>
      </c>
      <c r="D977" s="107" t="s">
        <v>2586</v>
      </c>
      <c r="E977" s="109" t="s">
        <v>355</v>
      </c>
      <c r="F977" s="109" t="s">
        <v>355</v>
      </c>
      <c r="G977" s="55" t="s">
        <v>355</v>
      </c>
      <c r="H977" s="108" t="s">
        <v>402</v>
      </c>
      <c r="I977" s="111" t="s">
        <v>402</v>
      </c>
      <c r="J977" s="111" t="s">
        <v>402</v>
      </c>
      <c r="K977" s="106" t="s">
        <v>403</v>
      </c>
      <c r="L977" s="55" t="s">
        <v>404</v>
      </c>
      <c r="M977" s="55" t="s">
        <v>7634</v>
      </c>
    </row>
    <row r="978" spans="1:13">
      <c r="A978" s="408" t="s">
        <v>2792</v>
      </c>
      <c r="B978" s="106" t="s">
        <v>327</v>
      </c>
      <c r="C978" s="106" t="s">
        <v>473</v>
      </c>
      <c r="D978" s="107" t="s">
        <v>2793</v>
      </c>
      <c r="E978" s="109" t="s">
        <v>355</v>
      </c>
      <c r="F978" s="109" t="s">
        <v>355</v>
      </c>
      <c r="G978" s="55" t="s">
        <v>355</v>
      </c>
      <c r="H978" s="108" t="s">
        <v>402</v>
      </c>
      <c r="I978" s="111" t="s">
        <v>402</v>
      </c>
      <c r="J978" s="111" t="s">
        <v>402</v>
      </c>
      <c r="K978" s="106" t="s">
        <v>403</v>
      </c>
      <c r="L978" s="55" t="s">
        <v>404</v>
      </c>
      <c r="M978" s="55" t="s">
        <v>7634</v>
      </c>
    </row>
    <row r="979" spans="1:13">
      <c r="A979" s="408" t="s">
        <v>2794</v>
      </c>
      <c r="B979" s="106" t="s">
        <v>327</v>
      </c>
      <c r="C979" s="106" t="s">
        <v>473</v>
      </c>
      <c r="D979" s="107" t="s">
        <v>2795</v>
      </c>
      <c r="E979" s="109" t="s">
        <v>355</v>
      </c>
      <c r="F979" s="109" t="s">
        <v>355</v>
      </c>
      <c r="G979" s="55" t="s">
        <v>355</v>
      </c>
      <c r="H979" s="108" t="s">
        <v>402</v>
      </c>
      <c r="I979" s="111" t="s">
        <v>402</v>
      </c>
      <c r="J979" s="111" t="s">
        <v>402</v>
      </c>
      <c r="K979" s="106" t="s">
        <v>403</v>
      </c>
      <c r="L979" s="55" t="s">
        <v>404</v>
      </c>
      <c r="M979" s="55" t="s">
        <v>7634</v>
      </c>
    </row>
    <row r="980" spans="1:13">
      <c r="A980" s="408" t="s">
        <v>2796</v>
      </c>
      <c r="B980" s="106" t="s">
        <v>327</v>
      </c>
      <c r="C980" s="106" t="s">
        <v>473</v>
      </c>
      <c r="D980" s="107" t="s">
        <v>2797</v>
      </c>
      <c r="E980" s="109" t="s">
        <v>355</v>
      </c>
      <c r="F980" s="109" t="s">
        <v>355</v>
      </c>
      <c r="G980" s="55" t="s">
        <v>355</v>
      </c>
      <c r="H980" s="108" t="s">
        <v>402</v>
      </c>
      <c r="I980" s="111" t="s">
        <v>402</v>
      </c>
      <c r="J980" s="111" t="s">
        <v>402</v>
      </c>
      <c r="K980" s="106" t="s">
        <v>403</v>
      </c>
      <c r="L980" s="55" t="s">
        <v>404</v>
      </c>
      <c r="M980" s="55" t="s">
        <v>7634</v>
      </c>
    </row>
    <row r="981" spans="1:13">
      <c r="A981" s="408" t="s">
        <v>2798</v>
      </c>
      <c r="B981" s="106" t="s">
        <v>327</v>
      </c>
      <c r="C981" s="106" t="s">
        <v>473</v>
      </c>
      <c r="D981" s="107" t="s">
        <v>2799</v>
      </c>
      <c r="E981" s="109" t="s">
        <v>355</v>
      </c>
      <c r="F981" s="109" t="s">
        <v>355</v>
      </c>
      <c r="G981" s="55" t="s">
        <v>355</v>
      </c>
      <c r="H981" s="108" t="s">
        <v>402</v>
      </c>
      <c r="I981" s="111" t="s">
        <v>402</v>
      </c>
      <c r="J981" s="111" t="s">
        <v>402</v>
      </c>
      <c r="K981" s="106" t="s">
        <v>403</v>
      </c>
      <c r="L981" s="55" t="s">
        <v>404</v>
      </c>
      <c r="M981" s="55" t="s">
        <v>7634</v>
      </c>
    </row>
    <row r="982" spans="1:13">
      <c r="A982" s="408" t="s">
        <v>2800</v>
      </c>
      <c r="B982" s="106" t="s">
        <v>327</v>
      </c>
      <c r="C982" s="106" t="s">
        <v>473</v>
      </c>
      <c r="D982" s="107" t="s">
        <v>2801</v>
      </c>
      <c r="E982" s="109" t="s">
        <v>355</v>
      </c>
      <c r="F982" s="109" t="s">
        <v>355</v>
      </c>
      <c r="G982" s="55" t="s">
        <v>355</v>
      </c>
      <c r="H982" s="108" t="s">
        <v>402</v>
      </c>
      <c r="I982" s="111" t="s">
        <v>402</v>
      </c>
      <c r="J982" s="111" t="s">
        <v>402</v>
      </c>
      <c r="K982" s="106" t="s">
        <v>403</v>
      </c>
      <c r="L982" s="55" t="s">
        <v>404</v>
      </c>
      <c r="M982" s="55" t="s">
        <v>7634</v>
      </c>
    </row>
    <row r="983" spans="1:13">
      <c r="A983" s="408" t="s">
        <v>2802</v>
      </c>
      <c r="B983" s="106" t="s">
        <v>327</v>
      </c>
      <c r="C983" s="106" t="s">
        <v>473</v>
      </c>
      <c r="D983" s="107" t="s">
        <v>2803</v>
      </c>
      <c r="E983" s="109" t="s">
        <v>355</v>
      </c>
      <c r="F983" s="109" t="s">
        <v>355</v>
      </c>
      <c r="G983" s="55" t="s">
        <v>355</v>
      </c>
      <c r="H983" s="108" t="s">
        <v>402</v>
      </c>
      <c r="I983" s="111" t="s">
        <v>402</v>
      </c>
      <c r="J983" s="111" t="s">
        <v>402</v>
      </c>
      <c r="K983" s="106" t="s">
        <v>403</v>
      </c>
      <c r="L983" s="55" t="s">
        <v>404</v>
      </c>
      <c r="M983" s="55" t="s">
        <v>7634</v>
      </c>
    </row>
    <row r="984" spans="1:13">
      <c r="A984" s="408" t="s">
        <v>2804</v>
      </c>
      <c r="B984" s="106" t="s">
        <v>327</v>
      </c>
      <c r="C984" s="106" t="s">
        <v>473</v>
      </c>
      <c r="D984" s="107" t="s">
        <v>2803</v>
      </c>
      <c r="E984" s="109" t="s">
        <v>355</v>
      </c>
      <c r="F984" s="109" t="s">
        <v>355</v>
      </c>
      <c r="G984" s="55" t="s">
        <v>355</v>
      </c>
      <c r="H984" s="108" t="s">
        <v>402</v>
      </c>
      <c r="I984" s="111" t="s">
        <v>402</v>
      </c>
      <c r="J984" s="111" t="s">
        <v>402</v>
      </c>
      <c r="K984" s="106" t="s">
        <v>403</v>
      </c>
      <c r="L984" s="55" t="s">
        <v>404</v>
      </c>
      <c r="M984" s="55" t="s">
        <v>7634</v>
      </c>
    </row>
    <row r="985" spans="1:13">
      <c r="A985" s="408" t="s">
        <v>2805</v>
      </c>
      <c r="B985" s="106" t="s">
        <v>327</v>
      </c>
      <c r="C985" s="106" t="s">
        <v>473</v>
      </c>
      <c r="D985" s="107" t="s">
        <v>2806</v>
      </c>
      <c r="E985" s="109" t="s">
        <v>355</v>
      </c>
      <c r="F985" s="109" t="s">
        <v>355</v>
      </c>
      <c r="G985" s="55" t="s">
        <v>355</v>
      </c>
      <c r="H985" s="108" t="s">
        <v>402</v>
      </c>
      <c r="I985" s="111" t="s">
        <v>402</v>
      </c>
      <c r="J985" s="111" t="s">
        <v>402</v>
      </c>
      <c r="K985" s="106" t="s">
        <v>403</v>
      </c>
      <c r="L985" s="55" t="s">
        <v>404</v>
      </c>
      <c r="M985" s="55" t="s">
        <v>7634</v>
      </c>
    </row>
    <row r="986" spans="1:13">
      <c r="A986" s="401" t="s">
        <v>7029</v>
      </c>
      <c r="B986" s="106" t="s">
        <v>327</v>
      </c>
      <c r="C986" s="106" t="s">
        <v>473</v>
      </c>
      <c r="D986" s="107" t="s">
        <v>355</v>
      </c>
      <c r="E986" s="107" t="s">
        <v>7030</v>
      </c>
      <c r="F986" s="107" t="s">
        <v>355</v>
      </c>
      <c r="G986" s="589" t="s">
        <v>7031</v>
      </c>
      <c r="H986" s="108" t="s">
        <v>402</v>
      </c>
      <c r="I986" s="111" t="s">
        <v>402</v>
      </c>
      <c r="J986" s="111" t="s">
        <v>402</v>
      </c>
      <c r="K986" s="106" t="s">
        <v>403</v>
      </c>
      <c r="L986" s="55" t="s">
        <v>404</v>
      </c>
      <c r="M986" s="55" t="s">
        <v>7634</v>
      </c>
    </row>
    <row r="987" spans="1:13">
      <c r="A987" s="408" t="s">
        <v>2807</v>
      </c>
      <c r="B987" s="106" t="s">
        <v>327</v>
      </c>
      <c r="C987" s="106" t="s">
        <v>473</v>
      </c>
      <c r="D987" s="107" t="s">
        <v>2808</v>
      </c>
      <c r="E987" s="109" t="s">
        <v>355</v>
      </c>
      <c r="F987" s="109" t="s">
        <v>355</v>
      </c>
      <c r="G987" s="55" t="s">
        <v>355</v>
      </c>
      <c r="H987" s="108" t="s">
        <v>402</v>
      </c>
      <c r="I987" s="111" t="s">
        <v>402</v>
      </c>
      <c r="J987" s="111" t="s">
        <v>402</v>
      </c>
      <c r="K987" s="106" t="s">
        <v>403</v>
      </c>
      <c r="L987" s="55" t="s">
        <v>404</v>
      </c>
      <c r="M987" s="55" t="s">
        <v>7634</v>
      </c>
    </row>
    <row r="988" spans="1:13">
      <c r="A988" s="408" t="s">
        <v>2809</v>
      </c>
      <c r="B988" s="106" t="s">
        <v>327</v>
      </c>
      <c r="C988" s="106" t="s">
        <v>473</v>
      </c>
      <c r="D988" s="107" t="s">
        <v>2810</v>
      </c>
      <c r="E988" s="109" t="s">
        <v>355</v>
      </c>
      <c r="F988" s="109" t="s">
        <v>355</v>
      </c>
      <c r="G988" s="55" t="s">
        <v>355</v>
      </c>
      <c r="H988" s="108" t="s">
        <v>402</v>
      </c>
      <c r="I988" s="111" t="s">
        <v>402</v>
      </c>
      <c r="J988" s="111" t="s">
        <v>402</v>
      </c>
      <c r="K988" s="106" t="s">
        <v>403</v>
      </c>
      <c r="L988" s="55" t="s">
        <v>404</v>
      </c>
      <c r="M988" s="55" t="s">
        <v>7634</v>
      </c>
    </row>
    <row r="989" spans="1:13">
      <c r="A989" s="408" t="s">
        <v>2811</v>
      </c>
      <c r="B989" s="106" t="s">
        <v>327</v>
      </c>
      <c r="C989" s="106" t="s">
        <v>473</v>
      </c>
      <c r="D989" s="107" t="s">
        <v>2812</v>
      </c>
      <c r="E989" s="109" t="s">
        <v>355</v>
      </c>
      <c r="F989" s="109" t="s">
        <v>355</v>
      </c>
      <c r="G989" s="55" t="s">
        <v>355</v>
      </c>
      <c r="H989" s="108" t="s">
        <v>402</v>
      </c>
      <c r="I989" s="111" t="s">
        <v>402</v>
      </c>
      <c r="J989" s="111" t="s">
        <v>402</v>
      </c>
      <c r="K989" s="106" t="s">
        <v>403</v>
      </c>
      <c r="L989" s="55" t="s">
        <v>404</v>
      </c>
      <c r="M989" s="55" t="s">
        <v>7634</v>
      </c>
    </row>
    <row r="990" spans="1:13">
      <c r="A990" s="408" t="s">
        <v>2813</v>
      </c>
      <c r="B990" s="106" t="s">
        <v>327</v>
      </c>
      <c r="C990" s="106" t="s">
        <v>473</v>
      </c>
      <c r="D990" s="107" t="s">
        <v>2814</v>
      </c>
      <c r="E990" s="109" t="s">
        <v>355</v>
      </c>
      <c r="F990" s="109" t="s">
        <v>355</v>
      </c>
      <c r="G990" s="55" t="s">
        <v>355</v>
      </c>
      <c r="H990" s="108" t="s">
        <v>402</v>
      </c>
      <c r="I990" s="111" t="s">
        <v>402</v>
      </c>
      <c r="J990" s="111" t="s">
        <v>402</v>
      </c>
      <c r="K990" s="106" t="s">
        <v>403</v>
      </c>
      <c r="L990" s="55" t="s">
        <v>404</v>
      </c>
      <c r="M990" s="55" t="s">
        <v>7634</v>
      </c>
    </row>
    <row r="991" spans="1:13">
      <c r="A991" s="578" t="s">
        <v>2815</v>
      </c>
      <c r="B991" s="586" t="s">
        <v>373</v>
      </c>
      <c r="C991" s="586" t="s">
        <v>473</v>
      </c>
      <c r="D991" s="586" t="s">
        <v>2816</v>
      </c>
      <c r="E991" s="109" t="s">
        <v>355</v>
      </c>
      <c r="F991" s="109" t="s">
        <v>355</v>
      </c>
      <c r="G991" s="55" t="s">
        <v>355</v>
      </c>
      <c r="H991" s="586"/>
      <c r="I991" s="587"/>
      <c r="J991" s="586"/>
      <c r="K991" s="586"/>
      <c r="L991" s="586"/>
      <c r="M991" s="55" t="s">
        <v>7634</v>
      </c>
    </row>
    <row r="992" spans="1:13">
      <c r="A992" s="408" t="s">
        <v>2817</v>
      </c>
      <c r="B992" s="106" t="s">
        <v>327</v>
      </c>
      <c r="C992" s="106" t="s">
        <v>473</v>
      </c>
      <c r="D992" s="107" t="s">
        <v>2818</v>
      </c>
      <c r="E992" s="109" t="s">
        <v>355</v>
      </c>
      <c r="F992" s="109" t="s">
        <v>355</v>
      </c>
      <c r="G992" s="55" t="s">
        <v>355</v>
      </c>
      <c r="H992" s="108" t="s">
        <v>402</v>
      </c>
      <c r="I992" s="111" t="s">
        <v>402</v>
      </c>
      <c r="J992" s="111" t="s">
        <v>402</v>
      </c>
      <c r="K992" s="106" t="s">
        <v>403</v>
      </c>
      <c r="L992" s="55" t="s">
        <v>404</v>
      </c>
      <c r="M992" s="55" t="s">
        <v>7634</v>
      </c>
    </row>
    <row r="993" spans="1:13">
      <c r="A993" s="408" t="s">
        <v>2819</v>
      </c>
      <c r="B993" s="106" t="s">
        <v>327</v>
      </c>
      <c r="C993" s="106" t="s">
        <v>473</v>
      </c>
      <c r="D993" s="107" t="s">
        <v>2820</v>
      </c>
      <c r="E993" s="109" t="s">
        <v>355</v>
      </c>
      <c r="F993" s="109" t="s">
        <v>355</v>
      </c>
      <c r="G993" s="55" t="s">
        <v>355</v>
      </c>
      <c r="H993" s="108" t="s">
        <v>402</v>
      </c>
      <c r="I993" s="111" t="s">
        <v>402</v>
      </c>
      <c r="J993" s="111" t="s">
        <v>402</v>
      </c>
      <c r="K993" s="106" t="s">
        <v>403</v>
      </c>
      <c r="L993" s="55" t="s">
        <v>404</v>
      </c>
      <c r="M993" s="55" t="s">
        <v>7634</v>
      </c>
    </row>
    <row r="994" spans="1:13">
      <c r="A994" s="408" t="s">
        <v>2821</v>
      </c>
      <c r="B994" s="106" t="s">
        <v>327</v>
      </c>
      <c r="C994" s="106" t="s">
        <v>473</v>
      </c>
      <c r="D994" s="107" t="s">
        <v>2822</v>
      </c>
      <c r="E994" s="109" t="s">
        <v>355</v>
      </c>
      <c r="F994" s="109" t="s">
        <v>355</v>
      </c>
      <c r="G994" s="55" t="s">
        <v>355</v>
      </c>
      <c r="H994" s="108" t="s">
        <v>402</v>
      </c>
      <c r="I994" s="111" t="s">
        <v>402</v>
      </c>
      <c r="J994" s="111" t="s">
        <v>402</v>
      </c>
      <c r="K994" s="106" t="s">
        <v>403</v>
      </c>
      <c r="L994" s="55" t="s">
        <v>404</v>
      </c>
      <c r="M994" s="55" t="s">
        <v>7634</v>
      </c>
    </row>
    <row r="995" spans="1:13">
      <c r="A995" s="408" t="s">
        <v>2823</v>
      </c>
      <c r="B995" s="106" t="s">
        <v>327</v>
      </c>
      <c r="C995" s="106" t="s">
        <v>473</v>
      </c>
      <c r="D995" s="107" t="s">
        <v>2824</v>
      </c>
      <c r="E995" s="109" t="s">
        <v>355</v>
      </c>
      <c r="F995" s="109" t="s">
        <v>355</v>
      </c>
      <c r="G995" s="55" t="s">
        <v>355</v>
      </c>
      <c r="H995" s="108" t="s">
        <v>402</v>
      </c>
      <c r="I995" s="111" t="s">
        <v>402</v>
      </c>
      <c r="J995" s="111" t="s">
        <v>402</v>
      </c>
      <c r="K995" s="106" t="s">
        <v>403</v>
      </c>
      <c r="L995" s="55" t="s">
        <v>404</v>
      </c>
      <c r="M995" s="55" t="s">
        <v>7634</v>
      </c>
    </row>
    <row r="996" spans="1:13">
      <c r="A996" s="578" t="s">
        <v>2825</v>
      </c>
      <c r="B996" s="586" t="s">
        <v>473</v>
      </c>
      <c r="C996" s="586" t="s">
        <v>473</v>
      </c>
      <c r="D996" s="586"/>
      <c r="E996" s="109" t="s">
        <v>355</v>
      </c>
      <c r="F996" s="109" t="s">
        <v>355</v>
      </c>
      <c r="G996" s="55" t="s">
        <v>355</v>
      </c>
      <c r="H996" s="586"/>
      <c r="I996" s="587"/>
      <c r="J996" s="586"/>
      <c r="K996" s="586"/>
      <c r="L996" s="586"/>
      <c r="M996" s="55" t="s">
        <v>7634</v>
      </c>
    </row>
    <row r="997" spans="1:13">
      <c r="A997" s="408" t="s">
        <v>2826</v>
      </c>
      <c r="B997" s="106" t="s">
        <v>327</v>
      </c>
      <c r="C997" s="106" t="s">
        <v>473</v>
      </c>
      <c r="D997" s="107" t="s">
        <v>2827</v>
      </c>
      <c r="E997" s="109" t="s">
        <v>355</v>
      </c>
      <c r="F997" s="109" t="s">
        <v>355</v>
      </c>
      <c r="G997" s="55" t="s">
        <v>355</v>
      </c>
      <c r="H997" s="108" t="s">
        <v>402</v>
      </c>
      <c r="I997" s="111" t="s">
        <v>402</v>
      </c>
      <c r="J997" s="111" t="s">
        <v>402</v>
      </c>
      <c r="K997" s="106" t="s">
        <v>403</v>
      </c>
      <c r="L997" s="55" t="s">
        <v>404</v>
      </c>
      <c r="M997" s="55" t="s">
        <v>7634</v>
      </c>
    </row>
    <row r="998" spans="1:13">
      <c r="A998" s="408" t="s">
        <v>2828</v>
      </c>
      <c r="B998" s="106" t="s">
        <v>327</v>
      </c>
      <c r="C998" s="106" t="s">
        <v>473</v>
      </c>
      <c r="D998" s="107" t="s">
        <v>2829</v>
      </c>
      <c r="E998" s="109" t="s">
        <v>355</v>
      </c>
      <c r="F998" s="109" t="s">
        <v>355</v>
      </c>
      <c r="G998" s="55" t="s">
        <v>355</v>
      </c>
      <c r="H998" s="108" t="s">
        <v>402</v>
      </c>
      <c r="I998" s="111" t="s">
        <v>402</v>
      </c>
      <c r="J998" s="111" t="s">
        <v>402</v>
      </c>
      <c r="K998" s="106" t="s">
        <v>403</v>
      </c>
      <c r="L998" s="55" t="s">
        <v>404</v>
      </c>
      <c r="M998" s="55" t="s">
        <v>7634</v>
      </c>
    </row>
    <row r="999" spans="1:13">
      <c r="A999" s="401" t="s">
        <v>2830</v>
      </c>
      <c r="B999" s="106" t="s">
        <v>327</v>
      </c>
      <c r="C999" s="106" t="s">
        <v>473</v>
      </c>
      <c r="D999" s="109" t="s">
        <v>2831</v>
      </c>
      <c r="E999" s="109" t="s">
        <v>1886</v>
      </c>
      <c r="F999" s="109" t="s">
        <v>2832</v>
      </c>
      <c r="G999" s="117" t="s">
        <v>383</v>
      </c>
      <c r="H999" s="115" t="s">
        <v>402</v>
      </c>
      <c r="I999" s="111" t="s">
        <v>402</v>
      </c>
      <c r="J999" s="111" t="s">
        <v>402</v>
      </c>
      <c r="K999" s="106" t="s">
        <v>403</v>
      </c>
      <c r="L999" s="55" t="s">
        <v>404</v>
      </c>
      <c r="M999" s="55" t="s">
        <v>1173</v>
      </c>
    </row>
    <row r="1000" spans="1:13">
      <c r="A1000" s="408" t="s">
        <v>2833</v>
      </c>
      <c r="B1000" s="106" t="s">
        <v>327</v>
      </c>
      <c r="C1000" s="106" t="s">
        <v>473</v>
      </c>
      <c r="D1000" s="107" t="s">
        <v>2834</v>
      </c>
      <c r="E1000" s="109" t="s">
        <v>355</v>
      </c>
      <c r="F1000" s="109" t="s">
        <v>355</v>
      </c>
      <c r="G1000" s="55" t="s">
        <v>355</v>
      </c>
      <c r="H1000" s="108" t="s">
        <v>402</v>
      </c>
      <c r="I1000" s="111" t="s">
        <v>402</v>
      </c>
      <c r="J1000" s="111" t="s">
        <v>402</v>
      </c>
      <c r="K1000" s="106" t="s">
        <v>403</v>
      </c>
      <c r="L1000" s="55" t="s">
        <v>404</v>
      </c>
      <c r="M1000" s="55" t="s">
        <v>7634</v>
      </c>
    </row>
    <row r="1001" spans="1:13">
      <c r="A1001" s="408" t="s">
        <v>2835</v>
      </c>
      <c r="B1001" s="106" t="s">
        <v>327</v>
      </c>
      <c r="C1001" s="106" t="s">
        <v>473</v>
      </c>
      <c r="D1001" s="107" t="s">
        <v>2836</v>
      </c>
      <c r="E1001" s="109" t="s">
        <v>355</v>
      </c>
      <c r="F1001" s="109" t="s">
        <v>355</v>
      </c>
      <c r="G1001" s="55" t="s">
        <v>355</v>
      </c>
      <c r="H1001" s="108" t="s">
        <v>402</v>
      </c>
      <c r="I1001" s="111" t="s">
        <v>402</v>
      </c>
      <c r="J1001" s="111" t="s">
        <v>402</v>
      </c>
      <c r="K1001" s="106" t="s">
        <v>403</v>
      </c>
      <c r="L1001" s="55" t="s">
        <v>404</v>
      </c>
      <c r="M1001" s="55" t="s">
        <v>7634</v>
      </c>
    </row>
    <row r="1002" spans="1:13">
      <c r="A1002" s="578" t="s">
        <v>2837</v>
      </c>
      <c r="B1002" s="586" t="s">
        <v>373</v>
      </c>
      <c r="C1002" s="586" t="s">
        <v>473</v>
      </c>
      <c r="D1002" s="586" t="s">
        <v>2838</v>
      </c>
      <c r="E1002" s="586" t="s">
        <v>2839</v>
      </c>
      <c r="F1002" s="586" t="s">
        <v>2840</v>
      </c>
      <c r="G1002" s="586"/>
      <c r="H1002" s="586" t="s">
        <v>359</v>
      </c>
      <c r="I1002" s="587" t="s">
        <v>359</v>
      </c>
      <c r="J1002" s="586"/>
      <c r="K1002" s="586"/>
      <c r="L1002" s="586" t="s">
        <v>361</v>
      </c>
      <c r="M1002" s="55" t="s">
        <v>7634</v>
      </c>
    </row>
    <row r="1003" spans="1:13">
      <c r="A1003" s="408" t="s">
        <v>2841</v>
      </c>
      <c r="B1003" s="106" t="s">
        <v>327</v>
      </c>
      <c r="C1003" s="106" t="s">
        <v>473</v>
      </c>
      <c r="D1003" s="107" t="s">
        <v>2842</v>
      </c>
      <c r="E1003" s="109" t="s">
        <v>355</v>
      </c>
      <c r="F1003" s="109" t="s">
        <v>355</v>
      </c>
      <c r="G1003" s="55" t="s">
        <v>355</v>
      </c>
      <c r="H1003" s="108" t="s">
        <v>402</v>
      </c>
      <c r="I1003" s="111" t="s">
        <v>402</v>
      </c>
      <c r="J1003" s="111" t="s">
        <v>402</v>
      </c>
      <c r="K1003" s="106" t="s">
        <v>403</v>
      </c>
      <c r="L1003" s="55" t="s">
        <v>404</v>
      </c>
      <c r="M1003" s="55" t="s">
        <v>7634</v>
      </c>
    </row>
    <row r="1004" spans="1:13">
      <c r="A1004" s="408" t="s">
        <v>2843</v>
      </c>
      <c r="B1004" s="106" t="s">
        <v>327</v>
      </c>
      <c r="C1004" s="106" t="s">
        <v>473</v>
      </c>
      <c r="D1004" s="107" t="s">
        <v>2844</v>
      </c>
      <c r="E1004" s="109" t="s">
        <v>355</v>
      </c>
      <c r="F1004" s="109" t="s">
        <v>355</v>
      </c>
      <c r="G1004" s="55" t="s">
        <v>355</v>
      </c>
      <c r="H1004" s="108" t="s">
        <v>402</v>
      </c>
      <c r="I1004" s="111" t="s">
        <v>402</v>
      </c>
      <c r="J1004" s="111" t="s">
        <v>402</v>
      </c>
      <c r="K1004" s="106" t="s">
        <v>403</v>
      </c>
      <c r="L1004" s="55" t="s">
        <v>404</v>
      </c>
      <c r="M1004" s="55" t="s">
        <v>7634</v>
      </c>
    </row>
    <row r="1005" spans="1:13">
      <c r="A1005" s="401" t="s">
        <v>2845</v>
      </c>
      <c r="B1005" s="106" t="s">
        <v>327</v>
      </c>
      <c r="C1005" s="106" t="s">
        <v>473</v>
      </c>
      <c r="D1005" s="109" t="s">
        <v>2846</v>
      </c>
      <c r="E1005" s="109" t="s">
        <v>8060</v>
      </c>
      <c r="F1005" s="110" t="s">
        <v>2847</v>
      </c>
      <c r="G1005" s="112" t="s">
        <v>2848</v>
      </c>
      <c r="H1005" s="115" t="s">
        <v>402</v>
      </c>
      <c r="I1005" s="111" t="s">
        <v>402</v>
      </c>
      <c r="J1005" s="111" t="s">
        <v>402</v>
      </c>
      <c r="K1005" s="106" t="s">
        <v>403</v>
      </c>
      <c r="L1005" s="55" t="s">
        <v>404</v>
      </c>
      <c r="M1005" s="55" t="s">
        <v>2849</v>
      </c>
    </row>
    <row r="1006" spans="1:13">
      <c r="A1006" s="408" t="s">
        <v>2850</v>
      </c>
      <c r="B1006" s="106" t="s">
        <v>327</v>
      </c>
      <c r="C1006" s="106" t="s">
        <v>473</v>
      </c>
      <c r="D1006" s="107" t="s">
        <v>2851</v>
      </c>
      <c r="E1006" s="109" t="s">
        <v>355</v>
      </c>
      <c r="F1006" s="109" t="s">
        <v>355</v>
      </c>
      <c r="G1006" s="55" t="s">
        <v>355</v>
      </c>
      <c r="H1006" s="108" t="s">
        <v>402</v>
      </c>
      <c r="I1006" s="111" t="s">
        <v>402</v>
      </c>
      <c r="J1006" s="111" t="s">
        <v>402</v>
      </c>
      <c r="K1006" s="106" t="s">
        <v>403</v>
      </c>
      <c r="L1006" s="55" t="s">
        <v>404</v>
      </c>
      <c r="M1006" s="55" t="s">
        <v>7634</v>
      </c>
    </row>
    <row r="1007" spans="1:13">
      <c r="A1007" s="408" t="s">
        <v>2852</v>
      </c>
      <c r="B1007" s="106" t="s">
        <v>327</v>
      </c>
      <c r="C1007" s="106" t="s">
        <v>473</v>
      </c>
      <c r="D1007" s="107" t="s">
        <v>2853</v>
      </c>
      <c r="E1007" s="109" t="s">
        <v>355</v>
      </c>
      <c r="F1007" s="109" t="s">
        <v>355</v>
      </c>
      <c r="G1007" s="55" t="s">
        <v>355</v>
      </c>
      <c r="H1007" s="108" t="s">
        <v>402</v>
      </c>
      <c r="I1007" s="111" t="s">
        <v>402</v>
      </c>
      <c r="J1007" s="111" t="s">
        <v>402</v>
      </c>
      <c r="K1007" s="106" t="s">
        <v>403</v>
      </c>
      <c r="L1007" s="55" t="s">
        <v>404</v>
      </c>
      <c r="M1007" s="55" t="s">
        <v>7634</v>
      </c>
    </row>
    <row r="1008" spans="1:13">
      <c r="A1008" s="401" t="s">
        <v>2854</v>
      </c>
      <c r="B1008" s="106" t="s">
        <v>327</v>
      </c>
      <c r="C1008" s="106" t="s">
        <v>473</v>
      </c>
      <c r="D1008" s="110" t="s">
        <v>383</v>
      </c>
      <c r="E1008" s="110" t="s">
        <v>2855</v>
      </c>
      <c r="F1008" s="109" t="s">
        <v>2856</v>
      </c>
      <c r="G1008" s="112" t="s">
        <v>2857</v>
      </c>
      <c r="H1008" s="115" t="s">
        <v>402</v>
      </c>
      <c r="I1008" s="111" t="s">
        <v>402</v>
      </c>
      <c r="J1008" s="111" t="s">
        <v>402</v>
      </c>
      <c r="K1008" s="115" t="s">
        <v>403</v>
      </c>
      <c r="L1008" s="55" t="s">
        <v>404</v>
      </c>
      <c r="M1008" s="113" t="s">
        <v>383</v>
      </c>
    </row>
    <row r="1009" spans="1:13">
      <c r="A1009" s="401" t="s">
        <v>2858</v>
      </c>
      <c r="B1009" s="106" t="s">
        <v>327</v>
      </c>
      <c r="C1009" s="106" t="s">
        <v>473</v>
      </c>
      <c r="D1009" s="109"/>
      <c r="E1009" s="109" t="s">
        <v>355</v>
      </c>
      <c r="F1009" s="109" t="s">
        <v>355</v>
      </c>
      <c r="G1009" s="55" t="s">
        <v>355</v>
      </c>
      <c r="H1009" s="115" t="s">
        <v>402</v>
      </c>
      <c r="I1009" s="111" t="s">
        <v>402</v>
      </c>
      <c r="J1009" s="111" t="s">
        <v>402</v>
      </c>
      <c r="K1009" s="106" t="s">
        <v>403</v>
      </c>
      <c r="L1009" s="55" t="s">
        <v>404</v>
      </c>
      <c r="M1009" s="55" t="s">
        <v>7634</v>
      </c>
    </row>
    <row r="1010" spans="1:13">
      <c r="A1010" s="401" t="s">
        <v>2859</v>
      </c>
      <c r="B1010" s="106" t="s">
        <v>327</v>
      </c>
      <c r="C1010" s="106" t="s">
        <v>473</v>
      </c>
      <c r="D1010" s="109" t="s">
        <v>2860</v>
      </c>
      <c r="E1010" s="109" t="s">
        <v>2861</v>
      </c>
      <c r="F1010" s="109" t="s">
        <v>2862</v>
      </c>
      <c r="G1010" s="112" t="s">
        <v>2863</v>
      </c>
      <c r="H1010" s="115" t="s">
        <v>402</v>
      </c>
      <c r="I1010" s="111" t="s">
        <v>402</v>
      </c>
      <c r="J1010" s="111" t="s">
        <v>402</v>
      </c>
      <c r="K1010" s="115" t="s">
        <v>403</v>
      </c>
      <c r="L1010" s="55" t="s">
        <v>404</v>
      </c>
      <c r="M1010" s="113" t="s">
        <v>383</v>
      </c>
    </row>
    <row r="1011" spans="1:13">
      <c r="A1011" s="578" t="s">
        <v>2864</v>
      </c>
      <c r="B1011" s="586" t="s">
        <v>473</v>
      </c>
      <c r="C1011" s="586" t="s">
        <v>473</v>
      </c>
      <c r="D1011" s="586" t="s">
        <v>2865</v>
      </c>
      <c r="E1011" s="586" t="s">
        <v>2866</v>
      </c>
      <c r="F1011" s="586" t="s">
        <v>2867</v>
      </c>
      <c r="G1011" s="586"/>
      <c r="H1011" s="586" t="s">
        <v>359</v>
      </c>
      <c r="I1011" s="587" t="s">
        <v>359</v>
      </c>
      <c r="J1011" s="586"/>
      <c r="K1011" s="586"/>
      <c r="L1011" s="586"/>
      <c r="M1011" s="586" t="s">
        <v>2868</v>
      </c>
    </row>
    <row r="1012" spans="1:13">
      <c r="A1012" s="401" t="s">
        <v>7032</v>
      </c>
      <c r="B1012" s="106" t="s">
        <v>327</v>
      </c>
      <c r="C1012" s="106" t="s">
        <v>473</v>
      </c>
      <c r="D1012" s="107" t="s">
        <v>355</v>
      </c>
      <c r="E1012" s="107" t="s">
        <v>355</v>
      </c>
      <c r="F1012" s="107" t="s">
        <v>355</v>
      </c>
      <c r="G1012" s="108" t="s">
        <v>355</v>
      </c>
      <c r="H1012" s="108" t="s">
        <v>402</v>
      </c>
      <c r="I1012" s="111" t="s">
        <v>402</v>
      </c>
      <c r="J1012" s="111" t="s">
        <v>402</v>
      </c>
      <c r="K1012" s="106" t="s">
        <v>403</v>
      </c>
      <c r="L1012" s="55" t="s">
        <v>404</v>
      </c>
      <c r="M1012" s="55" t="s">
        <v>7634</v>
      </c>
    </row>
    <row r="1013" spans="1:13">
      <c r="A1013" s="401" t="s">
        <v>2869</v>
      </c>
      <c r="B1013" s="106" t="s">
        <v>327</v>
      </c>
      <c r="C1013" s="106" t="s">
        <v>473</v>
      </c>
      <c r="D1013" s="109" t="s">
        <v>2870</v>
      </c>
      <c r="E1013" s="109" t="s">
        <v>2871</v>
      </c>
      <c r="F1013" s="109" t="s">
        <v>2872</v>
      </c>
      <c r="G1013" s="117" t="s">
        <v>383</v>
      </c>
      <c r="H1013" s="115" t="s">
        <v>402</v>
      </c>
      <c r="I1013" s="111" t="s">
        <v>402</v>
      </c>
      <c r="J1013" s="111" t="s">
        <v>402</v>
      </c>
      <c r="K1013" s="115" t="s">
        <v>403</v>
      </c>
      <c r="L1013" s="55" t="s">
        <v>404</v>
      </c>
      <c r="M1013" s="113" t="s">
        <v>1173</v>
      </c>
    </row>
    <row r="1014" spans="1:13">
      <c r="A1014" s="408" t="s">
        <v>2873</v>
      </c>
      <c r="B1014" s="106" t="s">
        <v>327</v>
      </c>
      <c r="C1014" s="106" t="s">
        <v>473</v>
      </c>
      <c r="D1014" s="107" t="s">
        <v>2874</v>
      </c>
      <c r="E1014" s="109" t="s">
        <v>355</v>
      </c>
      <c r="F1014" s="109" t="s">
        <v>355</v>
      </c>
      <c r="G1014" s="55" t="s">
        <v>355</v>
      </c>
      <c r="H1014" s="108" t="s">
        <v>402</v>
      </c>
      <c r="I1014" s="111" t="s">
        <v>402</v>
      </c>
      <c r="J1014" s="111" t="s">
        <v>402</v>
      </c>
      <c r="K1014" s="106" t="s">
        <v>403</v>
      </c>
      <c r="L1014" s="55" t="s">
        <v>404</v>
      </c>
      <c r="M1014" s="55" t="s">
        <v>7634</v>
      </c>
    </row>
    <row r="1015" spans="1:13">
      <c r="A1015" s="401" t="s">
        <v>2875</v>
      </c>
      <c r="B1015" s="106" t="s">
        <v>327</v>
      </c>
      <c r="C1015" s="106" t="s">
        <v>473</v>
      </c>
      <c r="D1015" s="129" t="s">
        <v>2876</v>
      </c>
      <c r="E1015" s="109" t="s">
        <v>2877</v>
      </c>
      <c r="F1015" s="109" t="s">
        <v>2878</v>
      </c>
      <c r="G1015" s="112" t="s">
        <v>2879</v>
      </c>
      <c r="H1015" s="115" t="s">
        <v>402</v>
      </c>
      <c r="I1015" s="111" t="s">
        <v>402</v>
      </c>
      <c r="J1015" s="111" t="s">
        <v>402</v>
      </c>
      <c r="K1015" s="115" t="s">
        <v>403</v>
      </c>
      <c r="L1015" s="55" t="s">
        <v>404</v>
      </c>
      <c r="M1015" s="55" t="s">
        <v>383</v>
      </c>
    </row>
    <row r="1016" spans="1:13">
      <c r="A1016" s="408" t="s">
        <v>2880</v>
      </c>
      <c r="B1016" s="106" t="s">
        <v>327</v>
      </c>
      <c r="C1016" s="106" t="s">
        <v>473</v>
      </c>
      <c r="D1016" s="107" t="s">
        <v>2881</v>
      </c>
      <c r="E1016" s="109" t="s">
        <v>355</v>
      </c>
      <c r="F1016" s="109" t="s">
        <v>355</v>
      </c>
      <c r="G1016" s="55" t="s">
        <v>355</v>
      </c>
      <c r="H1016" s="108" t="s">
        <v>402</v>
      </c>
      <c r="I1016" s="111" t="s">
        <v>402</v>
      </c>
      <c r="J1016" s="111" t="s">
        <v>402</v>
      </c>
      <c r="K1016" s="106" t="s">
        <v>403</v>
      </c>
      <c r="L1016" s="55" t="s">
        <v>404</v>
      </c>
      <c r="M1016" s="55" t="s">
        <v>7634</v>
      </c>
    </row>
    <row r="1017" spans="1:13">
      <c r="A1017" s="401" t="s">
        <v>2882</v>
      </c>
      <c r="B1017" s="106" t="s">
        <v>327</v>
      </c>
      <c r="C1017" s="106" t="s">
        <v>473</v>
      </c>
      <c r="D1017" s="107" t="s">
        <v>355</v>
      </c>
      <c r="E1017" s="107" t="s">
        <v>355</v>
      </c>
      <c r="F1017" s="107" t="s">
        <v>355</v>
      </c>
      <c r="G1017" s="108" t="s">
        <v>355</v>
      </c>
      <c r="H1017" s="54" t="s">
        <v>358</v>
      </c>
      <c r="I1017" s="583" t="s">
        <v>359</v>
      </c>
      <c r="J1017" s="582" t="s">
        <v>359</v>
      </c>
      <c r="K1017" s="584" t="s">
        <v>360</v>
      </c>
      <c r="L1017" s="54" t="s">
        <v>361</v>
      </c>
      <c r="M1017" s="55" t="s">
        <v>7634</v>
      </c>
    </row>
    <row r="1018" spans="1:13">
      <c r="A1018" s="408" t="s">
        <v>2883</v>
      </c>
      <c r="B1018" s="106" t="s">
        <v>327</v>
      </c>
      <c r="C1018" s="106" t="s">
        <v>473</v>
      </c>
      <c r="D1018" s="107" t="s">
        <v>2884</v>
      </c>
      <c r="E1018" s="109" t="s">
        <v>355</v>
      </c>
      <c r="F1018" s="109" t="s">
        <v>355</v>
      </c>
      <c r="G1018" s="55" t="s">
        <v>355</v>
      </c>
      <c r="H1018" s="108" t="s">
        <v>402</v>
      </c>
      <c r="I1018" s="111" t="s">
        <v>402</v>
      </c>
      <c r="J1018" s="111" t="s">
        <v>402</v>
      </c>
      <c r="K1018" s="106" t="s">
        <v>403</v>
      </c>
      <c r="L1018" s="55" t="s">
        <v>404</v>
      </c>
      <c r="M1018" s="55" t="s">
        <v>7634</v>
      </c>
    </row>
    <row r="1019" spans="1:13">
      <c r="A1019" s="408" t="s">
        <v>2885</v>
      </c>
      <c r="B1019" s="106" t="s">
        <v>327</v>
      </c>
      <c r="C1019" s="106" t="s">
        <v>473</v>
      </c>
      <c r="D1019" s="107" t="s">
        <v>2886</v>
      </c>
      <c r="E1019" s="109" t="s">
        <v>355</v>
      </c>
      <c r="F1019" s="109" t="s">
        <v>355</v>
      </c>
      <c r="G1019" s="55" t="s">
        <v>355</v>
      </c>
      <c r="H1019" s="108" t="s">
        <v>402</v>
      </c>
      <c r="I1019" s="111" t="s">
        <v>402</v>
      </c>
      <c r="J1019" s="111" t="s">
        <v>402</v>
      </c>
      <c r="K1019" s="106" t="s">
        <v>403</v>
      </c>
      <c r="L1019" s="55" t="s">
        <v>404</v>
      </c>
      <c r="M1019" s="55" t="s">
        <v>7634</v>
      </c>
    </row>
    <row r="1020" spans="1:13">
      <c r="A1020" s="408" t="s">
        <v>2887</v>
      </c>
      <c r="B1020" s="106" t="s">
        <v>327</v>
      </c>
      <c r="C1020" s="106" t="s">
        <v>473</v>
      </c>
      <c r="D1020" s="107" t="s">
        <v>2888</v>
      </c>
      <c r="E1020" s="109" t="s">
        <v>355</v>
      </c>
      <c r="F1020" s="109" t="s">
        <v>355</v>
      </c>
      <c r="G1020" s="55" t="s">
        <v>355</v>
      </c>
      <c r="H1020" s="108" t="s">
        <v>402</v>
      </c>
      <c r="I1020" s="111" t="s">
        <v>402</v>
      </c>
      <c r="J1020" s="111" t="s">
        <v>402</v>
      </c>
      <c r="K1020" s="106" t="s">
        <v>403</v>
      </c>
      <c r="L1020" s="55" t="s">
        <v>404</v>
      </c>
      <c r="M1020" s="55" t="s">
        <v>7634</v>
      </c>
    </row>
    <row r="1021" spans="1:13">
      <c r="A1021" s="408" t="s">
        <v>2889</v>
      </c>
      <c r="B1021" s="106" t="s">
        <v>327</v>
      </c>
      <c r="C1021" s="106" t="s">
        <v>473</v>
      </c>
      <c r="D1021" s="107" t="s">
        <v>2890</v>
      </c>
      <c r="E1021" s="109" t="s">
        <v>355</v>
      </c>
      <c r="F1021" s="109" t="s">
        <v>355</v>
      </c>
      <c r="G1021" s="55" t="s">
        <v>355</v>
      </c>
      <c r="H1021" s="108" t="s">
        <v>402</v>
      </c>
      <c r="I1021" s="111" t="s">
        <v>402</v>
      </c>
      <c r="J1021" s="111" t="s">
        <v>402</v>
      </c>
      <c r="K1021" s="106" t="s">
        <v>403</v>
      </c>
      <c r="L1021" s="55" t="s">
        <v>404</v>
      </c>
      <c r="M1021" s="55" t="s">
        <v>7634</v>
      </c>
    </row>
    <row r="1022" spans="1:13">
      <c r="A1022" s="408" t="s">
        <v>2891</v>
      </c>
      <c r="B1022" s="106" t="s">
        <v>327</v>
      </c>
      <c r="C1022" s="106" t="s">
        <v>473</v>
      </c>
      <c r="D1022" s="107" t="s">
        <v>2890</v>
      </c>
      <c r="E1022" s="109" t="s">
        <v>355</v>
      </c>
      <c r="F1022" s="109" t="s">
        <v>355</v>
      </c>
      <c r="G1022" s="55" t="s">
        <v>355</v>
      </c>
      <c r="H1022" s="108" t="s">
        <v>402</v>
      </c>
      <c r="I1022" s="111" t="s">
        <v>402</v>
      </c>
      <c r="J1022" s="111" t="s">
        <v>402</v>
      </c>
      <c r="K1022" s="106" t="s">
        <v>403</v>
      </c>
      <c r="L1022" s="55" t="s">
        <v>404</v>
      </c>
      <c r="M1022" s="55" t="s">
        <v>7634</v>
      </c>
    </row>
    <row r="1023" spans="1:13">
      <c r="A1023" s="408" t="s">
        <v>2892</v>
      </c>
      <c r="B1023" s="106" t="s">
        <v>327</v>
      </c>
      <c r="C1023" s="106" t="s">
        <v>473</v>
      </c>
      <c r="D1023" s="107" t="s">
        <v>2893</v>
      </c>
      <c r="E1023" s="109" t="s">
        <v>355</v>
      </c>
      <c r="F1023" s="109" t="s">
        <v>355</v>
      </c>
      <c r="G1023" s="55" t="s">
        <v>355</v>
      </c>
      <c r="H1023" s="108" t="s">
        <v>402</v>
      </c>
      <c r="I1023" s="111" t="s">
        <v>402</v>
      </c>
      <c r="J1023" s="111" t="s">
        <v>402</v>
      </c>
      <c r="K1023" s="106" t="s">
        <v>403</v>
      </c>
      <c r="L1023" s="55" t="s">
        <v>404</v>
      </c>
      <c r="M1023" s="55" t="s">
        <v>7634</v>
      </c>
    </row>
    <row r="1024" spans="1:13">
      <c r="A1024" s="408" t="s">
        <v>2894</v>
      </c>
      <c r="B1024" s="106" t="s">
        <v>327</v>
      </c>
      <c r="C1024" s="106" t="s">
        <v>473</v>
      </c>
      <c r="D1024" s="107" t="s">
        <v>2895</v>
      </c>
      <c r="E1024" s="109" t="s">
        <v>355</v>
      </c>
      <c r="F1024" s="109" t="s">
        <v>355</v>
      </c>
      <c r="G1024" s="55" t="s">
        <v>355</v>
      </c>
      <c r="H1024" s="108" t="s">
        <v>402</v>
      </c>
      <c r="I1024" s="111" t="s">
        <v>402</v>
      </c>
      <c r="J1024" s="111" t="s">
        <v>402</v>
      </c>
      <c r="K1024" s="106" t="s">
        <v>403</v>
      </c>
      <c r="L1024" s="55" t="s">
        <v>404</v>
      </c>
      <c r="M1024" s="55" t="s">
        <v>7634</v>
      </c>
    </row>
    <row r="1025" spans="1:13">
      <c r="A1025" s="408" t="s">
        <v>2896</v>
      </c>
      <c r="B1025" s="106" t="s">
        <v>327</v>
      </c>
      <c r="C1025" s="106" t="s">
        <v>473</v>
      </c>
      <c r="D1025" s="107" t="s">
        <v>2897</v>
      </c>
      <c r="E1025" s="109" t="s">
        <v>355</v>
      </c>
      <c r="F1025" s="109" t="s">
        <v>355</v>
      </c>
      <c r="G1025" s="55" t="s">
        <v>355</v>
      </c>
      <c r="H1025" s="108" t="s">
        <v>402</v>
      </c>
      <c r="I1025" s="111" t="s">
        <v>402</v>
      </c>
      <c r="J1025" s="111" t="s">
        <v>402</v>
      </c>
      <c r="K1025" s="106" t="s">
        <v>403</v>
      </c>
      <c r="L1025" s="55" t="s">
        <v>404</v>
      </c>
      <c r="M1025" s="55" t="s">
        <v>7634</v>
      </c>
    </row>
    <row r="1026" spans="1:13">
      <c r="A1026" s="408" t="s">
        <v>2898</v>
      </c>
      <c r="B1026" s="106" t="s">
        <v>327</v>
      </c>
      <c r="C1026" s="106" t="s">
        <v>473</v>
      </c>
      <c r="D1026" s="107" t="s">
        <v>2899</v>
      </c>
      <c r="E1026" s="109" t="s">
        <v>355</v>
      </c>
      <c r="F1026" s="109" t="s">
        <v>355</v>
      </c>
      <c r="G1026" s="55" t="s">
        <v>355</v>
      </c>
      <c r="H1026" s="108" t="s">
        <v>402</v>
      </c>
      <c r="I1026" s="111" t="s">
        <v>402</v>
      </c>
      <c r="J1026" s="111" t="s">
        <v>402</v>
      </c>
      <c r="K1026" s="106" t="s">
        <v>403</v>
      </c>
      <c r="L1026" s="55" t="s">
        <v>404</v>
      </c>
      <c r="M1026" s="55" t="s">
        <v>7634</v>
      </c>
    </row>
    <row r="1027" spans="1:13">
      <c r="A1027" s="408" t="s">
        <v>2900</v>
      </c>
      <c r="B1027" s="106" t="s">
        <v>327</v>
      </c>
      <c r="C1027" s="106" t="s">
        <v>473</v>
      </c>
      <c r="D1027" s="107" t="s">
        <v>2901</v>
      </c>
      <c r="E1027" s="109" t="s">
        <v>355</v>
      </c>
      <c r="F1027" s="109" t="s">
        <v>355</v>
      </c>
      <c r="G1027" s="55" t="s">
        <v>355</v>
      </c>
      <c r="H1027" s="108" t="s">
        <v>402</v>
      </c>
      <c r="I1027" s="111" t="s">
        <v>402</v>
      </c>
      <c r="J1027" s="111" t="s">
        <v>402</v>
      </c>
      <c r="K1027" s="106" t="s">
        <v>403</v>
      </c>
      <c r="L1027" s="55" t="s">
        <v>404</v>
      </c>
      <c r="M1027" s="55" t="s">
        <v>7634</v>
      </c>
    </row>
    <row r="1028" spans="1:13">
      <c r="A1028" s="408" t="s">
        <v>2902</v>
      </c>
      <c r="B1028" s="106" t="s">
        <v>327</v>
      </c>
      <c r="C1028" s="106" t="s">
        <v>473</v>
      </c>
      <c r="D1028" s="107" t="s">
        <v>2903</v>
      </c>
      <c r="E1028" s="109" t="s">
        <v>355</v>
      </c>
      <c r="F1028" s="109" t="s">
        <v>355</v>
      </c>
      <c r="G1028" s="55" t="s">
        <v>355</v>
      </c>
      <c r="H1028" s="108" t="s">
        <v>402</v>
      </c>
      <c r="I1028" s="111" t="s">
        <v>402</v>
      </c>
      <c r="J1028" s="111" t="s">
        <v>402</v>
      </c>
      <c r="K1028" s="106" t="s">
        <v>403</v>
      </c>
      <c r="L1028" s="55" t="s">
        <v>404</v>
      </c>
      <c r="M1028" s="55" t="s">
        <v>7634</v>
      </c>
    </row>
    <row r="1029" spans="1:13">
      <c r="A1029" s="408" t="s">
        <v>2904</v>
      </c>
      <c r="B1029" s="106" t="s">
        <v>327</v>
      </c>
      <c r="C1029" s="106" t="s">
        <v>473</v>
      </c>
      <c r="D1029" s="107" t="s">
        <v>2905</v>
      </c>
      <c r="E1029" s="109" t="s">
        <v>355</v>
      </c>
      <c r="F1029" s="109" t="s">
        <v>355</v>
      </c>
      <c r="G1029" s="55" t="s">
        <v>355</v>
      </c>
      <c r="H1029" s="108" t="s">
        <v>402</v>
      </c>
      <c r="I1029" s="111" t="s">
        <v>402</v>
      </c>
      <c r="J1029" s="111" t="s">
        <v>402</v>
      </c>
      <c r="K1029" s="106" t="s">
        <v>403</v>
      </c>
      <c r="L1029" s="55" t="s">
        <v>404</v>
      </c>
      <c r="M1029" s="55" t="s">
        <v>7634</v>
      </c>
    </row>
    <row r="1030" spans="1:13">
      <c r="A1030" s="408" t="s">
        <v>2906</v>
      </c>
      <c r="B1030" s="106" t="s">
        <v>327</v>
      </c>
      <c r="C1030" s="106" t="s">
        <v>473</v>
      </c>
      <c r="D1030" s="107" t="s">
        <v>2907</v>
      </c>
      <c r="E1030" s="109" t="s">
        <v>355</v>
      </c>
      <c r="F1030" s="109" t="s">
        <v>355</v>
      </c>
      <c r="G1030" s="55" t="s">
        <v>355</v>
      </c>
      <c r="H1030" s="108" t="s">
        <v>402</v>
      </c>
      <c r="I1030" s="111" t="s">
        <v>402</v>
      </c>
      <c r="J1030" s="111" t="s">
        <v>402</v>
      </c>
      <c r="K1030" s="106" t="s">
        <v>403</v>
      </c>
      <c r="L1030" s="55" t="s">
        <v>404</v>
      </c>
      <c r="M1030" s="55" t="s">
        <v>7634</v>
      </c>
    </row>
    <row r="1031" spans="1:13">
      <c r="A1031" s="408" t="s">
        <v>2908</v>
      </c>
      <c r="B1031" s="106" t="s">
        <v>327</v>
      </c>
      <c r="C1031" s="106" t="s">
        <v>473</v>
      </c>
      <c r="D1031" s="107" t="s">
        <v>2909</v>
      </c>
      <c r="E1031" s="109" t="s">
        <v>355</v>
      </c>
      <c r="F1031" s="109" t="s">
        <v>355</v>
      </c>
      <c r="G1031" s="55" t="s">
        <v>355</v>
      </c>
      <c r="H1031" s="108" t="s">
        <v>402</v>
      </c>
      <c r="I1031" s="111" t="s">
        <v>402</v>
      </c>
      <c r="J1031" s="111" t="s">
        <v>402</v>
      </c>
      <c r="K1031" s="106" t="s">
        <v>403</v>
      </c>
      <c r="L1031" s="55" t="s">
        <v>404</v>
      </c>
      <c r="M1031" s="55" t="s">
        <v>7634</v>
      </c>
    </row>
    <row r="1032" spans="1:13">
      <c r="A1032" s="408" t="s">
        <v>2910</v>
      </c>
      <c r="B1032" s="106" t="s">
        <v>327</v>
      </c>
      <c r="C1032" s="106" t="s">
        <v>473</v>
      </c>
      <c r="D1032" s="107" t="s">
        <v>2911</v>
      </c>
      <c r="E1032" s="109" t="s">
        <v>355</v>
      </c>
      <c r="F1032" s="109" t="s">
        <v>355</v>
      </c>
      <c r="G1032" s="55" t="s">
        <v>355</v>
      </c>
      <c r="H1032" s="108" t="s">
        <v>402</v>
      </c>
      <c r="I1032" s="111" t="s">
        <v>402</v>
      </c>
      <c r="J1032" s="111" t="s">
        <v>402</v>
      </c>
      <c r="K1032" s="106" t="s">
        <v>403</v>
      </c>
      <c r="L1032" s="55" t="s">
        <v>404</v>
      </c>
      <c r="M1032" s="55" t="s">
        <v>7634</v>
      </c>
    </row>
    <row r="1033" spans="1:13">
      <c r="A1033" s="408" t="s">
        <v>2912</v>
      </c>
      <c r="B1033" s="106" t="s">
        <v>327</v>
      </c>
      <c r="C1033" s="106" t="s">
        <v>473</v>
      </c>
      <c r="D1033" s="107" t="s">
        <v>2913</v>
      </c>
      <c r="E1033" s="109" t="s">
        <v>355</v>
      </c>
      <c r="F1033" s="109" t="s">
        <v>355</v>
      </c>
      <c r="G1033" s="55" t="s">
        <v>355</v>
      </c>
      <c r="H1033" s="108" t="s">
        <v>402</v>
      </c>
      <c r="I1033" s="111" t="s">
        <v>402</v>
      </c>
      <c r="J1033" s="111" t="s">
        <v>402</v>
      </c>
      <c r="K1033" s="106" t="s">
        <v>403</v>
      </c>
      <c r="L1033" s="55" t="s">
        <v>404</v>
      </c>
      <c r="M1033" s="55" t="s">
        <v>7634</v>
      </c>
    </row>
    <row r="1034" spans="1:13">
      <c r="A1034" s="408" t="s">
        <v>2914</v>
      </c>
      <c r="B1034" s="106" t="s">
        <v>327</v>
      </c>
      <c r="C1034" s="106" t="s">
        <v>473</v>
      </c>
      <c r="D1034" s="107" t="s">
        <v>2915</v>
      </c>
      <c r="E1034" s="109" t="s">
        <v>355</v>
      </c>
      <c r="F1034" s="109" t="s">
        <v>355</v>
      </c>
      <c r="G1034" s="55" t="s">
        <v>355</v>
      </c>
      <c r="H1034" s="108" t="s">
        <v>402</v>
      </c>
      <c r="I1034" s="111" t="s">
        <v>402</v>
      </c>
      <c r="J1034" s="111" t="s">
        <v>402</v>
      </c>
      <c r="K1034" s="106" t="s">
        <v>403</v>
      </c>
      <c r="L1034" s="55" t="s">
        <v>404</v>
      </c>
      <c r="M1034" s="55" t="s">
        <v>7634</v>
      </c>
    </row>
    <row r="1035" spans="1:13">
      <c r="A1035" s="408" t="s">
        <v>2916</v>
      </c>
      <c r="B1035" s="106" t="s">
        <v>327</v>
      </c>
      <c r="C1035" s="106" t="s">
        <v>473</v>
      </c>
      <c r="D1035" s="107" t="s">
        <v>2917</v>
      </c>
      <c r="E1035" s="109" t="s">
        <v>355</v>
      </c>
      <c r="F1035" s="109" t="s">
        <v>355</v>
      </c>
      <c r="G1035" s="55" t="s">
        <v>355</v>
      </c>
      <c r="H1035" s="108" t="s">
        <v>402</v>
      </c>
      <c r="I1035" s="111" t="s">
        <v>402</v>
      </c>
      <c r="J1035" s="111" t="s">
        <v>402</v>
      </c>
      <c r="K1035" s="106" t="s">
        <v>403</v>
      </c>
      <c r="L1035" s="55" t="s">
        <v>404</v>
      </c>
      <c r="M1035" s="55" t="s">
        <v>7634</v>
      </c>
    </row>
    <row r="1036" spans="1:13">
      <c r="A1036" s="408" t="s">
        <v>2918</v>
      </c>
      <c r="B1036" s="106" t="s">
        <v>327</v>
      </c>
      <c r="C1036" s="106" t="s">
        <v>473</v>
      </c>
      <c r="D1036" s="107" t="s">
        <v>2919</v>
      </c>
      <c r="E1036" s="109" t="s">
        <v>355</v>
      </c>
      <c r="F1036" s="109" t="s">
        <v>355</v>
      </c>
      <c r="G1036" s="55" t="s">
        <v>355</v>
      </c>
      <c r="H1036" s="108" t="s">
        <v>402</v>
      </c>
      <c r="I1036" s="111" t="s">
        <v>402</v>
      </c>
      <c r="J1036" s="111" t="s">
        <v>402</v>
      </c>
      <c r="K1036" s="106" t="s">
        <v>403</v>
      </c>
      <c r="L1036" s="55" t="s">
        <v>404</v>
      </c>
      <c r="M1036" s="55" t="s">
        <v>7634</v>
      </c>
    </row>
    <row r="1037" spans="1:13">
      <c r="A1037" s="408" t="s">
        <v>2920</v>
      </c>
      <c r="B1037" s="106" t="s">
        <v>327</v>
      </c>
      <c r="C1037" s="106" t="s">
        <v>473</v>
      </c>
      <c r="D1037" s="107" t="s">
        <v>2921</v>
      </c>
      <c r="E1037" s="109" t="s">
        <v>355</v>
      </c>
      <c r="F1037" s="109" t="s">
        <v>355</v>
      </c>
      <c r="G1037" s="55" t="s">
        <v>355</v>
      </c>
      <c r="H1037" s="108" t="s">
        <v>402</v>
      </c>
      <c r="I1037" s="111" t="s">
        <v>402</v>
      </c>
      <c r="J1037" s="111" t="s">
        <v>402</v>
      </c>
      <c r="K1037" s="106" t="s">
        <v>403</v>
      </c>
      <c r="L1037" s="55" t="s">
        <v>404</v>
      </c>
      <c r="M1037" s="55" t="s">
        <v>7634</v>
      </c>
    </row>
    <row r="1038" spans="1:13">
      <c r="A1038" s="401" t="s">
        <v>2922</v>
      </c>
      <c r="B1038" s="106" t="s">
        <v>327</v>
      </c>
      <c r="C1038" s="106" t="s">
        <v>473</v>
      </c>
      <c r="D1038" s="109" t="s">
        <v>2923</v>
      </c>
      <c r="E1038" s="109" t="s">
        <v>2924</v>
      </c>
      <c r="F1038" s="109" t="s">
        <v>2925</v>
      </c>
      <c r="G1038" s="112" t="s">
        <v>2926</v>
      </c>
      <c r="H1038" s="115" t="s">
        <v>402</v>
      </c>
      <c r="I1038" s="111" t="s">
        <v>402</v>
      </c>
      <c r="J1038" s="111" t="s">
        <v>402</v>
      </c>
      <c r="K1038" s="115" t="s">
        <v>403</v>
      </c>
      <c r="L1038" s="55" t="s">
        <v>404</v>
      </c>
      <c r="M1038" s="113" t="s">
        <v>383</v>
      </c>
    </row>
    <row r="1039" spans="1:13">
      <c r="A1039" s="408" t="s">
        <v>2927</v>
      </c>
      <c r="B1039" s="106" t="s">
        <v>327</v>
      </c>
      <c r="C1039" s="106" t="s">
        <v>473</v>
      </c>
      <c r="D1039" s="107" t="s">
        <v>2928</v>
      </c>
      <c r="E1039" s="109" t="s">
        <v>355</v>
      </c>
      <c r="F1039" s="109" t="s">
        <v>355</v>
      </c>
      <c r="G1039" s="55" t="s">
        <v>355</v>
      </c>
      <c r="H1039" s="108" t="s">
        <v>402</v>
      </c>
      <c r="I1039" s="111" t="s">
        <v>402</v>
      </c>
      <c r="J1039" s="111" t="s">
        <v>402</v>
      </c>
      <c r="K1039" s="106" t="s">
        <v>403</v>
      </c>
      <c r="L1039" s="55" t="s">
        <v>404</v>
      </c>
      <c r="M1039" s="55" t="s">
        <v>7634</v>
      </c>
    </row>
    <row r="1040" spans="1:13">
      <c r="A1040" s="408" t="s">
        <v>2929</v>
      </c>
      <c r="B1040" s="106" t="s">
        <v>327</v>
      </c>
      <c r="C1040" s="106" t="s">
        <v>473</v>
      </c>
      <c r="D1040" s="107" t="s">
        <v>2930</v>
      </c>
      <c r="E1040" s="109" t="s">
        <v>355</v>
      </c>
      <c r="F1040" s="109" t="s">
        <v>355</v>
      </c>
      <c r="G1040" s="55" t="s">
        <v>355</v>
      </c>
      <c r="H1040" s="108" t="s">
        <v>402</v>
      </c>
      <c r="I1040" s="111" t="s">
        <v>402</v>
      </c>
      <c r="J1040" s="111" t="s">
        <v>402</v>
      </c>
      <c r="K1040" s="106" t="s">
        <v>403</v>
      </c>
      <c r="L1040" s="55" t="s">
        <v>404</v>
      </c>
      <c r="M1040" s="55" t="s">
        <v>7634</v>
      </c>
    </row>
    <row r="1041" spans="1:13">
      <c r="A1041" s="401" t="s">
        <v>7641</v>
      </c>
      <c r="B1041" s="106" t="s">
        <v>327</v>
      </c>
      <c r="C1041" s="106" t="s">
        <v>473</v>
      </c>
      <c r="D1041" s="133" t="s">
        <v>7642</v>
      </c>
      <c r="E1041" s="133" t="s">
        <v>7643</v>
      </c>
      <c r="F1041" s="133" t="s">
        <v>7634</v>
      </c>
      <c r="G1041" s="108" t="s">
        <v>7644</v>
      </c>
      <c r="H1041" s="108" t="s">
        <v>402</v>
      </c>
      <c r="I1041" s="111" t="s">
        <v>402</v>
      </c>
      <c r="J1041" s="111" t="s">
        <v>402</v>
      </c>
      <c r="K1041" s="106" t="s">
        <v>403</v>
      </c>
      <c r="L1041" s="55" t="s">
        <v>5188</v>
      </c>
      <c r="M1041" s="55" t="s">
        <v>7634</v>
      </c>
    </row>
    <row r="1042" spans="1:13">
      <c r="A1042" s="408" t="s">
        <v>2931</v>
      </c>
      <c r="B1042" s="106" t="s">
        <v>327</v>
      </c>
      <c r="C1042" s="106" t="s">
        <v>473</v>
      </c>
      <c r="D1042" s="107" t="s">
        <v>2932</v>
      </c>
      <c r="E1042" s="109" t="s">
        <v>355</v>
      </c>
      <c r="F1042" s="109" t="s">
        <v>355</v>
      </c>
      <c r="G1042" s="55" t="s">
        <v>355</v>
      </c>
      <c r="H1042" s="108" t="s">
        <v>402</v>
      </c>
      <c r="I1042" s="111" t="s">
        <v>402</v>
      </c>
      <c r="J1042" s="111" t="s">
        <v>402</v>
      </c>
      <c r="K1042" s="106" t="s">
        <v>403</v>
      </c>
      <c r="L1042" s="55" t="s">
        <v>404</v>
      </c>
      <c r="M1042" s="55" t="s">
        <v>7634</v>
      </c>
    </row>
    <row r="1043" spans="1:13">
      <c r="A1043" s="408" t="s">
        <v>2933</v>
      </c>
      <c r="B1043" s="106" t="s">
        <v>327</v>
      </c>
      <c r="C1043" s="106" t="s">
        <v>473</v>
      </c>
      <c r="D1043" s="107" t="s">
        <v>2934</v>
      </c>
      <c r="E1043" s="109" t="s">
        <v>355</v>
      </c>
      <c r="F1043" s="109" t="s">
        <v>355</v>
      </c>
      <c r="G1043" s="55" t="s">
        <v>355</v>
      </c>
      <c r="H1043" s="108" t="s">
        <v>402</v>
      </c>
      <c r="I1043" s="111" t="s">
        <v>402</v>
      </c>
      <c r="J1043" s="111" t="s">
        <v>402</v>
      </c>
      <c r="K1043" s="106" t="s">
        <v>403</v>
      </c>
      <c r="L1043" s="55" t="s">
        <v>404</v>
      </c>
      <c r="M1043" s="55" t="s">
        <v>7634</v>
      </c>
    </row>
    <row r="1044" spans="1:13">
      <c r="A1044" s="408" t="s">
        <v>2935</v>
      </c>
      <c r="B1044" s="106" t="s">
        <v>327</v>
      </c>
      <c r="C1044" s="106" t="s">
        <v>473</v>
      </c>
      <c r="D1044" s="107" t="s">
        <v>2936</v>
      </c>
      <c r="E1044" s="109" t="s">
        <v>355</v>
      </c>
      <c r="F1044" s="109" t="s">
        <v>355</v>
      </c>
      <c r="G1044" s="55" t="s">
        <v>355</v>
      </c>
      <c r="H1044" s="108" t="s">
        <v>402</v>
      </c>
      <c r="I1044" s="111" t="s">
        <v>402</v>
      </c>
      <c r="J1044" s="111" t="s">
        <v>402</v>
      </c>
      <c r="K1044" s="106" t="s">
        <v>403</v>
      </c>
      <c r="L1044" s="55" t="s">
        <v>404</v>
      </c>
      <c r="M1044" s="55" t="s">
        <v>7634</v>
      </c>
    </row>
    <row r="1045" spans="1:13">
      <c r="A1045" s="408" t="s">
        <v>2937</v>
      </c>
      <c r="B1045" s="106" t="s">
        <v>327</v>
      </c>
      <c r="C1045" s="106" t="s">
        <v>473</v>
      </c>
      <c r="D1045" s="107" t="s">
        <v>2938</v>
      </c>
      <c r="E1045" s="109" t="s">
        <v>355</v>
      </c>
      <c r="F1045" s="109" t="s">
        <v>355</v>
      </c>
      <c r="G1045" s="55" t="s">
        <v>355</v>
      </c>
      <c r="H1045" s="108" t="s">
        <v>402</v>
      </c>
      <c r="I1045" s="111" t="s">
        <v>402</v>
      </c>
      <c r="J1045" s="111" t="s">
        <v>402</v>
      </c>
      <c r="K1045" s="106" t="s">
        <v>403</v>
      </c>
      <c r="L1045" s="55" t="s">
        <v>404</v>
      </c>
      <c r="M1045" s="55" t="s">
        <v>7634</v>
      </c>
    </row>
    <row r="1046" spans="1:13">
      <c r="A1046" s="401" t="s">
        <v>2939</v>
      </c>
      <c r="B1046" s="106" t="s">
        <v>327</v>
      </c>
      <c r="C1046" s="106" t="s">
        <v>473</v>
      </c>
      <c r="D1046" s="110" t="s">
        <v>383</v>
      </c>
      <c r="E1046" s="110" t="s">
        <v>383</v>
      </c>
      <c r="F1046" s="110" t="s">
        <v>383</v>
      </c>
      <c r="G1046" s="112" t="s">
        <v>2940</v>
      </c>
      <c r="H1046" s="115" t="s">
        <v>402</v>
      </c>
      <c r="I1046" s="111" t="s">
        <v>402</v>
      </c>
      <c r="J1046" s="111" t="s">
        <v>402</v>
      </c>
      <c r="K1046" s="106" t="s">
        <v>403</v>
      </c>
      <c r="L1046" s="55" t="s">
        <v>404</v>
      </c>
      <c r="M1046" s="55" t="s">
        <v>1173</v>
      </c>
    </row>
    <row r="1047" spans="1:13">
      <c r="A1047" s="408" t="s">
        <v>2941</v>
      </c>
      <c r="B1047" s="106" t="s">
        <v>327</v>
      </c>
      <c r="C1047" s="106" t="s">
        <v>473</v>
      </c>
      <c r="D1047" s="107" t="s">
        <v>2942</v>
      </c>
      <c r="E1047" s="109" t="s">
        <v>355</v>
      </c>
      <c r="F1047" s="109" t="s">
        <v>355</v>
      </c>
      <c r="G1047" s="55" t="s">
        <v>355</v>
      </c>
      <c r="H1047" s="108" t="s">
        <v>402</v>
      </c>
      <c r="I1047" s="111" t="s">
        <v>402</v>
      </c>
      <c r="J1047" s="111" t="s">
        <v>402</v>
      </c>
      <c r="K1047" s="106" t="s">
        <v>403</v>
      </c>
      <c r="L1047" s="55" t="s">
        <v>404</v>
      </c>
      <c r="M1047" s="55" t="s">
        <v>7634</v>
      </c>
    </row>
    <row r="1048" spans="1:13">
      <c r="A1048" s="408" t="s">
        <v>2943</v>
      </c>
      <c r="B1048" s="106" t="s">
        <v>327</v>
      </c>
      <c r="C1048" s="106" t="s">
        <v>473</v>
      </c>
      <c r="D1048" s="107" t="s">
        <v>2944</v>
      </c>
      <c r="E1048" s="109" t="s">
        <v>355</v>
      </c>
      <c r="F1048" s="109" t="s">
        <v>355</v>
      </c>
      <c r="G1048" s="55" t="s">
        <v>355</v>
      </c>
      <c r="H1048" s="108" t="s">
        <v>402</v>
      </c>
      <c r="I1048" s="111" t="s">
        <v>402</v>
      </c>
      <c r="J1048" s="111" t="s">
        <v>402</v>
      </c>
      <c r="K1048" s="106" t="s">
        <v>403</v>
      </c>
      <c r="L1048" s="55" t="s">
        <v>404</v>
      </c>
      <c r="M1048" s="55" t="s">
        <v>7634</v>
      </c>
    </row>
    <row r="1049" spans="1:13">
      <c r="A1049" s="408" t="s">
        <v>2945</v>
      </c>
      <c r="B1049" s="106" t="s">
        <v>327</v>
      </c>
      <c r="C1049" s="106" t="s">
        <v>473</v>
      </c>
      <c r="D1049" s="107" t="s">
        <v>2946</v>
      </c>
      <c r="E1049" s="109" t="s">
        <v>355</v>
      </c>
      <c r="F1049" s="109" t="s">
        <v>355</v>
      </c>
      <c r="G1049" s="55" t="s">
        <v>355</v>
      </c>
      <c r="H1049" s="108" t="s">
        <v>402</v>
      </c>
      <c r="I1049" s="111" t="s">
        <v>402</v>
      </c>
      <c r="J1049" s="111" t="s">
        <v>402</v>
      </c>
      <c r="K1049" s="106" t="s">
        <v>403</v>
      </c>
      <c r="L1049" s="55" t="s">
        <v>404</v>
      </c>
      <c r="M1049" s="55" t="s">
        <v>7634</v>
      </c>
    </row>
    <row r="1050" spans="1:13">
      <c r="A1050" s="408" t="s">
        <v>2947</v>
      </c>
      <c r="B1050" s="106" t="s">
        <v>327</v>
      </c>
      <c r="C1050" s="106" t="s">
        <v>473</v>
      </c>
      <c r="D1050" s="107" t="s">
        <v>2948</v>
      </c>
      <c r="E1050" s="109" t="s">
        <v>355</v>
      </c>
      <c r="F1050" s="109" t="s">
        <v>355</v>
      </c>
      <c r="G1050" s="55" t="s">
        <v>355</v>
      </c>
      <c r="H1050" s="108" t="s">
        <v>402</v>
      </c>
      <c r="I1050" s="111" t="s">
        <v>402</v>
      </c>
      <c r="J1050" s="111" t="s">
        <v>402</v>
      </c>
      <c r="K1050" s="106" t="s">
        <v>403</v>
      </c>
      <c r="L1050" s="55" t="s">
        <v>404</v>
      </c>
      <c r="M1050" s="55" t="s">
        <v>7634</v>
      </c>
    </row>
    <row r="1051" spans="1:13">
      <c r="A1051" s="408" t="s">
        <v>2949</v>
      </c>
      <c r="B1051" s="106" t="s">
        <v>327</v>
      </c>
      <c r="C1051" s="106" t="s">
        <v>473</v>
      </c>
      <c r="D1051" s="107" t="s">
        <v>2950</v>
      </c>
      <c r="E1051" s="109" t="s">
        <v>355</v>
      </c>
      <c r="F1051" s="109" t="s">
        <v>355</v>
      </c>
      <c r="G1051" s="55" t="s">
        <v>355</v>
      </c>
      <c r="H1051" s="108" t="s">
        <v>402</v>
      </c>
      <c r="I1051" s="111" t="s">
        <v>402</v>
      </c>
      <c r="J1051" s="111" t="s">
        <v>402</v>
      </c>
      <c r="K1051" s="106" t="s">
        <v>403</v>
      </c>
      <c r="L1051" s="55" t="s">
        <v>404</v>
      </c>
      <c r="M1051" s="55" t="s">
        <v>7634</v>
      </c>
    </row>
    <row r="1052" spans="1:13">
      <c r="A1052" s="408" t="s">
        <v>2951</v>
      </c>
      <c r="B1052" s="106" t="s">
        <v>327</v>
      </c>
      <c r="C1052" s="106" t="s">
        <v>473</v>
      </c>
      <c r="D1052" s="107" t="s">
        <v>2952</v>
      </c>
      <c r="E1052" s="109" t="s">
        <v>355</v>
      </c>
      <c r="F1052" s="109" t="s">
        <v>355</v>
      </c>
      <c r="G1052" s="55" t="s">
        <v>355</v>
      </c>
      <c r="H1052" s="108" t="s">
        <v>402</v>
      </c>
      <c r="I1052" s="111" t="s">
        <v>402</v>
      </c>
      <c r="J1052" s="111" t="s">
        <v>402</v>
      </c>
      <c r="K1052" s="106" t="s">
        <v>403</v>
      </c>
      <c r="L1052" s="55" t="s">
        <v>404</v>
      </c>
      <c r="M1052" s="55" t="s">
        <v>7634</v>
      </c>
    </row>
    <row r="1053" spans="1:13">
      <c r="A1053" s="408" t="s">
        <v>2953</v>
      </c>
      <c r="B1053" s="106" t="s">
        <v>327</v>
      </c>
      <c r="C1053" s="106" t="s">
        <v>473</v>
      </c>
      <c r="D1053" s="107" t="s">
        <v>2954</v>
      </c>
      <c r="E1053" s="109" t="s">
        <v>355</v>
      </c>
      <c r="F1053" s="109" t="s">
        <v>355</v>
      </c>
      <c r="G1053" s="55" t="s">
        <v>355</v>
      </c>
      <c r="H1053" s="108" t="s">
        <v>402</v>
      </c>
      <c r="I1053" s="111" t="s">
        <v>402</v>
      </c>
      <c r="J1053" s="111" t="s">
        <v>402</v>
      </c>
      <c r="K1053" s="106" t="s">
        <v>403</v>
      </c>
      <c r="L1053" s="55" t="s">
        <v>404</v>
      </c>
      <c r="M1053" s="55" t="s">
        <v>7634</v>
      </c>
    </row>
    <row r="1054" spans="1:13">
      <c r="A1054" s="408" t="s">
        <v>2955</v>
      </c>
      <c r="B1054" s="106" t="s">
        <v>327</v>
      </c>
      <c r="C1054" s="106" t="s">
        <v>473</v>
      </c>
      <c r="D1054" s="107" t="s">
        <v>2956</v>
      </c>
      <c r="E1054" s="109" t="s">
        <v>355</v>
      </c>
      <c r="F1054" s="109" t="s">
        <v>355</v>
      </c>
      <c r="G1054" s="55" t="s">
        <v>355</v>
      </c>
      <c r="H1054" s="108" t="s">
        <v>402</v>
      </c>
      <c r="I1054" s="111" t="s">
        <v>402</v>
      </c>
      <c r="J1054" s="111" t="s">
        <v>402</v>
      </c>
      <c r="K1054" s="106" t="s">
        <v>403</v>
      </c>
      <c r="L1054" s="55" t="s">
        <v>404</v>
      </c>
      <c r="M1054" s="55" t="s">
        <v>7634</v>
      </c>
    </row>
    <row r="1055" spans="1:13">
      <c r="A1055" s="408" t="s">
        <v>2957</v>
      </c>
      <c r="B1055" s="106" t="s">
        <v>327</v>
      </c>
      <c r="C1055" s="106" t="s">
        <v>473</v>
      </c>
      <c r="D1055" s="107" t="s">
        <v>2958</v>
      </c>
      <c r="E1055" s="109" t="s">
        <v>355</v>
      </c>
      <c r="F1055" s="109" t="s">
        <v>355</v>
      </c>
      <c r="G1055" s="55" t="s">
        <v>355</v>
      </c>
      <c r="H1055" s="108" t="s">
        <v>402</v>
      </c>
      <c r="I1055" s="111" t="s">
        <v>402</v>
      </c>
      <c r="J1055" s="111" t="s">
        <v>402</v>
      </c>
      <c r="K1055" s="106" t="s">
        <v>403</v>
      </c>
      <c r="L1055" s="55" t="s">
        <v>404</v>
      </c>
      <c r="M1055" s="55" t="s">
        <v>7634</v>
      </c>
    </row>
    <row r="1056" spans="1:13">
      <c r="A1056" s="408" t="s">
        <v>2959</v>
      </c>
      <c r="B1056" s="106" t="s">
        <v>327</v>
      </c>
      <c r="C1056" s="106" t="s">
        <v>473</v>
      </c>
      <c r="D1056" s="107" t="s">
        <v>2958</v>
      </c>
      <c r="E1056" s="109" t="s">
        <v>355</v>
      </c>
      <c r="F1056" s="109" t="s">
        <v>355</v>
      </c>
      <c r="G1056" s="55" t="s">
        <v>355</v>
      </c>
      <c r="H1056" s="108" t="s">
        <v>402</v>
      </c>
      <c r="I1056" s="111" t="s">
        <v>402</v>
      </c>
      <c r="J1056" s="111" t="s">
        <v>402</v>
      </c>
      <c r="K1056" s="106" t="s">
        <v>403</v>
      </c>
      <c r="L1056" s="55" t="s">
        <v>404</v>
      </c>
      <c r="M1056" s="55" t="s">
        <v>7634</v>
      </c>
    </row>
    <row r="1057" spans="1:13">
      <c r="A1057" s="408" t="s">
        <v>2960</v>
      </c>
      <c r="B1057" s="106" t="s">
        <v>327</v>
      </c>
      <c r="C1057" s="106" t="s">
        <v>473</v>
      </c>
      <c r="D1057" s="107" t="s">
        <v>2961</v>
      </c>
      <c r="E1057" s="109" t="s">
        <v>355</v>
      </c>
      <c r="F1057" s="109" t="s">
        <v>355</v>
      </c>
      <c r="G1057" s="55" t="s">
        <v>355</v>
      </c>
      <c r="H1057" s="108" t="s">
        <v>402</v>
      </c>
      <c r="I1057" s="111" t="s">
        <v>402</v>
      </c>
      <c r="J1057" s="111" t="s">
        <v>402</v>
      </c>
      <c r="K1057" s="106" t="s">
        <v>403</v>
      </c>
      <c r="L1057" s="55" t="s">
        <v>404</v>
      </c>
      <c r="M1057" s="55" t="s">
        <v>7634</v>
      </c>
    </row>
    <row r="1058" spans="1:13">
      <c r="A1058" s="403" t="s">
        <v>2962</v>
      </c>
      <c r="B1058" s="106" t="s">
        <v>327</v>
      </c>
      <c r="C1058" s="106" t="s">
        <v>473</v>
      </c>
      <c r="D1058" s="109" t="s">
        <v>2963</v>
      </c>
      <c r="E1058" s="109" t="s">
        <v>2964</v>
      </c>
      <c r="F1058" s="109" t="s">
        <v>2965</v>
      </c>
      <c r="G1058" s="117" t="s">
        <v>383</v>
      </c>
      <c r="H1058" s="115" t="s">
        <v>402</v>
      </c>
      <c r="I1058" s="111" t="s">
        <v>402</v>
      </c>
      <c r="J1058" s="111" t="s">
        <v>402</v>
      </c>
      <c r="K1058" s="115" t="s">
        <v>403</v>
      </c>
      <c r="L1058" s="55" t="s">
        <v>404</v>
      </c>
      <c r="M1058" s="113" t="s">
        <v>1173</v>
      </c>
    </row>
    <row r="1059" spans="1:13">
      <c r="A1059" s="408" t="s">
        <v>2966</v>
      </c>
      <c r="B1059" s="106" t="s">
        <v>327</v>
      </c>
      <c r="C1059" s="106" t="s">
        <v>473</v>
      </c>
      <c r="D1059" s="107" t="s">
        <v>2956</v>
      </c>
      <c r="E1059" s="109" t="s">
        <v>355</v>
      </c>
      <c r="F1059" s="109" t="s">
        <v>355</v>
      </c>
      <c r="G1059" s="55" t="s">
        <v>355</v>
      </c>
      <c r="H1059" s="108" t="s">
        <v>402</v>
      </c>
      <c r="I1059" s="111" t="s">
        <v>402</v>
      </c>
      <c r="J1059" s="111" t="s">
        <v>402</v>
      </c>
      <c r="K1059" s="106" t="s">
        <v>403</v>
      </c>
      <c r="L1059" s="55" t="s">
        <v>404</v>
      </c>
      <c r="M1059" s="55" t="s">
        <v>7634</v>
      </c>
    </row>
    <row r="1060" spans="1:13">
      <c r="A1060" s="408" t="s">
        <v>2967</v>
      </c>
      <c r="B1060" s="106" t="s">
        <v>327</v>
      </c>
      <c r="C1060" s="106" t="s">
        <v>473</v>
      </c>
      <c r="D1060" s="107" t="s">
        <v>2968</v>
      </c>
      <c r="E1060" s="109" t="s">
        <v>355</v>
      </c>
      <c r="F1060" s="109" t="s">
        <v>355</v>
      </c>
      <c r="G1060" s="55" t="s">
        <v>355</v>
      </c>
      <c r="H1060" s="108" t="s">
        <v>402</v>
      </c>
      <c r="I1060" s="111" t="s">
        <v>402</v>
      </c>
      <c r="J1060" s="111" t="s">
        <v>402</v>
      </c>
      <c r="K1060" s="106" t="s">
        <v>403</v>
      </c>
      <c r="L1060" s="55" t="s">
        <v>404</v>
      </c>
      <c r="M1060" s="55" t="s">
        <v>7634</v>
      </c>
    </row>
    <row r="1061" spans="1:13">
      <c r="A1061" s="408" t="s">
        <v>2969</v>
      </c>
      <c r="B1061" s="106" t="s">
        <v>327</v>
      </c>
      <c r="C1061" s="106" t="s">
        <v>473</v>
      </c>
      <c r="D1061" s="107" t="s">
        <v>2970</v>
      </c>
      <c r="E1061" s="109" t="s">
        <v>355</v>
      </c>
      <c r="F1061" s="109" t="s">
        <v>355</v>
      </c>
      <c r="G1061" s="55" t="s">
        <v>355</v>
      </c>
      <c r="H1061" s="108" t="s">
        <v>402</v>
      </c>
      <c r="I1061" s="111" t="s">
        <v>402</v>
      </c>
      <c r="J1061" s="111" t="s">
        <v>402</v>
      </c>
      <c r="K1061" s="106" t="s">
        <v>403</v>
      </c>
      <c r="L1061" s="55" t="s">
        <v>404</v>
      </c>
      <c r="M1061" s="55" t="s">
        <v>7634</v>
      </c>
    </row>
    <row r="1062" spans="1:13">
      <c r="A1062" s="408" t="s">
        <v>2971</v>
      </c>
      <c r="B1062" s="106" t="s">
        <v>327</v>
      </c>
      <c r="C1062" s="106" t="s">
        <v>473</v>
      </c>
      <c r="D1062" s="107" t="s">
        <v>2972</v>
      </c>
      <c r="E1062" s="109" t="s">
        <v>355</v>
      </c>
      <c r="F1062" s="109" t="s">
        <v>355</v>
      </c>
      <c r="G1062" s="55" t="s">
        <v>355</v>
      </c>
      <c r="H1062" s="108" t="s">
        <v>402</v>
      </c>
      <c r="I1062" s="111" t="s">
        <v>402</v>
      </c>
      <c r="J1062" s="111" t="s">
        <v>402</v>
      </c>
      <c r="K1062" s="106" t="s">
        <v>403</v>
      </c>
      <c r="L1062" s="55" t="s">
        <v>404</v>
      </c>
      <c r="M1062" s="55" t="s">
        <v>7634</v>
      </c>
    </row>
    <row r="1063" spans="1:13">
      <c r="A1063" s="408" t="s">
        <v>2973</v>
      </c>
      <c r="B1063" s="106" t="s">
        <v>327</v>
      </c>
      <c r="C1063" s="106" t="s">
        <v>473</v>
      </c>
      <c r="D1063" s="107" t="s">
        <v>2974</v>
      </c>
      <c r="E1063" s="109" t="s">
        <v>355</v>
      </c>
      <c r="F1063" s="109" t="s">
        <v>355</v>
      </c>
      <c r="G1063" s="55" t="s">
        <v>355</v>
      </c>
      <c r="H1063" s="108" t="s">
        <v>402</v>
      </c>
      <c r="I1063" s="111" t="s">
        <v>402</v>
      </c>
      <c r="J1063" s="111" t="s">
        <v>402</v>
      </c>
      <c r="K1063" s="106" t="s">
        <v>403</v>
      </c>
      <c r="L1063" s="55" t="s">
        <v>404</v>
      </c>
      <c r="M1063" s="55" t="s">
        <v>7634</v>
      </c>
    </row>
    <row r="1064" spans="1:13">
      <c r="A1064" s="408" t="s">
        <v>2975</v>
      </c>
      <c r="B1064" s="106" t="s">
        <v>327</v>
      </c>
      <c r="C1064" s="106" t="s">
        <v>473</v>
      </c>
      <c r="D1064" s="107" t="s">
        <v>2976</v>
      </c>
      <c r="E1064" s="109" t="s">
        <v>355</v>
      </c>
      <c r="F1064" s="109" t="s">
        <v>355</v>
      </c>
      <c r="G1064" s="55" t="s">
        <v>355</v>
      </c>
      <c r="H1064" s="108" t="s">
        <v>402</v>
      </c>
      <c r="I1064" s="111" t="s">
        <v>402</v>
      </c>
      <c r="J1064" s="111" t="s">
        <v>402</v>
      </c>
      <c r="K1064" s="106" t="s">
        <v>403</v>
      </c>
      <c r="L1064" s="55" t="s">
        <v>404</v>
      </c>
      <c r="M1064" s="55" t="s">
        <v>7634</v>
      </c>
    </row>
    <row r="1065" spans="1:13">
      <c r="A1065" s="408" t="s">
        <v>2977</v>
      </c>
      <c r="B1065" s="106" t="s">
        <v>327</v>
      </c>
      <c r="C1065" s="106" t="s">
        <v>473</v>
      </c>
      <c r="D1065" s="107" t="s">
        <v>2978</v>
      </c>
      <c r="E1065" s="109" t="s">
        <v>355</v>
      </c>
      <c r="F1065" s="109" t="s">
        <v>355</v>
      </c>
      <c r="G1065" s="55" t="s">
        <v>355</v>
      </c>
      <c r="H1065" s="108" t="s">
        <v>402</v>
      </c>
      <c r="I1065" s="111" t="s">
        <v>402</v>
      </c>
      <c r="J1065" s="111" t="s">
        <v>402</v>
      </c>
      <c r="K1065" s="106" t="s">
        <v>403</v>
      </c>
      <c r="L1065" s="55" t="s">
        <v>404</v>
      </c>
      <c r="M1065" s="55" t="s">
        <v>7634</v>
      </c>
    </row>
    <row r="1066" spans="1:13">
      <c r="A1066" s="408" t="s">
        <v>2979</v>
      </c>
      <c r="B1066" s="106" t="s">
        <v>327</v>
      </c>
      <c r="C1066" s="106" t="s">
        <v>473</v>
      </c>
      <c r="D1066" s="107" t="s">
        <v>2980</v>
      </c>
      <c r="E1066" s="109" t="s">
        <v>355</v>
      </c>
      <c r="F1066" s="109" t="s">
        <v>355</v>
      </c>
      <c r="G1066" s="55" t="s">
        <v>355</v>
      </c>
      <c r="H1066" s="108" t="s">
        <v>402</v>
      </c>
      <c r="I1066" s="111" t="s">
        <v>402</v>
      </c>
      <c r="J1066" s="111" t="s">
        <v>402</v>
      </c>
      <c r="K1066" s="106" t="s">
        <v>403</v>
      </c>
      <c r="L1066" s="55" t="s">
        <v>404</v>
      </c>
      <c r="M1066" s="55" t="s">
        <v>7634</v>
      </c>
    </row>
    <row r="1067" spans="1:13">
      <c r="A1067" s="408" t="s">
        <v>2981</v>
      </c>
      <c r="B1067" s="106" t="s">
        <v>327</v>
      </c>
      <c r="C1067" s="106" t="s">
        <v>473</v>
      </c>
      <c r="D1067" s="107" t="s">
        <v>2982</v>
      </c>
      <c r="E1067" s="109" t="s">
        <v>355</v>
      </c>
      <c r="F1067" s="109" t="s">
        <v>355</v>
      </c>
      <c r="G1067" s="55" t="s">
        <v>355</v>
      </c>
      <c r="H1067" s="108" t="s">
        <v>402</v>
      </c>
      <c r="I1067" s="111" t="s">
        <v>402</v>
      </c>
      <c r="J1067" s="111" t="s">
        <v>402</v>
      </c>
      <c r="K1067" s="106" t="s">
        <v>403</v>
      </c>
      <c r="L1067" s="55" t="s">
        <v>404</v>
      </c>
      <c r="M1067" s="55" t="s">
        <v>7634</v>
      </c>
    </row>
    <row r="1068" spans="1:13">
      <c r="A1068" s="408" t="s">
        <v>2983</v>
      </c>
      <c r="B1068" s="106" t="s">
        <v>327</v>
      </c>
      <c r="C1068" s="106" t="s">
        <v>473</v>
      </c>
      <c r="D1068" s="107" t="s">
        <v>2984</v>
      </c>
      <c r="E1068" s="109" t="s">
        <v>355</v>
      </c>
      <c r="F1068" s="109" t="s">
        <v>355</v>
      </c>
      <c r="G1068" s="55" t="s">
        <v>355</v>
      </c>
      <c r="H1068" s="108" t="s">
        <v>402</v>
      </c>
      <c r="I1068" s="111" t="s">
        <v>402</v>
      </c>
      <c r="J1068" s="111" t="s">
        <v>402</v>
      </c>
      <c r="K1068" s="106" t="s">
        <v>403</v>
      </c>
      <c r="L1068" s="55" t="s">
        <v>404</v>
      </c>
      <c r="M1068" s="55" t="s">
        <v>7634</v>
      </c>
    </row>
    <row r="1069" spans="1:13">
      <c r="A1069" s="408" t="s">
        <v>2985</v>
      </c>
      <c r="B1069" s="106" t="s">
        <v>327</v>
      </c>
      <c r="C1069" s="106" t="s">
        <v>473</v>
      </c>
      <c r="D1069" s="107" t="s">
        <v>2986</v>
      </c>
      <c r="E1069" s="109" t="s">
        <v>355</v>
      </c>
      <c r="F1069" s="109" t="s">
        <v>355</v>
      </c>
      <c r="G1069" s="55" t="s">
        <v>355</v>
      </c>
      <c r="H1069" s="108" t="s">
        <v>402</v>
      </c>
      <c r="I1069" s="111" t="s">
        <v>402</v>
      </c>
      <c r="J1069" s="111" t="s">
        <v>402</v>
      </c>
      <c r="K1069" s="106" t="s">
        <v>403</v>
      </c>
      <c r="L1069" s="55" t="s">
        <v>404</v>
      </c>
      <c r="M1069" s="55" t="s">
        <v>7634</v>
      </c>
    </row>
    <row r="1070" spans="1:13">
      <c r="A1070" s="401" t="s">
        <v>2987</v>
      </c>
      <c r="B1070" s="106" t="s">
        <v>327</v>
      </c>
      <c r="C1070" s="106" t="s">
        <v>473</v>
      </c>
      <c r="D1070" s="109" t="s">
        <v>2988</v>
      </c>
      <c r="E1070" s="109" t="s">
        <v>2989</v>
      </c>
      <c r="F1070" s="109" t="s">
        <v>2990</v>
      </c>
      <c r="G1070" s="117" t="s">
        <v>383</v>
      </c>
      <c r="H1070" s="115" t="s">
        <v>402</v>
      </c>
      <c r="I1070" s="111" t="s">
        <v>402</v>
      </c>
      <c r="J1070" s="111" t="s">
        <v>402</v>
      </c>
      <c r="K1070" s="106" t="s">
        <v>403</v>
      </c>
      <c r="L1070" s="55" t="s">
        <v>404</v>
      </c>
      <c r="M1070" s="55" t="s">
        <v>1173</v>
      </c>
    </row>
    <row r="1071" spans="1:13">
      <c r="A1071" s="401" t="s">
        <v>2991</v>
      </c>
      <c r="B1071" s="106" t="s">
        <v>327</v>
      </c>
      <c r="C1071" s="106" t="s">
        <v>473</v>
      </c>
      <c r="D1071" s="109" t="s">
        <v>2992</v>
      </c>
      <c r="E1071" s="109" t="s">
        <v>2993</v>
      </c>
      <c r="F1071" s="109" t="s">
        <v>2994</v>
      </c>
      <c r="G1071" s="117" t="s">
        <v>383</v>
      </c>
      <c r="H1071" s="115" t="s">
        <v>402</v>
      </c>
      <c r="I1071" s="111" t="s">
        <v>402</v>
      </c>
      <c r="J1071" s="111" t="s">
        <v>402</v>
      </c>
      <c r="K1071" s="106" t="s">
        <v>403</v>
      </c>
      <c r="L1071" s="55" t="s">
        <v>404</v>
      </c>
      <c r="M1071" s="55" t="s">
        <v>1173</v>
      </c>
    </row>
    <row r="1072" spans="1:13">
      <c r="A1072" s="408" t="s">
        <v>2995</v>
      </c>
      <c r="B1072" s="106" t="s">
        <v>327</v>
      </c>
      <c r="C1072" s="106" t="s">
        <v>473</v>
      </c>
      <c r="D1072" s="107" t="s">
        <v>2996</v>
      </c>
      <c r="E1072" s="109" t="s">
        <v>355</v>
      </c>
      <c r="F1072" s="109" t="s">
        <v>355</v>
      </c>
      <c r="G1072" s="55" t="s">
        <v>355</v>
      </c>
      <c r="H1072" s="108" t="s">
        <v>402</v>
      </c>
      <c r="I1072" s="111" t="s">
        <v>402</v>
      </c>
      <c r="J1072" s="111" t="s">
        <v>402</v>
      </c>
      <c r="K1072" s="106" t="s">
        <v>403</v>
      </c>
      <c r="L1072" s="55" t="s">
        <v>404</v>
      </c>
      <c r="M1072" s="55" t="s">
        <v>7634</v>
      </c>
    </row>
    <row r="1073" spans="1:13">
      <c r="A1073" s="408" t="s">
        <v>2997</v>
      </c>
      <c r="B1073" s="106" t="s">
        <v>327</v>
      </c>
      <c r="C1073" s="106" t="s">
        <v>473</v>
      </c>
      <c r="D1073" s="107" t="s">
        <v>2998</v>
      </c>
      <c r="E1073" s="109" t="s">
        <v>355</v>
      </c>
      <c r="F1073" s="109" t="s">
        <v>355</v>
      </c>
      <c r="G1073" s="55" t="s">
        <v>355</v>
      </c>
      <c r="H1073" s="108" t="s">
        <v>402</v>
      </c>
      <c r="I1073" s="111" t="s">
        <v>402</v>
      </c>
      <c r="J1073" s="111" t="s">
        <v>402</v>
      </c>
      <c r="K1073" s="106" t="s">
        <v>403</v>
      </c>
      <c r="L1073" s="55" t="s">
        <v>404</v>
      </c>
      <c r="M1073" s="55" t="s">
        <v>7634</v>
      </c>
    </row>
    <row r="1074" spans="1:13">
      <c r="A1074" s="408" t="s">
        <v>2999</v>
      </c>
      <c r="B1074" s="106" t="s">
        <v>327</v>
      </c>
      <c r="C1074" s="106" t="s">
        <v>473</v>
      </c>
      <c r="D1074" s="107" t="s">
        <v>3000</v>
      </c>
      <c r="E1074" s="109" t="s">
        <v>355</v>
      </c>
      <c r="F1074" s="109" t="s">
        <v>355</v>
      </c>
      <c r="G1074" s="55" t="s">
        <v>355</v>
      </c>
      <c r="H1074" s="108" t="s">
        <v>402</v>
      </c>
      <c r="I1074" s="111" t="s">
        <v>402</v>
      </c>
      <c r="J1074" s="111" t="s">
        <v>402</v>
      </c>
      <c r="K1074" s="106" t="s">
        <v>403</v>
      </c>
      <c r="L1074" s="55" t="s">
        <v>404</v>
      </c>
      <c r="M1074" s="55" t="s">
        <v>7634</v>
      </c>
    </row>
    <row r="1075" spans="1:13">
      <c r="A1075" s="408" t="s">
        <v>3001</v>
      </c>
      <c r="B1075" s="106" t="s">
        <v>327</v>
      </c>
      <c r="C1075" s="106" t="s">
        <v>473</v>
      </c>
      <c r="D1075" s="107" t="s">
        <v>3002</v>
      </c>
      <c r="E1075" s="109" t="s">
        <v>355</v>
      </c>
      <c r="F1075" s="109" t="s">
        <v>355</v>
      </c>
      <c r="G1075" s="55" t="s">
        <v>355</v>
      </c>
      <c r="H1075" s="108" t="s">
        <v>402</v>
      </c>
      <c r="I1075" s="111" t="s">
        <v>402</v>
      </c>
      <c r="J1075" s="111" t="s">
        <v>402</v>
      </c>
      <c r="K1075" s="106" t="s">
        <v>403</v>
      </c>
      <c r="L1075" s="55" t="s">
        <v>404</v>
      </c>
      <c r="M1075" s="55" t="s">
        <v>7634</v>
      </c>
    </row>
    <row r="1076" spans="1:13">
      <c r="A1076" s="401" t="s">
        <v>3003</v>
      </c>
      <c r="B1076" s="106" t="s">
        <v>327</v>
      </c>
      <c r="C1076" s="106" t="s">
        <v>473</v>
      </c>
      <c r="D1076" s="109" t="s">
        <v>3004</v>
      </c>
      <c r="E1076" s="109" t="s">
        <v>3005</v>
      </c>
      <c r="F1076" s="110" t="s">
        <v>3006</v>
      </c>
      <c r="G1076" s="112" t="s">
        <v>3007</v>
      </c>
      <c r="H1076" s="115" t="s">
        <v>402</v>
      </c>
      <c r="I1076" s="111" t="s">
        <v>402</v>
      </c>
      <c r="J1076" s="111" t="s">
        <v>402</v>
      </c>
      <c r="K1076" s="108" t="s">
        <v>592</v>
      </c>
      <c r="L1076" s="55" t="s">
        <v>404</v>
      </c>
      <c r="M1076" s="55" t="s">
        <v>383</v>
      </c>
    </row>
    <row r="1077" spans="1:13">
      <c r="A1077" s="408" t="s">
        <v>3008</v>
      </c>
      <c r="B1077" s="106" t="s">
        <v>327</v>
      </c>
      <c r="C1077" s="106" t="s">
        <v>473</v>
      </c>
      <c r="D1077" s="107" t="s">
        <v>3009</v>
      </c>
      <c r="E1077" s="109" t="s">
        <v>355</v>
      </c>
      <c r="F1077" s="109" t="s">
        <v>355</v>
      </c>
      <c r="G1077" s="55" t="s">
        <v>355</v>
      </c>
      <c r="H1077" s="108" t="s">
        <v>402</v>
      </c>
      <c r="I1077" s="111" t="s">
        <v>402</v>
      </c>
      <c r="J1077" s="111" t="s">
        <v>402</v>
      </c>
      <c r="K1077" s="106" t="s">
        <v>403</v>
      </c>
      <c r="L1077" s="55" t="s">
        <v>404</v>
      </c>
      <c r="M1077" s="55" t="s">
        <v>7634</v>
      </c>
    </row>
    <row r="1078" spans="1:13">
      <c r="A1078" s="408" t="s">
        <v>3010</v>
      </c>
      <c r="B1078" s="106" t="s">
        <v>327</v>
      </c>
      <c r="C1078" s="106" t="s">
        <v>473</v>
      </c>
      <c r="D1078" s="107" t="s">
        <v>3011</v>
      </c>
      <c r="E1078" s="109" t="s">
        <v>355</v>
      </c>
      <c r="F1078" s="109" t="s">
        <v>355</v>
      </c>
      <c r="G1078" s="55" t="s">
        <v>355</v>
      </c>
      <c r="H1078" s="108" t="s">
        <v>402</v>
      </c>
      <c r="I1078" s="111" t="s">
        <v>402</v>
      </c>
      <c r="J1078" s="111" t="s">
        <v>402</v>
      </c>
      <c r="K1078" s="106" t="s">
        <v>403</v>
      </c>
      <c r="L1078" s="55" t="s">
        <v>404</v>
      </c>
      <c r="M1078" s="55" t="s">
        <v>7634</v>
      </c>
    </row>
    <row r="1079" spans="1:13">
      <c r="A1079" s="401" t="s">
        <v>3012</v>
      </c>
      <c r="B1079" s="106" t="s">
        <v>1059</v>
      </c>
      <c r="C1079" s="106" t="s">
        <v>473</v>
      </c>
      <c r="D1079" s="107" t="s">
        <v>3013</v>
      </c>
      <c r="E1079" s="107" t="s">
        <v>3014</v>
      </c>
      <c r="F1079" s="107" t="s">
        <v>3015</v>
      </c>
      <c r="G1079" s="590" t="s">
        <v>3016</v>
      </c>
      <c r="H1079" s="115" t="s">
        <v>402</v>
      </c>
      <c r="I1079" s="111" t="s">
        <v>402</v>
      </c>
      <c r="J1079" s="111" t="s">
        <v>402</v>
      </c>
      <c r="K1079" s="106" t="s">
        <v>403</v>
      </c>
      <c r="L1079" s="55" t="s">
        <v>404</v>
      </c>
      <c r="M1079" s="55" t="s">
        <v>7634</v>
      </c>
    </row>
    <row r="1080" spans="1:13">
      <c r="A1080" s="401" t="s">
        <v>3017</v>
      </c>
      <c r="B1080" s="106" t="s">
        <v>984</v>
      </c>
      <c r="C1080" s="106" t="s">
        <v>473</v>
      </c>
      <c r="D1080" s="109" t="s">
        <v>383</v>
      </c>
      <c r="E1080" s="109" t="s">
        <v>3018</v>
      </c>
      <c r="F1080" s="109" t="s">
        <v>3019</v>
      </c>
      <c r="G1080" s="114" t="s">
        <v>383</v>
      </c>
      <c r="H1080" s="115" t="s">
        <v>402</v>
      </c>
      <c r="I1080" s="111" t="s">
        <v>402</v>
      </c>
      <c r="J1080" s="111" t="s">
        <v>402</v>
      </c>
      <c r="K1080" s="115" t="s">
        <v>403</v>
      </c>
      <c r="L1080" s="55" t="s">
        <v>404</v>
      </c>
      <c r="M1080" s="55" t="s">
        <v>3020</v>
      </c>
    </row>
    <row r="1081" spans="1:13">
      <c r="A1081" s="578" t="s">
        <v>3021</v>
      </c>
      <c r="B1081" s="586" t="s">
        <v>373</v>
      </c>
      <c r="C1081" s="586" t="s">
        <v>473</v>
      </c>
      <c r="D1081" s="586" t="s">
        <v>3022</v>
      </c>
      <c r="E1081" s="586" t="s">
        <v>3021</v>
      </c>
      <c r="F1081" s="586" t="s">
        <v>377</v>
      </c>
      <c r="G1081" s="586" t="s">
        <v>377</v>
      </c>
      <c r="H1081" s="586" t="s">
        <v>359</v>
      </c>
      <c r="I1081" s="587" t="s">
        <v>359</v>
      </c>
      <c r="J1081" s="586"/>
      <c r="K1081" s="586" t="s">
        <v>2508</v>
      </c>
      <c r="L1081" s="586" t="s">
        <v>361</v>
      </c>
      <c r="M1081" s="55" t="s">
        <v>7634</v>
      </c>
    </row>
    <row r="1082" spans="1:13">
      <c r="A1082" s="408" t="s">
        <v>3023</v>
      </c>
      <c r="B1082" s="106" t="s">
        <v>327</v>
      </c>
      <c r="C1082" s="106" t="s">
        <v>473</v>
      </c>
      <c r="D1082" s="107" t="s">
        <v>3024</v>
      </c>
      <c r="E1082" s="109" t="s">
        <v>355</v>
      </c>
      <c r="F1082" s="109" t="s">
        <v>355</v>
      </c>
      <c r="G1082" s="55" t="s">
        <v>355</v>
      </c>
      <c r="H1082" s="108" t="s">
        <v>402</v>
      </c>
      <c r="I1082" s="111" t="s">
        <v>402</v>
      </c>
      <c r="J1082" s="111" t="s">
        <v>402</v>
      </c>
      <c r="K1082" s="106" t="s">
        <v>403</v>
      </c>
      <c r="L1082" s="55" t="s">
        <v>404</v>
      </c>
      <c r="M1082" s="55" t="s">
        <v>7634</v>
      </c>
    </row>
    <row r="1083" spans="1:13">
      <c r="A1083" s="408" t="s">
        <v>3025</v>
      </c>
      <c r="B1083" s="106" t="s">
        <v>327</v>
      </c>
      <c r="C1083" s="106" t="s">
        <v>473</v>
      </c>
      <c r="D1083" s="107" t="s">
        <v>3026</v>
      </c>
      <c r="E1083" s="109" t="s">
        <v>355</v>
      </c>
      <c r="F1083" s="109" t="s">
        <v>355</v>
      </c>
      <c r="G1083" s="55" t="s">
        <v>355</v>
      </c>
      <c r="H1083" s="108" t="s">
        <v>402</v>
      </c>
      <c r="I1083" s="111" t="s">
        <v>402</v>
      </c>
      <c r="J1083" s="111" t="s">
        <v>402</v>
      </c>
      <c r="K1083" s="106" t="s">
        <v>403</v>
      </c>
      <c r="L1083" s="55" t="s">
        <v>404</v>
      </c>
      <c r="M1083" s="55" t="s">
        <v>7634</v>
      </c>
    </row>
    <row r="1084" spans="1:13">
      <c r="A1084" s="408" t="s">
        <v>3027</v>
      </c>
      <c r="B1084" s="106" t="s">
        <v>327</v>
      </c>
      <c r="C1084" s="106" t="s">
        <v>473</v>
      </c>
      <c r="D1084" s="107" t="s">
        <v>3028</v>
      </c>
      <c r="E1084" s="109" t="s">
        <v>355</v>
      </c>
      <c r="F1084" s="109" t="s">
        <v>355</v>
      </c>
      <c r="G1084" s="55" t="s">
        <v>355</v>
      </c>
      <c r="H1084" s="108" t="s">
        <v>402</v>
      </c>
      <c r="I1084" s="111" t="s">
        <v>402</v>
      </c>
      <c r="J1084" s="111" t="s">
        <v>402</v>
      </c>
      <c r="K1084" s="106" t="s">
        <v>403</v>
      </c>
      <c r="L1084" s="55" t="s">
        <v>404</v>
      </c>
      <c r="M1084" s="55" t="s">
        <v>7634</v>
      </c>
    </row>
    <row r="1085" spans="1:13">
      <c r="A1085" s="408" t="s">
        <v>3029</v>
      </c>
      <c r="B1085" s="106" t="s">
        <v>327</v>
      </c>
      <c r="C1085" s="106" t="s">
        <v>473</v>
      </c>
      <c r="D1085" s="107" t="s">
        <v>3030</v>
      </c>
      <c r="E1085" s="586" t="s">
        <v>3031</v>
      </c>
      <c r="F1085" s="586" t="s">
        <v>3032</v>
      </c>
      <c r="G1085" s="114"/>
      <c r="H1085" s="108" t="s">
        <v>402</v>
      </c>
      <c r="I1085" s="111" t="s">
        <v>402</v>
      </c>
      <c r="J1085" s="111" t="s">
        <v>402</v>
      </c>
      <c r="K1085" s="106" t="s">
        <v>403</v>
      </c>
      <c r="L1085" s="55" t="s">
        <v>404</v>
      </c>
      <c r="M1085" s="55" t="s">
        <v>7634</v>
      </c>
    </row>
    <row r="1086" spans="1:13">
      <c r="A1086" s="408" t="s">
        <v>3033</v>
      </c>
      <c r="B1086" s="106" t="s">
        <v>327</v>
      </c>
      <c r="C1086" s="106" t="s">
        <v>473</v>
      </c>
      <c r="D1086" s="107" t="s">
        <v>3034</v>
      </c>
      <c r="E1086" s="109" t="s">
        <v>355</v>
      </c>
      <c r="F1086" s="109" t="s">
        <v>355</v>
      </c>
      <c r="G1086" s="55" t="s">
        <v>355</v>
      </c>
      <c r="H1086" s="108" t="s">
        <v>402</v>
      </c>
      <c r="I1086" s="111" t="s">
        <v>402</v>
      </c>
      <c r="J1086" s="111" t="s">
        <v>402</v>
      </c>
      <c r="K1086" s="106" t="s">
        <v>403</v>
      </c>
      <c r="L1086" s="55" t="s">
        <v>404</v>
      </c>
      <c r="M1086" s="55" t="s">
        <v>7634</v>
      </c>
    </row>
    <row r="1087" spans="1:13">
      <c r="A1087" s="408" t="s">
        <v>3035</v>
      </c>
      <c r="B1087" s="106" t="s">
        <v>327</v>
      </c>
      <c r="C1087" s="106" t="s">
        <v>473</v>
      </c>
      <c r="D1087" s="107" t="s">
        <v>3036</v>
      </c>
      <c r="E1087" s="109" t="s">
        <v>355</v>
      </c>
      <c r="F1087" s="109" t="s">
        <v>355</v>
      </c>
      <c r="G1087" s="55" t="s">
        <v>355</v>
      </c>
      <c r="H1087" s="108" t="s">
        <v>402</v>
      </c>
      <c r="I1087" s="111" t="s">
        <v>402</v>
      </c>
      <c r="J1087" s="111" t="s">
        <v>402</v>
      </c>
      <c r="K1087" s="106" t="s">
        <v>403</v>
      </c>
      <c r="L1087" s="55" t="s">
        <v>404</v>
      </c>
      <c r="M1087" s="55" t="s">
        <v>7634</v>
      </c>
    </row>
    <row r="1088" spans="1:13">
      <c r="A1088" s="408" t="s">
        <v>3037</v>
      </c>
      <c r="B1088" s="106" t="s">
        <v>327</v>
      </c>
      <c r="C1088" s="106" t="s">
        <v>473</v>
      </c>
      <c r="D1088" s="107" t="s">
        <v>3036</v>
      </c>
      <c r="E1088" s="109" t="s">
        <v>355</v>
      </c>
      <c r="F1088" s="109" t="s">
        <v>355</v>
      </c>
      <c r="G1088" s="55" t="s">
        <v>355</v>
      </c>
      <c r="H1088" s="108" t="s">
        <v>402</v>
      </c>
      <c r="I1088" s="111" t="s">
        <v>402</v>
      </c>
      <c r="J1088" s="111" t="s">
        <v>402</v>
      </c>
      <c r="K1088" s="106" t="s">
        <v>403</v>
      </c>
      <c r="L1088" s="55" t="s">
        <v>404</v>
      </c>
      <c r="M1088" s="55" t="s">
        <v>7634</v>
      </c>
    </row>
    <row r="1089" spans="1:13">
      <c r="A1089" s="401" t="s">
        <v>8236</v>
      </c>
      <c r="B1089" s="106" t="s">
        <v>327</v>
      </c>
      <c r="C1089" s="132" t="s">
        <v>327</v>
      </c>
      <c r="D1089" s="133" t="s">
        <v>383</v>
      </c>
      <c r="E1089" s="133" t="s">
        <v>383</v>
      </c>
      <c r="F1089" s="133" t="s">
        <v>383</v>
      </c>
      <c r="G1089" s="601" t="s">
        <v>383</v>
      </c>
      <c r="H1089" s="108" t="s">
        <v>402</v>
      </c>
      <c r="I1089" s="111" t="s">
        <v>402</v>
      </c>
      <c r="J1089" s="111" t="s">
        <v>402</v>
      </c>
      <c r="K1089" s="106" t="s">
        <v>403</v>
      </c>
      <c r="L1089" s="55" t="s">
        <v>404</v>
      </c>
      <c r="M1089" s="55" t="s">
        <v>383</v>
      </c>
    </row>
    <row r="1090" spans="1:13">
      <c r="A1090" s="408" t="s">
        <v>3038</v>
      </c>
      <c r="B1090" s="106" t="s">
        <v>327</v>
      </c>
      <c r="C1090" s="106" t="s">
        <v>473</v>
      </c>
      <c r="D1090" s="107" t="s">
        <v>3039</v>
      </c>
      <c r="E1090" s="109" t="s">
        <v>355</v>
      </c>
      <c r="F1090" s="109" t="s">
        <v>355</v>
      </c>
      <c r="G1090" s="55" t="s">
        <v>355</v>
      </c>
      <c r="H1090" s="108" t="s">
        <v>402</v>
      </c>
      <c r="I1090" s="111" t="s">
        <v>402</v>
      </c>
      <c r="J1090" s="111" t="s">
        <v>402</v>
      </c>
      <c r="K1090" s="106" t="s">
        <v>403</v>
      </c>
      <c r="L1090" s="55" t="s">
        <v>404</v>
      </c>
      <c r="M1090" s="55" t="s">
        <v>7634</v>
      </c>
    </row>
    <row r="1091" spans="1:13">
      <c r="A1091" s="408" t="s">
        <v>3040</v>
      </c>
      <c r="B1091" s="106" t="s">
        <v>327</v>
      </c>
      <c r="C1091" s="106" t="s">
        <v>473</v>
      </c>
      <c r="D1091" s="107" t="s">
        <v>3041</v>
      </c>
      <c r="E1091" s="109" t="s">
        <v>355</v>
      </c>
      <c r="F1091" s="109" t="s">
        <v>355</v>
      </c>
      <c r="G1091" s="55" t="s">
        <v>355</v>
      </c>
      <c r="H1091" s="108" t="s">
        <v>402</v>
      </c>
      <c r="I1091" s="111" t="s">
        <v>402</v>
      </c>
      <c r="J1091" s="111" t="s">
        <v>402</v>
      </c>
      <c r="K1091" s="106" t="s">
        <v>403</v>
      </c>
      <c r="L1091" s="55" t="s">
        <v>404</v>
      </c>
      <c r="M1091" s="55" t="s">
        <v>7634</v>
      </c>
    </row>
    <row r="1092" spans="1:13">
      <c r="A1092" s="408" t="s">
        <v>3042</v>
      </c>
      <c r="B1092" s="106" t="s">
        <v>327</v>
      </c>
      <c r="C1092" s="106" t="s">
        <v>473</v>
      </c>
      <c r="D1092" s="107" t="s">
        <v>3043</v>
      </c>
      <c r="E1092" s="109" t="s">
        <v>355</v>
      </c>
      <c r="F1092" s="109" t="s">
        <v>355</v>
      </c>
      <c r="G1092" s="55" t="s">
        <v>355</v>
      </c>
      <c r="H1092" s="108" t="s">
        <v>402</v>
      </c>
      <c r="I1092" s="111" t="s">
        <v>402</v>
      </c>
      <c r="J1092" s="111" t="s">
        <v>402</v>
      </c>
      <c r="K1092" s="106" t="s">
        <v>403</v>
      </c>
      <c r="L1092" s="55" t="s">
        <v>404</v>
      </c>
      <c r="M1092" s="55" t="s">
        <v>7634</v>
      </c>
    </row>
    <row r="1093" spans="1:13">
      <c r="A1093" s="408" t="s">
        <v>3044</v>
      </c>
      <c r="B1093" s="106" t="s">
        <v>327</v>
      </c>
      <c r="C1093" s="106" t="s">
        <v>473</v>
      </c>
      <c r="D1093" s="107" t="s">
        <v>3045</v>
      </c>
      <c r="E1093" s="109" t="s">
        <v>355</v>
      </c>
      <c r="F1093" s="109" t="s">
        <v>355</v>
      </c>
      <c r="G1093" s="55" t="s">
        <v>355</v>
      </c>
      <c r="H1093" s="108" t="s">
        <v>402</v>
      </c>
      <c r="I1093" s="111" t="s">
        <v>402</v>
      </c>
      <c r="J1093" s="111" t="s">
        <v>402</v>
      </c>
      <c r="K1093" s="106" t="s">
        <v>403</v>
      </c>
      <c r="L1093" s="55" t="s">
        <v>404</v>
      </c>
      <c r="M1093" s="55" t="s">
        <v>7634</v>
      </c>
    </row>
    <row r="1094" spans="1:13">
      <c r="A1094" s="408" t="s">
        <v>3046</v>
      </c>
      <c r="B1094" s="106" t="s">
        <v>327</v>
      </c>
      <c r="C1094" s="106" t="s">
        <v>473</v>
      </c>
      <c r="D1094" s="107" t="s">
        <v>3047</v>
      </c>
      <c r="E1094" s="109" t="s">
        <v>355</v>
      </c>
      <c r="F1094" s="109" t="s">
        <v>355</v>
      </c>
      <c r="G1094" s="55" t="s">
        <v>355</v>
      </c>
      <c r="H1094" s="108" t="s">
        <v>402</v>
      </c>
      <c r="I1094" s="111" t="s">
        <v>402</v>
      </c>
      <c r="J1094" s="111" t="s">
        <v>402</v>
      </c>
      <c r="K1094" s="106" t="s">
        <v>403</v>
      </c>
      <c r="L1094" s="55" t="s">
        <v>404</v>
      </c>
      <c r="M1094" s="55" t="s">
        <v>7634</v>
      </c>
    </row>
    <row r="1095" spans="1:13">
      <c r="A1095" s="408" t="s">
        <v>3048</v>
      </c>
      <c r="B1095" s="106" t="s">
        <v>327</v>
      </c>
      <c r="C1095" s="106" t="s">
        <v>473</v>
      </c>
      <c r="D1095" s="107" t="s">
        <v>3049</v>
      </c>
      <c r="E1095" s="109" t="s">
        <v>355</v>
      </c>
      <c r="F1095" s="109" t="s">
        <v>355</v>
      </c>
      <c r="G1095" s="55" t="s">
        <v>355</v>
      </c>
      <c r="H1095" s="108" t="s">
        <v>402</v>
      </c>
      <c r="I1095" s="111" t="s">
        <v>402</v>
      </c>
      <c r="J1095" s="111" t="s">
        <v>402</v>
      </c>
      <c r="K1095" s="106" t="s">
        <v>403</v>
      </c>
      <c r="L1095" s="55" t="s">
        <v>404</v>
      </c>
      <c r="M1095" s="55" t="s">
        <v>7634</v>
      </c>
    </row>
    <row r="1096" spans="1:13">
      <c r="A1096" s="401" t="s">
        <v>3050</v>
      </c>
      <c r="B1096" s="106" t="s">
        <v>327</v>
      </c>
      <c r="C1096" s="106" t="s">
        <v>473</v>
      </c>
      <c r="D1096" s="109"/>
      <c r="E1096" s="109" t="s">
        <v>355</v>
      </c>
      <c r="F1096" s="109" t="s">
        <v>355</v>
      </c>
      <c r="G1096" s="55" t="s">
        <v>355</v>
      </c>
      <c r="H1096" s="115" t="s">
        <v>402</v>
      </c>
      <c r="I1096" s="111" t="s">
        <v>402</v>
      </c>
      <c r="J1096" s="111" t="s">
        <v>402</v>
      </c>
      <c r="K1096" s="130" t="s">
        <v>383</v>
      </c>
      <c r="L1096" s="55" t="s">
        <v>3051</v>
      </c>
      <c r="M1096" s="113" t="s">
        <v>383</v>
      </c>
    </row>
    <row r="1097" spans="1:13">
      <c r="A1097" s="578" t="s">
        <v>3052</v>
      </c>
      <c r="B1097" s="586" t="s">
        <v>373</v>
      </c>
      <c r="C1097" s="586" t="s">
        <v>473</v>
      </c>
      <c r="D1097" s="586" t="s">
        <v>3053</v>
      </c>
      <c r="E1097" s="586" t="s">
        <v>1225</v>
      </c>
      <c r="F1097" s="586" t="s">
        <v>3054</v>
      </c>
      <c r="G1097" s="586"/>
      <c r="H1097" s="586" t="s">
        <v>359</v>
      </c>
      <c r="I1097" s="587" t="s">
        <v>359</v>
      </c>
      <c r="J1097" s="586"/>
      <c r="K1097" s="586" t="s">
        <v>2508</v>
      </c>
      <c r="L1097" s="586" t="s">
        <v>361</v>
      </c>
      <c r="M1097" s="55" t="s">
        <v>7634</v>
      </c>
    </row>
    <row r="1098" spans="1:13">
      <c r="A1098" s="578" t="s">
        <v>3055</v>
      </c>
      <c r="B1098" s="586" t="s">
        <v>373</v>
      </c>
      <c r="C1098" s="586" t="s">
        <v>473</v>
      </c>
      <c r="D1098" s="586" t="s">
        <v>3056</v>
      </c>
      <c r="E1098" s="586" t="s">
        <v>1225</v>
      </c>
      <c r="F1098" s="586" t="s">
        <v>3057</v>
      </c>
      <c r="G1098" s="586" t="s">
        <v>377</v>
      </c>
      <c r="H1098" s="586" t="s">
        <v>359</v>
      </c>
      <c r="I1098" s="587" t="s">
        <v>359</v>
      </c>
      <c r="J1098" s="586"/>
      <c r="K1098" s="586" t="s">
        <v>360</v>
      </c>
      <c r="L1098" s="586" t="s">
        <v>361</v>
      </c>
      <c r="M1098" s="55" t="s">
        <v>7634</v>
      </c>
    </row>
    <row r="1099" spans="1:13">
      <c r="A1099" s="578" t="s">
        <v>3058</v>
      </c>
      <c r="B1099" s="586" t="s">
        <v>473</v>
      </c>
      <c r="C1099" s="586" t="s">
        <v>473</v>
      </c>
      <c r="D1099" s="586" t="s">
        <v>3059</v>
      </c>
      <c r="E1099" s="586" t="s">
        <v>3060</v>
      </c>
      <c r="F1099" s="586" t="s">
        <v>3061</v>
      </c>
      <c r="G1099" s="586" t="s">
        <v>377</v>
      </c>
      <c r="H1099" s="586" t="s">
        <v>359</v>
      </c>
      <c r="I1099" s="587" t="s">
        <v>359</v>
      </c>
      <c r="J1099" s="586"/>
      <c r="K1099" s="586" t="s">
        <v>360</v>
      </c>
      <c r="L1099" s="586" t="s">
        <v>361</v>
      </c>
      <c r="M1099" s="55" t="s">
        <v>7634</v>
      </c>
    </row>
    <row r="1100" spans="1:13">
      <c r="A1100" s="401" t="s">
        <v>3062</v>
      </c>
      <c r="B1100" s="106" t="s">
        <v>984</v>
      </c>
      <c r="C1100" s="106" t="s">
        <v>473</v>
      </c>
      <c r="D1100" s="109"/>
      <c r="E1100" s="109" t="s">
        <v>1748</v>
      </c>
      <c r="F1100" s="109" t="s">
        <v>3063</v>
      </c>
      <c r="G1100" s="114"/>
      <c r="H1100" s="115" t="s">
        <v>402</v>
      </c>
      <c r="I1100" s="111" t="s">
        <v>402</v>
      </c>
      <c r="J1100" s="111" t="s">
        <v>402</v>
      </c>
      <c r="K1100" s="115" t="s">
        <v>403</v>
      </c>
      <c r="L1100" s="55" t="s">
        <v>404</v>
      </c>
      <c r="M1100" s="113" t="s">
        <v>1173</v>
      </c>
    </row>
    <row r="1101" spans="1:13">
      <c r="A1101" s="401" t="s">
        <v>3064</v>
      </c>
      <c r="B1101" s="106" t="s">
        <v>984</v>
      </c>
      <c r="C1101" s="106" t="s">
        <v>473</v>
      </c>
      <c r="D1101" s="109"/>
      <c r="E1101" s="109" t="s">
        <v>1748</v>
      </c>
      <c r="F1101" s="109" t="s">
        <v>3065</v>
      </c>
      <c r="G1101" s="114"/>
      <c r="H1101" s="115" t="s">
        <v>402</v>
      </c>
      <c r="I1101" s="111" t="s">
        <v>402</v>
      </c>
      <c r="J1101" s="111" t="s">
        <v>402</v>
      </c>
      <c r="K1101" s="115" t="s">
        <v>403</v>
      </c>
      <c r="L1101" s="55" t="s">
        <v>404</v>
      </c>
      <c r="M1101" s="113" t="s">
        <v>1173</v>
      </c>
    </row>
    <row r="1102" spans="1:13">
      <c r="A1102" s="401" t="s">
        <v>3066</v>
      </c>
      <c r="B1102" s="106" t="s">
        <v>984</v>
      </c>
      <c r="C1102" s="106" t="s">
        <v>473</v>
      </c>
      <c r="D1102" s="109" t="s">
        <v>3067</v>
      </c>
      <c r="E1102" s="109" t="s">
        <v>3068</v>
      </c>
      <c r="F1102" s="109"/>
      <c r="G1102" s="112" t="s">
        <v>3069</v>
      </c>
      <c r="H1102" s="115" t="s">
        <v>402</v>
      </c>
      <c r="I1102" s="111" t="s">
        <v>402</v>
      </c>
      <c r="J1102" s="111" t="s">
        <v>402</v>
      </c>
      <c r="K1102" s="108" t="s">
        <v>402</v>
      </c>
      <c r="L1102" s="108" t="s">
        <v>402</v>
      </c>
      <c r="M1102" s="55" t="s">
        <v>7634</v>
      </c>
    </row>
    <row r="1103" spans="1:13">
      <c r="A1103" s="401" t="s">
        <v>3070</v>
      </c>
      <c r="B1103" s="106" t="s">
        <v>327</v>
      </c>
      <c r="C1103" s="106" t="s">
        <v>473</v>
      </c>
      <c r="D1103" s="109"/>
      <c r="E1103" s="109" t="s">
        <v>3071</v>
      </c>
      <c r="F1103" s="109"/>
      <c r="G1103" s="112" t="s">
        <v>3072</v>
      </c>
      <c r="H1103" s="115" t="s">
        <v>402</v>
      </c>
      <c r="I1103" s="111" t="s">
        <v>402</v>
      </c>
      <c r="J1103" s="111" t="s">
        <v>402</v>
      </c>
      <c r="K1103" s="108"/>
      <c r="L1103" s="55"/>
      <c r="M1103" s="55" t="s">
        <v>7634</v>
      </c>
    </row>
    <row r="1104" spans="1:13">
      <c r="A1104" s="408" t="s">
        <v>3073</v>
      </c>
      <c r="B1104" s="106" t="s">
        <v>327</v>
      </c>
      <c r="C1104" s="106" t="s">
        <v>473</v>
      </c>
      <c r="D1104" s="107" t="s">
        <v>3074</v>
      </c>
      <c r="E1104" s="109" t="s">
        <v>355</v>
      </c>
      <c r="F1104" s="109" t="s">
        <v>355</v>
      </c>
      <c r="G1104" s="55" t="s">
        <v>355</v>
      </c>
      <c r="H1104" s="108" t="s">
        <v>402</v>
      </c>
      <c r="I1104" s="111" t="s">
        <v>402</v>
      </c>
      <c r="J1104" s="111" t="s">
        <v>402</v>
      </c>
      <c r="K1104" s="106" t="s">
        <v>403</v>
      </c>
      <c r="L1104" s="55" t="s">
        <v>404</v>
      </c>
      <c r="M1104" s="55" t="s">
        <v>7634</v>
      </c>
    </row>
    <row r="1105" spans="1:13">
      <c r="A1105" s="408" t="s">
        <v>3075</v>
      </c>
      <c r="B1105" s="106" t="s">
        <v>327</v>
      </c>
      <c r="C1105" s="106" t="s">
        <v>473</v>
      </c>
      <c r="D1105" s="107" t="s">
        <v>3076</v>
      </c>
      <c r="E1105" s="109" t="s">
        <v>355</v>
      </c>
      <c r="F1105" s="109" t="s">
        <v>355</v>
      </c>
      <c r="G1105" s="55" t="s">
        <v>355</v>
      </c>
      <c r="H1105" s="108" t="s">
        <v>402</v>
      </c>
      <c r="I1105" s="111" t="s">
        <v>402</v>
      </c>
      <c r="J1105" s="111" t="s">
        <v>402</v>
      </c>
      <c r="K1105" s="106" t="s">
        <v>403</v>
      </c>
      <c r="L1105" s="55" t="s">
        <v>404</v>
      </c>
      <c r="M1105" s="55" t="s">
        <v>7634</v>
      </c>
    </row>
    <row r="1106" spans="1:13">
      <c r="A1106" s="401" t="s">
        <v>3077</v>
      </c>
      <c r="B1106" s="106" t="s">
        <v>327</v>
      </c>
      <c r="C1106" s="106" t="s">
        <v>473</v>
      </c>
      <c r="D1106" s="109" t="s">
        <v>3078</v>
      </c>
      <c r="E1106" s="109" t="s">
        <v>3079</v>
      </c>
      <c r="F1106" s="109" t="s">
        <v>3080</v>
      </c>
      <c r="G1106" s="117" t="s">
        <v>383</v>
      </c>
      <c r="H1106" s="115" t="s">
        <v>402</v>
      </c>
      <c r="I1106" s="111" t="s">
        <v>402</v>
      </c>
      <c r="J1106" s="111" t="s">
        <v>402</v>
      </c>
      <c r="K1106" s="115" t="s">
        <v>403</v>
      </c>
      <c r="L1106" s="55" t="s">
        <v>404</v>
      </c>
      <c r="M1106" s="113" t="s">
        <v>1173</v>
      </c>
    </row>
    <row r="1107" spans="1:13">
      <c r="A1107" s="408" t="s">
        <v>3081</v>
      </c>
      <c r="B1107" s="106" t="s">
        <v>327</v>
      </c>
      <c r="C1107" s="106" t="s">
        <v>473</v>
      </c>
      <c r="D1107" s="107" t="s">
        <v>3082</v>
      </c>
      <c r="E1107" s="109" t="s">
        <v>355</v>
      </c>
      <c r="F1107" s="109" t="s">
        <v>355</v>
      </c>
      <c r="G1107" s="55" t="s">
        <v>355</v>
      </c>
      <c r="H1107" s="108" t="s">
        <v>402</v>
      </c>
      <c r="I1107" s="111" t="s">
        <v>402</v>
      </c>
      <c r="J1107" s="111" t="s">
        <v>402</v>
      </c>
      <c r="K1107" s="106" t="s">
        <v>403</v>
      </c>
      <c r="L1107" s="55" t="s">
        <v>404</v>
      </c>
      <c r="M1107" s="55" t="s">
        <v>7634</v>
      </c>
    </row>
    <row r="1108" spans="1:13">
      <c r="A1108" s="401" t="s">
        <v>3083</v>
      </c>
      <c r="B1108" s="106" t="s">
        <v>327</v>
      </c>
      <c r="C1108" s="106" t="s">
        <v>473</v>
      </c>
      <c r="D1108" s="109" t="s">
        <v>3084</v>
      </c>
      <c r="E1108" s="109" t="s">
        <v>3085</v>
      </c>
      <c r="F1108" s="109" t="s">
        <v>3086</v>
      </c>
      <c r="G1108" s="112" t="s">
        <v>3087</v>
      </c>
      <c r="H1108" s="115" t="s">
        <v>402</v>
      </c>
      <c r="I1108" s="111" t="s">
        <v>402</v>
      </c>
      <c r="J1108" s="111" t="s">
        <v>402</v>
      </c>
      <c r="K1108" s="115" t="s">
        <v>403</v>
      </c>
      <c r="L1108" s="55" t="s">
        <v>404</v>
      </c>
      <c r="M1108" s="113" t="s">
        <v>383</v>
      </c>
    </row>
    <row r="1109" spans="1:13">
      <c r="A1109" s="408" t="s">
        <v>3088</v>
      </c>
      <c r="B1109" s="106" t="s">
        <v>327</v>
      </c>
      <c r="C1109" s="106" t="s">
        <v>473</v>
      </c>
      <c r="D1109" s="107" t="s">
        <v>3089</v>
      </c>
      <c r="E1109" s="109" t="s">
        <v>355</v>
      </c>
      <c r="F1109" s="109" t="s">
        <v>355</v>
      </c>
      <c r="G1109" s="55" t="s">
        <v>355</v>
      </c>
      <c r="H1109" s="108" t="s">
        <v>402</v>
      </c>
      <c r="I1109" s="111" t="s">
        <v>402</v>
      </c>
      <c r="J1109" s="111" t="s">
        <v>402</v>
      </c>
      <c r="K1109" s="106" t="s">
        <v>403</v>
      </c>
      <c r="L1109" s="55" t="s">
        <v>404</v>
      </c>
      <c r="M1109" s="55" t="s">
        <v>7634</v>
      </c>
    </row>
    <row r="1110" spans="1:13">
      <c r="A1110" s="408" t="s">
        <v>3090</v>
      </c>
      <c r="B1110" s="106" t="s">
        <v>327</v>
      </c>
      <c r="C1110" s="106" t="s">
        <v>473</v>
      </c>
      <c r="D1110" s="107" t="s">
        <v>3091</v>
      </c>
      <c r="E1110" s="109" t="s">
        <v>355</v>
      </c>
      <c r="F1110" s="109" t="s">
        <v>355</v>
      </c>
      <c r="G1110" s="55" t="s">
        <v>355</v>
      </c>
      <c r="H1110" s="108" t="s">
        <v>402</v>
      </c>
      <c r="I1110" s="111" t="s">
        <v>402</v>
      </c>
      <c r="J1110" s="111" t="s">
        <v>402</v>
      </c>
      <c r="K1110" s="106" t="s">
        <v>403</v>
      </c>
      <c r="L1110" s="55" t="s">
        <v>404</v>
      </c>
      <c r="M1110" s="55" t="s">
        <v>7634</v>
      </c>
    </row>
    <row r="1111" spans="1:13">
      <c r="A1111" s="408" t="s">
        <v>3092</v>
      </c>
      <c r="B1111" s="106" t="s">
        <v>327</v>
      </c>
      <c r="C1111" s="106" t="s">
        <v>473</v>
      </c>
      <c r="D1111" s="107" t="s">
        <v>3093</v>
      </c>
      <c r="E1111" s="109" t="s">
        <v>355</v>
      </c>
      <c r="F1111" s="109" t="s">
        <v>355</v>
      </c>
      <c r="G1111" s="55" t="s">
        <v>355</v>
      </c>
      <c r="H1111" s="108" t="s">
        <v>402</v>
      </c>
      <c r="I1111" s="111" t="s">
        <v>402</v>
      </c>
      <c r="J1111" s="111" t="s">
        <v>402</v>
      </c>
      <c r="K1111" s="106" t="s">
        <v>403</v>
      </c>
      <c r="L1111" s="55" t="s">
        <v>404</v>
      </c>
      <c r="M1111" s="55" t="s">
        <v>7634</v>
      </c>
    </row>
    <row r="1112" spans="1:13">
      <c r="A1112" s="408" t="s">
        <v>3094</v>
      </c>
      <c r="B1112" s="106" t="s">
        <v>327</v>
      </c>
      <c r="C1112" s="106" t="s">
        <v>473</v>
      </c>
      <c r="D1112" s="107" t="s">
        <v>3095</v>
      </c>
      <c r="E1112" s="109" t="s">
        <v>355</v>
      </c>
      <c r="F1112" s="109" t="s">
        <v>355</v>
      </c>
      <c r="G1112" s="55" t="s">
        <v>355</v>
      </c>
      <c r="H1112" s="108" t="s">
        <v>402</v>
      </c>
      <c r="I1112" s="111" t="s">
        <v>402</v>
      </c>
      <c r="J1112" s="111" t="s">
        <v>402</v>
      </c>
      <c r="K1112" s="106" t="s">
        <v>403</v>
      </c>
      <c r="L1112" s="55" t="s">
        <v>404</v>
      </c>
      <c r="M1112" s="55" t="s">
        <v>7634</v>
      </c>
    </row>
    <row r="1113" spans="1:13">
      <c r="A1113" s="408" t="s">
        <v>3096</v>
      </c>
      <c r="B1113" s="106" t="s">
        <v>327</v>
      </c>
      <c r="C1113" s="106" t="s">
        <v>473</v>
      </c>
      <c r="D1113" s="107" t="s">
        <v>3097</v>
      </c>
      <c r="E1113" s="109" t="s">
        <v>355</v>
      </c>
      <c r="F1113" s="109" t="s">
        <v>355</v>
      </c>
      <c r="G1113" s="55" t="s">
        <v>355</v>
      </c>
      <c r="H1113" s="108" t="s">
        <v>402</v>
      </c>
      <c r="I1113" s="111" t="s">
        <v>402</v>
      </c>
      <c r="J1113" s="111" t="s">
        <v>402</v>
      </c>
      <c r="K1113" s="106" t="s">
        <v>403</v>
      </c>
      <c r="L1113" s="55" t="s">
        <v>404</v>
      </c>
      <c r="M1113" s="55" t="s">
        <v>7634</v>
      </c>
    </row>
    <row r="1114" spans="1:13">
      <c r="A1114" s="408" t="s">
        <v>3098</v>
      </c>
      <c r="B1114" s="106" t="s">
        <v>327</v>
      </c>
      <c r="C1114" s="106" t="s">
        <v>473</v>
      </c>
      <c r="D1114" s="107" t="s">
        <v>3099</v>
      </c>
      <c r="E1114" s="109" t="s">
        <v>355</v>
      </c>
      <c r="F1114" s="109" t="s">
        <v>355</v>
      </c>
      <c r="G1114" s="55" t="s">
        <v>355</v>
      </c>
      <c r="H1114" s="108" t="s">
        <v>402</v>
      </c>
      <c r="I1114" s="111" t="s">
        <v>402</v>
      </c>
      <c r="J1114" s="111" t="s">
        <v>402</v>
      </c>
      <c r="K1114" s="106" t="s">
        <v>403</v>
      </c>
      <c r="L1114" s="55" t="s">
        <v>404</v>
      </c>
      <c r="M1114" s="55" t="s">
        <v>7634</v>
      </c>
    </row>
    <row r="1115" spans="1:13">
      <c r="A1115" s="408" t="s">
        <v>3100</v>
      </c>
      <c r="B1115" s="106" t="s">
        <v>327</v>
      </c>
      <c r="C1115" s="106" t="s">
        <v>473</v>
      </c>
      <c r="D1115" s="107" t="s">
        <v>3101</v>
      </c>
      <c r="E1115" s="109" t="s">
        <v>355</v>
      </c>
      <c r="F1115" s="109" t="s">
        <v>355</v>
      </c>
      <c r="G1115" s="55" t="s">
        <v>355</v>
      </c>
      <c r="H1115" s="108" t="s">
        <v>402</v>
      </c>
      <c r="I1115" s="111" t="s">
        <v>402</v>
      </c>
      <c r="J1115" s="111" t="s">
        <v>402</v>
      </c>
      <c r="K1115" s="106" t="s">
        <v>403</v>
      </c>
      <c r="L1115" s="55" t="s">
        <v>404</v>
      </c>
      <c r="M1115" s="55" t="s">
        <v>7634</v>
      </c>
    </row>
    <row r="1116" spans="1:13">
      <c r="A1116" s="408" t="s">
        <v>3102</v>
      </c>
      <c r="B1116" s="106" t="s">
        <v>327</v>
      </c>
      <c r="C1116" s="106" t="s">
        <v>473</v>
      </c>
      <c r="D1116" s="107" t="s">
        <v>3103</v>
      </c>
      <c r="E1116" s="109" t="s">
        <v>355</v>
      </c>
      <c r="F1116" s="109" t="s">
        <v>355</v>
      </c>
      <c r="G1116" s="55" t="s">
        <v>355</v>
      </c>
      <c r="H1116" s="108" t="s">
        <v>402</v>
      </c>
      <c r="I1116" s="111" t="s">
        <v>402</v>
      </c>
      <c r="J1116" s="111" t="s">
        <v>402</v>
      </c>
      <c r="K1116" s="106" t="s">
        <v>403</v>
      </c>
      <c r="L1116" s="55" t="s">
        <v>404</v>
      </c>
      <c r="M1116" s="55" t="s">
        <v>7634</v>
      </c>
    </row>
    <row r="1117" spans="1:13">
      <c r="A1117" s="408" t="s">
        <v>3104</v>
      </c>
      <c r="B1117" s="106" t="s">
        <v>327</v>
      </c>
      <c r="C1117" s="106" t="s">
        <v>473</v>
      </c>
      <c r="D1117" s="107" t="s">
        <v>3105</v>
      </c>
      <c r="E1117" s="109" t="s">
        <v>355</v>
      </c>
      <c r="F1117" s="109" t="s">
        <v>355</v>
      </c>
      <c r="G1117" s="55" t="s">
        <v>355</v>
      </c>
      <c r="H1117" s="108" t="s">
        <v>402</v>
      </c>
      <c r="I1117" s="111" t="s">
        <v>402</v>
      </c>
      <c r="J1117" s="111" t="s">
        <v>402</v>
      </c>
      <c r="K1117" s="106" t="s">
        <v>403</v>
      </c>
      <c r="L1117" s="55" t="s">
        <v>404</v>
      </c>
      <c r="M1117" s="55" t="s">
        <v>7634</v>
      </c>
    </row>
    <row r="1118" spans="1:13">
      <c r="A1118" s="404" t="s">
        <v>3106</v>
      </c>
      <c r="B1118" s="106" t="s">
        <v>327</v>
      </c>
      <c r="C1118" s="106" t="s">
        <v>473</v>
      </c>
      <c r="D1118" s="128" t="s">
        <v>3107</v>
      </c>
      <c r="E1118" s="109" t="s">
        <v>3108</v>
      </c>
      <c r="F1118" s="109" t="s">
        <v>3109</v>
      </c>
      <c r="G1118" s="117" t="s">
        <v>383</v>
      </c>
      <c r="H1118" s="115" t="s">
        <v>402</v>
      </c>
      <c r="I1118" s="111" t="s">
        <v>402</v>
      </c>
      <c r="J1118" s="111" t="s">
        <v>402</v>
      </c>
      <c r="K1118" s="115" t="s">
        <v>403</v>
      </c>
      <c r="L1118" s="55" t="s">
        <v>404</v>
      </c>
      <c r="M1118" s="113" t="s">
        <v>1173</v>
      </c>
    </row>
    <row r="1119" spans="1:13">
      <c r="A1119" s="408" t="s">
        <v>3110</v>
      </c>
      <c r="B1119" s="106" t="s">
        <v>327</v>
      </c>
      <c r="C1119" s="106" t="s">
        <v>473</v>
      </c>
      <c r="D1119" s="107" t="s">
        <v>3111</v>
      </c>
      <c r="E1119" s="109" t="s">
        <v>355</v>
      </c>
      <c r="F1119" s="109" t="s">
        <v>355</v>
      </c>
      <c r="G1119" s="55" t="s">
        <v>355</v>
      </c>
      <c r="H1119" s="108" t="s">
        <v>402</v>
      </c>
      <c r="I1119" s="111" t="s">
        <v>402</v>
      </c>
      <c r="J1119" s="111" t="s">
        <v>402</v>
      </c>
      <c r="K1119" s="106" t="s">
        <v>403</v>
      </c>
      <c r="L1119" s="55" t="s">
        <v>404</v>
      </c>
      <c r="M1119" s="55" t="s">
        <v>7634</v>
      </c>
    </row>
    <row r="1120" spans="1:13">
      <c r="A1120" s="408" t="s">
        <v>3112</v>
      </c>
      <c r="B1120" s="106" t="s">
        <v>327</v>
      </c>
      <c r="C1120" s="106" t="s">
        <v>473</v>
      </c>
      <c r="D1120" s="107" t="s">
        <v>3113</v>
      </c>
      <c r="E1120" s="109" t="s">
        <v>355</v>
      </c>
      <c r="F1120" s="109" t="s">
        <v>355</v>
      </c>
      <c r="G1120" s="55" t="s">
        <v>355</v>
      </c>
      <c r="H1120" s="108" t="s">
        <v>402</v>
      </c>
      <c r="I1120" s="111" t="s">
        <v>402</v>
      </c>
      <c r="J1120" s="111" t="s">
        <v>402</v>
      </c>
      <c r="K1120" s="106" t="s">
        <v>403</v>
      </c>
      <c r="L1120" s="55" t="s">
        <v>404</v>
      </c>
      <c r="M1120" s="55" t="s">
        <v>7634</v>
      </c>
    </row>
    <row r="1121" spans="1:13">
      <c r="A1121" s="401" t="s">
        <v>3114</v>
      </c>
      <c r="B1121" s="106" t="s">
        <v>327</v>
      </c>
      <c r="C1121" s="106" t="s">
        <v>473</v>
      </c>
      <c r="D1121" s="109" t="s">
        <v>3115</v>
      </c>
      <c r="E1121" s="109" t="s">
        <v>3116</v>
      </c>
      <c r="F1121" s="109" t="s">
        <v>3117</v>
      </c>
      <c r="G1121" s="117" t="s">
        <v>383</v>
      </c>
      <c r="H1121" s="115" t="s">
        <v>402</v>
      </c>
      <c r="I1121" s="111" t="s">
        <v>402</v>
      </c>
      <c r="J1121" s="111" t="s">
        <v>402</v>
      </c>
      <c r="K1121" s="106" t="s">
        <v>403</v>
      </c>
      <c r="L1121" s="55" t="s">
        <v>404</v>
      </c>
      <c r="M1121" s="55" t="s">
        <v>1173</v>
      </c>
    </row>
    <row r="1122" spans="1:13">
      <c r="A1122" s="401" t="s">
        <v>3118</v>
      </c>
      <c r="B1122" s="106" t="s">
        <v>327</v>
      </c>
      <c r="C1122" s="106" t="s">
        <v>473</v>
      </c>
      <c r="D1122" s="109" t="s">
        <v>3119</v>
      </c>
      <c r="E1122" s="109" t="s">
        <v>3120</v>
      </c>
      <c r="F1122" s="109" t="s">
        <v>3121</v>
      </c>
      <c r="G1122" s="117" t="s">
        <v>383</v>
      </c>
      <c r="H1122" s="115" t="s">
        <v>402</v>
      </c>
      <c r="I1122" s="111" t="s">
        <v>402</v>
      </c>
      <c r="J1122" s="111" t="s">
        <v>402</v>
      </c>
      <c r="K1122" s="115" t="s">
        <v>403</v>
      </c>
      <c r="L1122" s="55" t="s">
        <v>404</v>
      </c>
      <c r="M1122" s="113" t="s">
        <v>383</v>
      </c>
    </row>
    <row r="1123" spans="1:13">
      <c r="A1123" s="408" t="s">
        <v>3122</v>
      </c>
      <c r="B1123" s="106" t="s">
        <v>327</v>
      </c>
      <c r="C1123" s="106" t="s">
        <v>473</v>
      </c>
      <c r="D1123" s="107" t="s">
        <v>3123</v>
      </c>
      <c r="E1123" s="109" t="s">
        <v>355</v>
      </c>
      <c r="F1123" s="109" t="s">
        <v>355</v>
      </c>
      <c r="G1123" s="55" t="s">
        <v>355</v>
      </c>
      <c r="H1123" s="108" t="s">
        <v>402</v>
      </c>
      <c r="I1123" s="111" t="s">
        <v>402</v>
      </c>
      <c r="J1123" s="111" t="s">
        <v>402</v>
      </c>
      <c r="K1123" s="106" t="s">
        <v>403</v>
      </c>
      <c r="L1123" s="55" t="s">
        <v>404</v>
      </c>
      <c r="M1123" s="55" t="s">
        <v>7634</v>
      </c>
    </row>
    <row r="1124" spans="1:13">
      <c r="A1124" s="408" t="s">
        <v>3124</v>
      </c>
      <c r="B1124" s="106" t="s">
        <v>327</v>
      </c>
      <c r="C1124" s="106" t="s">
        <v>473</v>
      </c>
      <c r="D1124" s="107" t="s">
        <v>3125</v>
      </c>
      <c r="E1124" s="109" t="s">
        <v>355</v>
      </c>
      <c r="F1124" s="109" t="s">
        <v>355</v>
      </c>
      <c r="G1124" s="55" t="s">
        <v>355</v>
      </c>
      <c r="H1124" s="108" t="s">
        <v>402</v>
      </c>
      <c r="I1124" s="111" t="s">
        <v>402</v>
      </c>
      <c r="J1124" s="111" t="s">
        <v>402</v>
      </c>
      <c r="K1124" s="106" t="s">
        <v>403</v>
      </c>
      <c r="L1124" s="55" t="s">
        <v>404</v>
      </c>
      <c r="M1124" s="55" t="s">
        <v>7634</v>
      </c>
    </row>
    <row r="1125" spans="1:13">
      <c r="A1125" s="408" t="s">
        <v>3126</v>
      </c>
      <c r="B1125" s="106" t="s">
        <v>327</v>
      </c>
      <c r="C1125" s="106" t="s">
        <v>473</v>
      </c>
      <c r="D1125" s="107" t="s">
        <v>3127</v>
      </c>
      <c r="E1125" s="109" t="s">
        <v>355</v>
      </c>
      <c r="F1125" s="109" t="s">
        <v>355</v>
      </c>
      <c r="G1125" s="55" t="s">
        <v>355</v>
      </c>
      <c r="H1125" s="108" t="s">
        <v>402</v>
      </c>
      <c r="I1125" s="111" t="s">
        <v>402</v>
      </c>
      <c r="J1125" s="111" t="s">
        <v>402</v>
      </c>
      <c r="K1125" s="106" t="s">
        <v>403</v>
      </c>
      <c r="L1125" s="55" t="s">
        <v>404</v>
      </c>
      <c r="M1125" s="55" t="s">
        <v>7634</v>
      </c>
    </row>
    <row r="1126" spans="1:13">
      <c r="A1126" s="408" t="s">
        <v>3128</v>
      </c>
      <c r="B1126" s="106" t="s">
        <v>327</v>
      </c>
      <c r="C1126" s="106" t="s">
        <v>473</v>
      </c>
      <c r="D1126" s="107" t="s">
        <v>3129</v>
      </c>
      <c r="E1126" s="109" t="s">
        <v>355</v>
      </c>
      <c r="F1126" s="109" t="s">
        <v>355</v>
      </c>
      <c r="G1126" s="55" t="s">
        <v>355</v>
      </c>
      <c r="H1126" s="108" t="s">
        <v>402</v>
      </c>
      <c r="I1126" s="111" t="s">
        <v>402</v>
      </c>
      <c r="J1126" s="111" t="s">
        <v>402</v>
      </c>
      <c r="K1126" s="106" t="s">
        <v>403</v>
      </c>
      <c r="L1126" s="55" t="s">
        <v>404</v>
      </c>
      <c r="M1126" s="55" t="s">
        <v>7634</v>
      </c>
    </row>
    <row r="1127" spans="1:13">
      <c r="A1127" s="408" t="s">
        <v>3130</v>
      </c>
      <c r="B1127" s="106" t="s">
        <v>327</v>
      </c>
      <c r="C1127" s="106" t="s">
        <v>473</v>
      </c>
      <c r="D1127" s="107" t="s">
        <v>3131</v>
      </c>
      <c r="E1127" s="109" t="s">
        <v>355</v>
      </c>
      <c r="F1127" s="109" t="s">
        <v>355</v>
      </c>
      <c r="G1127" s="55" t="s">
        <v>355</v>
      </c>
      <c r="H1127" s="108" t="s">
        <v>402</v>
      </c>
      <c r="I1127" s="111" t="s">
        <v>402</v>
      </c>
      <c r="J1127" s="111" t="s">
        <v>402</v>
      </c>
      <c r="K1127" s="106" t="s">
        <v>403</v>
      </c>
      <c r="L1127" s="55" t="s">
        <v>404</v>
      </c>
      <c r="M1127" s="55" t="s">
        <v>7634</v>
      </c>
    </row>
    <row r="1128" spans="1:13">
      <c r="A1128" s="408" t="s">
        <v>3132</v>
      </c>
      <c r="B1128" s="106" t="s">
        <v>327</v>
      </c>
      <c r="C1128" s="106" t="s">
        <v>473</v>
      </c>
      <c r="D1128" s="107" t="s">
        <v>3133</v>
      </c>
      <c r="E1128" s="109" t="s">
        <v>355</v>
      </c>
      <c r="F1128" s="109" t="s">
        <v>355</v>
      </c>
      <c r="G1128" s="55" t="s">
        <v>355</v>
      </c>
      <c r="H1128" s="108" t="s">
        <v>402</v>
      </c>
      <c r="I1128" s="111" t="s">
        <v>402</v>
      </c>
      <c r="J1128" s="111" t="s">
        <v>402</v>
      </c>
      <c r="K1128" s="106" t="s">
        <v>403</v>
      </c>
      <c r="L1128" s="55" t="s">
        <v>404</v>
      </c>
      <c r="M1128" s="55" t="s">
        <v>7634</v>
      </c>
    </row>
    <row r="1129" spans="1:13">
      <c r="A1129" s="408" t="s">
        <v>3134</v>
      </c>
      <c r="B1129" s="106" t="s">
        <v>327</v>
      </c>
      <c r="C1129" s="106" t="s">
        <v>473</v>
      </c>
      <c r="D1129" s="107" t="s">
        <v>3135</v>
      </c>
      <c r="E1129" s="109" t="s">
        <v>355</v>
      </c>
      <c r="F1129" s="109" t="s">
        <v>355</v>
      </c>
      <c r="G1129" s="55" t="s">
        <v>355</v>
      </c>
      <c r="H1129" s="108" t="s">
        <v>402</v>
      </c>
      <c r="I1129" s="111" t="s">
        <v>402</v>
      </c>
      <c r="J1129" s="111" t="s">
        <v>402</v>
      </c>
      <c r="K1129" s="106" t="s">
        <v>403</v>
      </c>
      <c r="L1129" s="55" t="s">
        <v>404</v>
      </c>
      <c r="M1129" s="55" t="s">
        <v>7634</v>
      </c>
    </row>
    <row r="1130" spans="1:13">
      <c r="A1130" s="401" t="s">
        <v>3136</v>
      </c>
      <c r="B1130" s="106" t="s">
        <v>327</v>
      </c>
      <c r="C1130" s="106" t="s">
        <v>473</v>
      </c>
      <c r="D1130" s="109" t="s">
        <v>3137</v>
      </c>
      <c r="E1130" s="109" t="s">
        <v>1748</v>
      </c>
      <c r="F1130" s="109" t="s">
        <v>3138</v>
      </c>
      <c r="G1130" s="117" t="s">
        <v>383</v>
      </c>
      <c r="H1130" s="115" t="s">
        <v>402</v>
      </c>
      <c r="I1130" s="111" t="s">
        <v>402</v>
      </c>
      <c r="J1130" s="111" t="s">
        <v>402</v>
      </c>
      <c r="K1130" s="106" t="s">
        <v>403</v>
      </c>
      <c r="L1130" s="55" t="s">
        <v>404</v>
      </c>
      <c r="M1130" s="55" t="s">
        <v>1173</v>
      </c>
    </row>
    <row r="1131" spans="1:13">
      <c r="A1131" s="408" t="s">
        <v>3139</v>
      </c>
      <c r="B1131" s="106" t="s">
        <v>327</v>
      </c>
      <c r="C1131" s="106" t="s">
        <v>473</v>
      </c>
      <c r="D1131" s="107" t="s">
        <v>3140</v>
      </c>
      <c r="E1131" s="109" t="s">
        <v>355</v>
      </c>
      <c r="F1131" s="109" t="s">
        <v>355</v>
      </c>
      <c r="G1131" s="55" t="s">
        <v>355</v>
      </c>
      <c r="H1131" s="108" t="s">
        <v>402</v>
      </c>
      <c r="I1131" s="111" t="s">
        <v>402</v>
      </c>
      <c r="J1131" s="111" t="s">
        <v>402</v>
      </c>
      <c r="K1131" s="106" t="s">
        <v>403</v>
      </c>
      <c r="L1131" s="55" t="s">
        <v>404</v>
      </c>
      <c r="M1131" s="55" t="s">
        <v>7634</v>
      </c>
    </row>
    <row r="1132" spans="1:13">
      <c r="A1132" s="408" t="s">
        <v>3141</v>
      </c>
      <c r="B1132" s="106" t="s">
        <v>327</v>
      </c>
      <c r="C1132" s="106" t="s">
        <v>473</v>
      </c>
      <c r="D1132" s="107" t="s">
        <v>3142</v>
      </c>
      <c r="E1132" s="109" t="s">
        <v>355</v>
      </c>
      <c r="F1132" s="109" t="s">
        <v>355</v>
      </c>
      <c r="G1132" s="55" t="s">
        <v>355</v>
      </c>
      <c r="H1132" s="108" t="s">
        <v>402</v>
      </c>
      <c r="I1132" s="111" t="s">
        <v>402</v>
      </c>
      <c r="J1132" s="111" t="s">
        <v>402</v>
      </c>
      <c r="K1132" s="106" t="s">
        <v>403</v>
      </c>
      <c r="L1132" s="55" t="s">
        <v>404</v>
      </c>
      <c r="M1132" s="55" t="s">
        <v>7634</v>
      </c>
    </row>
    <row r="1133" spans="1:13">
      <c r="A1133" s="408" t="s">
        <v>3143</v>
      </c>
      <c r="B1133" s="106" t="s">
        <v>327</v>
      </c>
      <c r="C1133" s="106" t="s">
        <v>473</v>
      </c>
      <c r="D1133" s="107" t="s">
        <v>3144</v>
      </c>
      <c r="E1133" s="109" t="s">
        <v>355</v>
      </c>
      <c r="F1133" s="109" t="s">
        <v>355</v>
      </c>
      <c r="G1133" s="55" t="s">
        <v>355</v>
      </c>
      <c r="H1133" s="108" t="s">
        <v>402</v>
      </c>
      <c r="I1133" s="111" t="s">
        <v>402</v>
      </c>
      <c r="J1133" s="111" t="s">
        <v>402</v>
      </c>
      <c r="K1133" s="106" t="s">
        <v>403</v>
      </c>
      <c r="L1133" s="55" t="s">
        <v>404</v>
      </c>
      <c r="M1133" s="55" t="s">
        <v>7634</v>
      </c>
    </row>
    <row r="1134" spans="1:13">
      <c r="A1134" s="408" t="s">
        <v>3145</v>
      </c>
      <c r="B1134" s="106" t="s">
        <v>327</v>
      </c>
      <c r="C1134" s="106" t="s">
        <v>473</v>
      </c>
      <c r="D1134" s="107" t="s">
        <v>3146</v>
      </c>
      <c r="E1134" s="109" t="s">
        <v>355</v>
      </c>
      <c r="F1134" s="109" t="s">
        <v>355</v>
      </c>
      <c r="G1134" s="55" t="s">
        <v>355</v>
      </c>
      <c r="H1134" s="108" t="s">
        <v>402</v>
      </c>
      <c r="I1134" s="111" t="s">
        <v>402</v>
      </c>
      <c r="J1134" s="111" t="s">
        <v>402</v>
      </c>
      <c r="K1134" s="106" t="s">
        <v>403</v>
      </c>
      <c r="L1134" s="55" t="s">
        <v>404</v>
      </c>
      <c r="M1134" s="55" t="s">
        <v>7634</v>
      </c>
    </row>
    <row r="1135" spans="1:13">
      <c r="A1135" s="408" t="s">
        <v>3147</v>
      </c>
      <c r="B1135" s="106" t="s">
        <v>327</v>
      </c>
      <c r="C1135" s="106" t="s">
        <v>473</v>
      </c>
      <c r="D1135" s="107" t="s">
        <v>3148</v>
      </c>
      <c r="E1135" s="109" t="s">
        <v>355</v>
      </c>
      <c r="F1135" s="109" t="s">
        <v>355</v>
      </c>
      <c r="G1135" s="55" t="s">
        <v>355</v>
      </c>
      <c r="H1135" s="108" t="s">
        <v>402</v>
      </c>
      <c r="I1135" s="111" t="s">
        <v>402</v>
      </c>
      <c r="J1135" s="111" t="s">
        <v>402</v>
      </c>
      <c r="K1135" s="106" t="s">
        <v>403</v>
      </c>
      <c r="L1135" s="55" t="s">
        <v>404</v>
      </c>
      <c r="M1135" s="55" t="s">
        <v>7634</v>
      </c>
    </row>
    <row r="1136" spans="1:13">
      <c r="A1136" s="401" t="s">
        <v>3149</v>
      </c>
      <c r="B1136" s="106" t="s">
        <v>327</v>
      </c>
      <c r="C1136" s="106" t="s">
        <v>473</v>
      </c>
      <c r="D1136" s="109" t="s">
        <v>3150</v>
      </c>
      <c r="E1136" s="109" t="s">
        <v>1886</v>
      </c>
      <c r="F1136" s="109" t="s">
        <v>3151</v>
      </c>
      <c r="G1136" s="117" t="s">
        <v>383</v>
      </c>
      <c r="H1136" s="115" t="s">
        <v>402</v>
      </c>
      <c r="I1136" s="111" t="s">
        <v>402</v>
      </c>
      <c r="J1136" s="111" t="s">
        <v>402</v>
      </c>
      <c r="K1136" s="106" t="s">
        <v>403</v>
      </c>
      <c r="L1136" s="55" t="s">
        <v>404</v>
      </c>
      <c r="M1136" s="55" t="s">
        <v>1173</v>
      </c>
    </row>
    <row r="1137" spans="1:13">
      <c r="A1137" s="401" t="s">
        <v>3152</v>
      </c>
      <c r="B1137" s="106" t="s">
        <v>327</v>
      </c>
      <c r="C1137" s="106" t="s">
        <v>473</v>
      </c>
      <c r="D1137" s="109" t="s">
        <v>3153</v>
      </c>
      <c r="E1137" s="109" t="s">
        <v>3154</v>
      </c>
      <c r="F1137" s="109" t="s">
        <v>3155</v>
      </c>
      <c r="G1137" s="117" t="s">
        <v>383</v>
      </c>
      <c r="H1137" s="115" t="s">
        <v>402</v>
      </c>
      <c r="I1137" s="111" t="s">
        <v>402</v>
      </c>
      <c r="J1137" s="111" t="s">
        <v>402</v>
      </c>
      <c r="K1137" s="106" t="s">
        <v>403</v>
      </c>
      <c r="L1137" s="55" t="s">
        <v>404</v>
      </c>
      <c r="M1137" s="55" t="s">
        <v>1173</v>
      </c>
    </row>
    <row r="1138" spans="1:13">
      <c r="A1138" s="408" t="s">
        <v>3156</v>
      </c>
      <c r="B1138" s="106" t="s">
        <v>327</v>
      </c>
      <c r="C1138" s="106" t="s">
        <v>473</v>
      </c>
      <c r="D1138" s="107" t="s">
        <v>3157</v>
      </c>
      <c r="E1138" s="109" t="s">
        <v>355</v>
      </c>
      <c r="F1138" s="109" t="s">
        <v>355</v>
      </c>
      <c r="G1138" s="55" t="s">
        <v>355</v>
      </c>
      <c r="H1138" s="108" t="s">
        <v>402</v>
      </c>
      <c r="I1138" s="111" t="s">
        <v>402</v>
      </c>
      <c r="J1138" s="111" t="s">
        <v>402</v>
      </c>
      <c r="K1138" s="106" t="s">
        <v>403</v>
      </c>
      <c r="L1138" s="55" t="s">
        <v>404</v>
      </c>
      <c r="M1138" s="55" t="s">
        <v>7634</v>
      </c>
    </row>
    <row r="1139" spans="1:13">
      <c r="A1139" s="408" t="s">
        <v>3158</v>
      </c>
      <c r="B1139" s="106" t="s">
        <v>327</v>
      </c>
      <c r="C1139" s="106" t="s">
        <v>473</v>
      </c>
      <c r="D1139" s="107" t="s">
        <v>3159</v>
      </c>
      <c r="E1139" s="109" t="s">
        <v>355</v>
      </c>
      <c r="F1139" s="109" t="s">
        <v>355</v>
      </c>
      <c r="G1139" s="55" t="s">
        <v>355</v>
      </c>
      <c r="H1139" s="108" t="s">
        <v>402</v>
      </c>
      <c r="I1139" s="111" t="s">
        <v>402</v>
      </c>
      <c r="J1139" s="111" t="s">
        <v>402</v>
      </c>
      <c r="K1139" s="106" t="s">
        <v>403</v>
      </c>
      <c r="L1139" s="55" t="s">
        <v>404</v>
      </c>
      <c r="M1139" s="55" t="s">
        <v>7634</v>
      </c>
    </row>
    <row r="1140" spans="1:13">
      <c r="A1140" s="401" t="s">
        <v>3160</v>
      </c>
      <c r="B1140" s="106" t="s">
        <v>327</v>
      </c>
      <c r="C1140" s="106" t="s">
        <v>473</v>
      </c>
      <c r="D1140" s="109" t="s">
        <v>3161</v>
      </c>
      <c r="E1140" s="109" t="s">
        <v>3162</v>
      </c>
      <c r="F1140" s="110" t="s">
        <v>3163</v>
      </c>
      <c r="G1140" s="59" t="s">
        <v>383</v>
      </c>
      <c r="H1140" s="115" t="s">
        <v>402</v>
      </c>
      <c r="I1140" s="111" t="s">
        <v>402</v>
      </c>
      <c r="J1140" s="111" t="s">
        <v>402</v>
      </c>
      <c r="K1140" s="106" t="s">
        <v>403</v>
      </c>
      <c r="L1140" s="55" t="s">
        <v>404</v>
      </c>
      <c r="M1140" s="113" t="s">
        <v>1173</v>
      </c>
    </row>
    <row r="1141" spans="1:13">
      <c r="A1141" s="408" t="s">
        <v>3164</v>
      </c>
      <c r="B1141" s="106" t="s">
        <v>327</v>
      </c>
      <c r="C1141" s="106" t="s">
        <v>473</v>
      </c>
      <c r="D1141" s="107" t="s">
        <v>3165</v>
      </c>
      <c r="E1141" s="109" t="s">
        <v>355</v>
      </c>
      <c r="F1141" s="109" t="s">
        <v>355</v>
      </c>
      <c r="G1141" s="55" t="s">
        <v>355</v>
      </c>
      <c r="H1141" s="108" t="s">
        <v>402</v>
      </c>
      <c r="I1141" s="111" t="s">
        <v>402</v>
      </c>
      <c r="J1141" s="111" t="s">
        <v>402</v>
      </c>
      <c r="K1141" s="106" t="s">
        <v>403</v>
      </c>
      <c r="L1141" s="55" t="s">
        <v>404</v>
      </c>
      <c r="M1141" s="55" t="s">
        <v>7634</v>
      </c>
    </row>
    <row r="1142" spans="1:13">
      <c r="A1142" s="401" t="s">
        <v>3166</v>
      </c>
      <c r="B1142" s="106" t="s">
        <v>327</v>
      </c>
      <c r="C1142" s="106" t="s">
        <v>473</v>
      </c>
      <c r="D1142" s="109" t="s">
        <v>3167</v>
      </c>
      <c r="E1142" s="109" t="s">
        <v>3168</v>
      </c>
      <c r="F1142" s="109" t="s">
        <v>3169</v>
      </c>
      <c r="G1142" s="117" t="s">
        <v>383</v>
      </c>
      <c r="H1142" s="115" t="s">
        <v>402</v>
      </c>
      <c r="I1142" s="111" t="s">
        <v>402</v>
      </c>
      <c r="J1142" s="111" t="s">
        <v>402</v>
      </c>
      <c r="K1142" s="106" t="s">
        <v>403</v>
      </c>
      <c r="L1142" s="55" t="s">
        <v>404</v>
      </c>
      <c r="M1142" s="55" t="s">
        <v>1173</v>
      </c>
    </row>
    <row r="1143" spans="1:13">
      <c r="A1143" s="408" t="s">
        <v>3170</v>
      </c>
      <c r="B1143" s="106" t="s">
        <v>327</v>
      </c>
      <c r="C1143" s="106" t="s">
        <v>473</v>
      </c>
      <c r="D1143" s="107" t="s">
        <v>3171</v>
      </c>
      <c r="E1143" s="109" t="s">
        <v>355</v>
      </c>
      <c r="F1143" s="109" t="s">
        <v>355</v>
      </c>
      <c r="G1143" s="55" t="s">
        <v>355</v>
      </c>
      <c r="H1143" s="108" t="s">
        <v>402</v>
      </c>
      <c r="I1143" s="111" t="s">
        <v>402</v>
      </c>
      <c r="J1143" s="111" t="s">
        <v>402</v>
      </c>
      <c r="K1143" s="106" t="s">
        <v>403</v>
      </c>
      <c r="L1143" s="55" t="s">
        <v>404</v>
      </c>
      <c r="M1143" s="55" t="s">
        <v>7634</v>
      </c>
    </row>
    <row r="1144" spans="1:13">
      <c r="A1144" s="408" t="s">
        <v>3172</v>
      </c>
      <c r="B1144" s="106" t="s">
        <v>327</v>
      </c>
      <c r="C1144" s="106" t="s">
        <v>473</v>
      </c>
      <c r="D1144" s="107" t="s">
        <v>3173</v>
      </c>
      <c r="E1144" s="109" t="s">
        <v>355</v>
      </c>
      <c r="F1144" s="109" t="s">
        <v>355</v>
      </c>
      <c r="G1144" s="55" t="s">
        <v>355</v>
      </c>
      <c r="H1144" s="108" t="s">
        <v>402</v>
      </c>
      <c r="I1144" s="111" t="s">
        <v>402</v>
      </c>
      <c r="J1144" s="111" t="s">
        <v>402</v>
      </c>
      <c r="K1144" s="106" t="s">
        <v>403</v>
      </c>
      <c r="L1144" s="55" t="s">
        <v>404</v>
      </c>
      <c r="M1144" s="55" t="s">
        <v>7634</v>
      </c>
    </row>
    <row r="1145" spans="1:13">
      <c r="A1145" s="401" t="s">
        <v>3174</v>
      </c>
      <c r="B1145" s="106" t="s">
        <v>327</v>
      </c>
      <c r="C1145" s="106" t="s">
        <v>473</v>
      </c>
      <c r="D1145" s="109" t="s">
        <v>3175</v>
      </c>
      <c r="E1145" s="109" t="s">
        <v>3176</v>
      </c>
      <c r="F1145" s="110" t="s">
        <v>383</v>
      </c>
      <c r="G1145" s="112" t="s">
        <v>3177</v>
      </c>
      <c r="H1145" s="115" t="s">
        <v>402</v>
      </c>
      <c r="I1145" s="111" t="s">
        <v>402</v>
      </c>
      <c r="J1145" s="111" t="s">
        <v>402</v>
      </c>
      <c r="K1145" s="115" t="s">
        <v>403</v>
      </c>
      <c r="L1145" s="55" t="s">
        <v>404</v>
      </c>
      <c r="M1145" s="113" t="s">
        <v>383</v>
      </c>
    </row>
    <row r="1146" spans="1:13">
      <c r="A1146" s="408" t="s">
        <v>3178</v>
      </c>
      <c r="B1146" s="106" t="s">
        <v>327</v>
      </c>
      <c r="C1146" s="106" t="s">
        <v>473</v>
      </c>
      <c r="D1146" s="107" t="s">
        <v>3179</v>
      </c>
      <c r="E1146" s="109" t="s">
        <v>355</v>
      </c>
      <c r="F1146" s="109" t="s">
        <v>355</v>
      </c>
      <c r="G1146" s="55" t="s">
        <v>355</v>
      </c>
      <c r="H1146" s="108" t="s">
        <v>402</v>
      </c>
      <c r="I1146" s="111" t="s">
        <v>402</v>
      </c>
      <c r="J1146" s="111" t="s">
        <v>402</v>
      </c>
      <c r="K1146" s="106" t="s">
        <v>403</v>
      </c>
      <c r="L1146" s="55" t="s">
        <v>404</v>
      </c>
      <c r="M1146" s="55" t="s">
        <v>7634</v>
      </c>
    </row>
    <row r="1147" spans="1:13">
      <c r="A1147" s="408" t="s">
        <v>3180</v>
      </c>
      <c r="B1147" s="106" t="s">
        <v>327</v>
      </c>
      <c r="C1147" s="106" t="s">
        <v>473</v>
      </c>
      <c r="D1147" s="107" t="s">
        <v>3181</v>
      </c>
      <c r="E1147" s="109" t="s">
        <v>355</v>
      </c>
      <c r="F1147" s="109" t="s">
        <v>355</v>
      </c>
      <c r="G1147" s="55" t="s">
        <v>355</v>
      </c>
      <c r="H1147" s="108" t="s">
        <v>402</v>
      </c>
      <c r="I1147" s="111" t="s">
        <v>402</v>
      </c>
      <c r="J1147" s="111" t="s">
        <v>402</v>
      </c>
      <c r="K1147" s="106" t="s">
        <v>403</v>
      </c>
      <c r="L1147" s="55" t="s">
        <v>404</v>
      </c>
      <c r="M1147" s="55" t="s">
        <v>7634</v>
      </c>
    </row>
    <row r="1148" spans="1:13">
      <c r="A1148" s="408" t="s">
        <v>3182</v>
      </c>
      <c r="B1148" s="106" t="s">
        <v>327</v>
      </c>
      <c r="C1148" s="106" t="s">
        <v>473</v>
      </c>
      <c r="D1148" s="107" t="s">
        <v>3183</v>
      </c>
      <c r="E1148" s="109" t="s">
        <v>355</v>
      </c>
      <c r="F1148" s="109" t="s">
        <v>355</v>
      </c>
      <c r="G1148" s="55" t="s">
        <v>355</v>
      </c>
      <c r="H1148" s="108" t="s">
        <v>402</v>
      </c>
      <c r="I1148" s="111" t="s">
        <v>402</v>
      </c>
      <c r="J1148" s="111" t="s">
        <v>402</v>
      </c>
      <c r="K1148" s="106" t="s">
        <v>403</v>
      </c>
      <c r="L1148" s="55" t="s">
        <v>404</v>
      </c>
      <c r="M1148" s="55" t="s">
        <v>7634</v>
      </c>
    </row>
    <row r="1149" spans="1:13">
      <c r="A1149" s="408" t="s">
        <v>3184</v>
      </c>
      <c r="B1149" s="106" t="s">
        <v>327</v>
      </c>
      <c r="C1149" s="106" t="s">
        <v>473</v>
      </c>
      <c r="D1149" s="107" t="s">
        <v>3185</v>
      </c>
      <c r="E1149" s="109" t="s">
        <v>355</v>
      </c>
      <c r="F1149" s="109" t="s">
        <v>355</v>
      </c>
      <c r="G1149" s="55" t="s">
        <v>355</v>
      </c>
      <c r="H1149" s="108" t="s">
        <v>402</v>
      </c>
      <c r="I1149" s="111" t="s">
        <v>402</v>
      </c>
      <c r="J1149" s="111" t="s">
        <v>402</v>
      </c>
      <c r="K1149" s="106" t="s">
        <v>403</v>
      </c>
      <c r="L1149" s="55" t="s">
        <v>404</v>
      </c>
      <c r="M1149" s="55" t="s">
        <v>7634</v>
      </c>
    </row>
    <row r="1150" spans="1:13">
      <c r="A1150" s="408" t="s">
        <v>3186</v>
      </c>
      <c r="B1150" s="106" t="s">
        <v>327</v>
      </c>
      <c r="C1150" s="106" t="s">
        <v>473</v>
      </c>
      <c r="D1150" s="107" t="s">
        <v>3187</v>
      </c>
      <c r="E1150" s="109" t="s">
        <v>355</v>
      </c>
      <c r="F1150" s="109" t="s">
        <v>355</v>
      </c>
      <c r="G1150" s="55" t="s">
        <v>355</v>
      </c>
      <c r="H1150" s="108" t="s">
        <v>402</v>
      </c>
      <c r="I1150" s="111" t="s">
        <v>402</v>
      </c>
      <c r="J1150" s="111" t="s">
        <v>402</v>
      </c>
      <c r="K1150" s="106" t="s">
        <v>403</v>
      </c>
      <c r="L1150" s="55" t="s">
        <v>404</v>
      </c>
      <c r="M1150" s="55" t="s">
        <v>7634</v>
      </c>
    </row>
    <row r="1151" spans="1:13">
      <c r="A1151" s="408" t="s">
        <v>3188</v>
      </c>
      <c r="B1151" s="106" t="s">
        <v>327</v>
      </c>
      <c r="C1151" s="106" t="s">
        <v>473</v>
      </c>
      <c r="D1151" s="107" t="s">
        <v>3189</v>
      </c>
      <c r="E1151" s="109" t="s">
        <v>355</v>
      </c>
      <c r="F1151" s="109" t="s">
        <v>355</v>
      </c>
      <c r="G1151" s="55" t="s">
        <v>355</v>
      </c>
      <c r="H1151" s="108" t="s">
        <v>402</v>
      </c>
      <c r="I1151" s="111" t="s">
        <v>402</v>
      </c>
      <c r="J1151" s="111" t="s">
        <v>402</v>
      </c>
      <c r="K1151" s="106" t="s">
        <v>403</v>
      </c>
      <c r="L1151" s="55" t="s">
        <v>404</v>
      </c>
      <c r="M1151" s="55" t="s">
        <v>7634</v>
      </c>
    </row>
    <row r="1152" spans="1:13">
      <c r="A1152" s="408" t="s">
        <v>3190</v>
      </c>
      <c r="B1152" s="106" t="s">
        <v>327</v>
      </c>
      <c r="C1152" s="106" t="s">
        <v>473</v>
      </c>
      <c r="D1152" s="107" t="s">
        <v>3191</v>
      </c>
      <c r="E1152" s="109" t="s">
        <v>355</v>
      </c>
      <c r="F1152" s="109" t="s">
        <v>355</v>
      </c>
      <c r="G1152" s="55" t="s">
        <v>355</v>
      </c>
      <c r="H1152" s="108" t="s">
        <v>402</v>
      </c>
      <c r="I1152" s="111" t="s">
        <v>402</v>
      </c>
      <c r="J1152" s="111" t="s">
        <v>402</v>
      </c>
      <c r="K1152" s="106" t="s">
        <v>403</v>
      </c>
      <c r="L1152" s="55" t="s">
        <v>404</v>
      </c>
      <c r="M1152" s="55" t="s">
        <v>7634</v>
      </c>
    </row>
    <row r="1153" spans="1:13">
      <c r="A1153" s="408" t="s">
        <v>3192</v>
      </c>
      <c r="B1153" s="106" t="s">
        <v>327</v>
      </c>
      <c r="C1153" s="106" t="s">
        <v>473</v>
      </c>
      <c r="D1153" s="107" t="s">
        <v>3193</v>
      </c>
      <c r="E1153" s="109" t="s">
        <v>355</v>
      </c>
      <c r="F1153" s="109" t="s">
        <v>355</v>
      </c>
      <c r="G1153" s="55" t="s">
        <v>355</v>
      </c>
      <c r="H1153" s="108" t="s">
        <v>402</v>
      </c>
      <c r="I1153" s="111" t="s">
        <v>402</v>
      </c>
      <c r="J1153" s="111" t="s">
        <v>402</v>
      </c>
      <c r="K1153" s="106" t="s">
        <v>403</v>
      </c>
      <c r="L1153" s="55" t="s">
        <v>404</v>
      </c>
      <c r="M1153" s="55" t="s">
        <v>7634</v>
      </c>
    </row>
    <row r="1154" spans="1:13">
      <c r="A1154" s="401" t="s">
        <v>3194</v>
      </c>
      <c r="B1154" s="106" t="s">
        <v>327</v>
      </c>
      <c r="C1154" s="106" t="s">
        <v>473</v>
      </c>
      <c r="D1154" s="109" t="s">
        <v>3195</v>
      </c>
      <c r="E1154" s="109" t="s">
        <v>3196</v>
      </c>
      <c r="F1154" s="109" t="s">
        <v>3197</v>
      </c>
      <c r="G1154" s="594" t="s">
        <v>3198</v>
      </c>
      <c r="H1154" s="115" t="s">
        <v>402</v>
      </c>
      <c r="I1154" s="111" t="s">
        <v>402</v>
      </c>
      <c r="J1154" s="111" t="s">
        <v>402</v>
      </c>
      <c r="K1154" s="106" t="s">
        <v>403</v>
      </c>
      <c r="L1154" s="55" t="s">
        <v>404</v>
      </c>
      <c r="M1154" s="55" t="s">
        <v>1173</v>
      </c>
    </row>
    <row r="1155" spans="1:13">
      <c r="A1155" s="408" t="s">
        <v>3199</v>
      </c>
      <c r="B1155" s="106" t="s">
        <v>327</v>
      </c>
      <c r="C1155" s="106" t="s">
        <v>473</v>
      </c>
      <c r="D1155" s="107" t="s">
        <v>3200</v>
      </c>
      <c r="E1155" s="109" t="s">
        <v>355</v>
      </c>
      <c r="F1155" s="109" t="s">
        <v>355</v>
      </c>
      <c r="G1155" s="55" t="s">
        <v>355</v>
      </c>
      <c r="H1155" s="108" t="s">
        <v>402</v>
      </c>
      <c r="I1155" s="111" t="s">
        <v>402</v>
      </c>
      <c r="J1155" s="111" t="s">
        <v>402</v>
      </c>
      <c r="K1155" s="106" t="s">
        <v>403</v>
      </c>
      <c r="L1155" s="55" t="s">
        <v>404</v>
      </c>
      <c r="M1155" s="55" t="s">
        <v>7634</v>
      </c>
    </row>
    <row r="1156" spans="1:13">
      <c r="A1156" s="408" t="s">
        <v>3201</v>
      </c>
      <c r="B1156" s="106" t="s">
        <v>327</v>
      </c>
      <c r="C1156" s="106" t="s">
        <v>473</v>
      </c>
      <c r="D1156" s="107" t="s">
        <v>3202</v>
      </c>
      <c r="E1156" s="109" t="s">
        <v>355</v>
      </c>
      <c r="F1156" s="109" t="s">
        <v>355</v>
      </c>
      <c r="G1156" s="55" t="s">
        <v>355</v>
      </c>
      <c r="H1156" s="108" t="s">
        <v>402</v>
      </c>
      <c r="I1156" s="111" t="s">
        <v>402</v>
      </c>
      <c r="J1156" s="111" t="s">
        <v>402</v>
      </c>
      <c r="K1156" s="106" t="s">
        <v>403</v>
      </c>
      <c r="L1156" s="55" t="s">
        <v>404</v>
      </c>
      <c r="M1156" s="55" t="s">
        <v>7634</v>
      </c>
    </row>
    <row r="1157" spans="1:13">
      <c r="A1157" s="401" t="s">
        <v>3203</v>
      </c>
      <c r="B1157" s="106" t="s">
        <v>327</v>
      </c>
      <c r="C1157" s="106" t="s">
        <v>473</v>
      </c>
      <c r="D1157" s="109" t="s">
        <v>3204</v>
      </c>
      <c r="E1157" s="109" t="s">
        <v>1886</v>
      </c>
      <c r="F1157" s="109" t="s">
        <v>3205</v>
      </c>
      <c r="G1157" s="117" t="s">
        <v>383</v>
      </c>
      <c r="H1157" s="115" t="s">
        <v>402</v>
      </c>
      <c r="I1157" s="111" t="s">
        <v>402</v>
      </c>
      <c r="J1157" s="111" t="s">
        <v>402</v>
      </c>
      <c r="K1157" s="115" t="s">
        <v>403</v>
      </c>
      <c r="L1157" s="55" t="s">
        <v>404</v>
      </c>
      <c r="M1157" s="113" t="s">
        <v>1173</v>
      </c>
    </row>
    <row r="1158" spans="1:13">
      <c r="A1158" s="401" t="s">
        <v>3206</v>
      </c>
      <c r="B1158" s="106" t="s">
        <v>327</v>
      </c>
      <c r="C1158" s="106" t="s">
        <v>473</v>
      </c>
      <c r="D1158" s="109" t="s">
        <v>3207</v>
      </c>
      <c r="E1158" s="109" t="s">
        <v>3208</v>
      </c>
      <c r="F1158" s="109" t="s">
        <v>3209</v>
      </c>
      <c r="G1158" s="112" t="s">
        <v>3210</v>
      </c>
      <c r="H1158" s="115" t="s">
        <v>402</v>
      </c>
      <c r="I1158" s="111" t="s">
        <v>402</v>
      </c>
      <c r="J1158" s="111" t="s">
        <v>402</v>
      </c>
      <c r="K1158" s="115" t="s">
        <v>403</v>
      </c>
      <c r="L1158" s="55" t="s">
        <v>404</v>
      </c>
      <c r="M1158" s="113" t="s">
        <v>1173</v>
      </c>
    </row>
    <row r="1159" spans="1:13">
      <c r="A1159" s="408" t="s">
        <v>3211</v>
      </c>
      <c r="B1159" s="106" t="s">
        <v>327</v>
      </c>
      <c r="C1159" s="106" t="s">
        <v>473</v>
      </c>
      <c r="D1159" s="107" t="s">
        <v>3212</v>
      </c>
      <c r="E1159" s="109" t="s">
        <v>355</v>
      </c>
      <c r="F1159" s="109" t="s">
        <v>355</v>
      </c>
      <c r="G1159" s="55" t="s">
        <v>355</v>
      </c>
      <c r="H1159" s="108" t="s">
        <v>402</v>
      </c>
      <c r="I1159" s="111" t="s">
        <v>402</v>
      </c>
      <c r="J1159" s="111" t="s">
        <v>402</v>
      </c>
      <c r="K1159" s="106" t="s">
        <v>403</v>
      </c>
      <c r="L1159" s="55" t="s">
        <v>404</v>
      </c>
      <c r="M1159" s="55" t="s">
        <v>7634</v>
      </c>
    </row>
    <row r="1160" spans="1:13">
      <c r="A1160" s="408" t="s">
        <v>3213</v>
      </c>
      <c r="B1160" s="106" t="s">
        <v>327</v>
      </c>
      <c r="C1160" s="106" t="s">
        <v>473</v>
      </c>
      <c r="D1160" s="107" t="s">
        <v>3214</v>
      </c>
      <c r="E1160" s="109" t="s">
        <v>355</v>
      </c>
      <c r="F1160" s="109" t="s">
        <v>355</v>
      </c>
      <c r="G1160" s="55" t="s">
        <v>355</v>
      </c>
      <c r="H1160" s="108" t="s">
        <v>402</v>
      </c>
      <c r="I1160" s="111" t="s">
        <v>402</v>
      </c>
      <c r="J1160" s="111" t="s">
        <v>402</v>
      </c>
      <c r="K1160" s="106" t="s">
        <v>403</v>
      </c>
      <c r="L1160" s="55" t="s">
        <v>404</v>
      </c>
      <c r="M1160" s="55" t="s">
        <v>7634</v>
      </c>
    </row>
    <row r="1161" spans="1:13">
      <c r="A1161" s="408" t="s">
        <v>3215</v>
      </c>
      <c r="B1161" s="106" t="s">
        <v>327</v>
      </c>
      <c r="C1161" s="106" t="s">
        <v>473</v>
      </c>
      <c r="D1161" s="107" t="s">
        <v>3216</v>
      </c>
      <c r="E1161" s="109" t="s">
        <v>355</v>
      </c>
      <c r="F1161" s="109" t="s">
        <v>355</v>
      </c>
      <c r="G1161" s="55" t="s">
        <v>355</v>
      </c>
      <c r="H1161" s="108" t="s">
        <v>402</v>
      </c>
      <c r="I1161" s="111" t="s">
        <v>402</v>
      </c>
      <c r="J1161" s="111" t="s">
        <v>402</v>
      </c>
      <c r="K1161" s="106" t="s">
        <v>403</v>
      </c>
      <c r="L1161" s="55" t="s">
        <v>404</v>
      </c>
      <c r="M1161" s="55" t="s">
        <v>7634</v>
      </c>
    </row>
    <row r="1162" spans="1:13">
      <c r="A1162" s="401" t="s">
        <v>3217</v>
      </c>
      <c r="B1162" s="106" t="s">
        <v>327</v>
      </c>
      <c r="C1162" s="106" t="s">
        <v>473</v>
      </c>
      <c r="D1162" s="109" t="s">
        <v>3218</v>
      </c>
      <c r="E1162" s="109" t="s">
        <v>1886</v>
      </c>
      <c r="F1162" s="109" t="s">
        <v>3219</v>
      </c>
      <c r="G1162" s="117" t="s">
        <v>383</v>
      </c>
      <c r="H1162" s="115" t="s">
        <v>402</v>
      </c>
      <c r="I1162" s="111" t="s">
        <v>402</v>
      </c>
      <c r="J1162" s="111" t="s">
        <v>402</v>
      </c>
      <c r="K1162" s="115" t="s">
        <v>403</v>
      </c>
      <c r="L1162" s="55" t="s">
        <v>404</v>
      </c>
      <c r="M1162" s="113" t="s">
        <v>1173</v>
      </c>
    </row>
    <row r="1163" spans="1:13">
      <c r="A1163" s="408" t="s">
        <v>3220</v>
      </c>
      <c r="B1163" s="106" t="s">
        <v>327</v>
      </c>
      <c r="C1163" s="106" t="s">
        <v>473</v>
      </c>
      <c r="D1163" s="107" t="s">
        <v>3221</v>
      </c>
      <c r="E1163" s="109" t="s">
        <v>355</v>
      </c>
      <c r="F1163" s="109" t="s">
        <v>355</v>
      </c>
      <c r="G1163" s="55" t="s">
        <v>355</v>
      </c>
      <c r="H1163" s="108" t="s">
        <v>402</v>
      </c>
      <c r="I1163" s="111" t="s">
        <v>402</v>
      </c>
      <c r="J1163" s="111" t="s">
        <v>402</v>
      </c>
      <c r="K1163" s="106" t="s">
        <v>403</v>
      </c>
      <c r="L1163" s="55" t="s">
        <v>404</v>
      </c>
      <c r="M1163" s="55" t="s">
        <v>7634</v>
      </c>
    </row>
    <row r="1164" spans="1:13">
      <c r="A1164" s="401" t="s">
        <v>3222</v>
      </c>
      <c r="B1164" s="106" t="s">
        <v>327</v>
      </c>
      <c r="C1164" s="106" t="s">
        <v>473</v>
      </c>
      <c r="D1164" s="109" t="s">
        <v>3223</v>
      </c>
      <c r="E1164" s="109" t="s">
        <v>3224</v>
      </c>
      <c r="F1164" s="109" t="s">
        <v>3225</v>
      </c>
      <c r="G1164" s="117" t="s">
        <v>383</v>
      </c>
      <c r="H1164" s="115" t="s">
        <v>402</v>
      </c>
      <c r="I1164" s="111" t="s">
        <v>402</v>
      </c>
      <c r="J1164" s="111" t="s">
        <v>402</v>
      </c>
      <c r="K1164" s="106" t="s">
        <v>403</v>
      </c>
      <c r="L1164" s="55" t="s">
        <v>404</v>
      </c>
      <c r="M1164" s="55" t="s">
        <v>1173</v>
      </c>
    </row>
    <row r="1165" spans="1:13">
      <c r="A1165" s="401" t="s">
        <v>3226</v>
      </c>
      <c r="B1165" s="106" t="s">
        <v>327</v>
      </c>
      <c r="C1165" s="106" t="s">
        <v>473</v>
      </c>
      <c r="D1165" s="109" t="s">
        <v>3227</v>
      </c>
      <c r="E1165" s="109" t="s">
        <v>3228</v>
      </c>
      <c r="F1165" s="109" t="s">
        <v>3229</v>
      </c>
      <c r="G1165" s="117" t="s">
        <v>383</v>
      </c>
      <c r="H1165" s="115" t="s">
        <v>402</v>
      </c>
      <c r="I1165" s="111" t="s">
        <v>402</v>
      </c>
      <c r="J1165" s="111" t="s">
        <v>402</v>
      </c>
      <c r="K1165" s="106" t="s">
        <v>403</v>
      </c>
      <c r="L1165" s="55" t="s">
        <v>404</v>
      </c>
      <c r="M1165" s="55" t="s">
        <v>1173</v>
      </c>
    </row>
    <row r="1166" spans="1:13">
      <c r="A1166" s="408" t="s">
        <v>3230</v>
      </c>
      <c r="B1166" s="106" t="s">
        <v>327</v>
      </c>
      <c r="C1166" s="106" t="s">
        <v>473</v>
      </c>
      <c r="D1166" s="107" t="s">
        <v>3231</v>
      </c>
      <c r="E1166" s="109" t="s">
        <v>355</v>
      </c>
      <c r="F1166" s="109" t="s">
        <v>355</v>
      </c>
      <c r="G1166" s="55" t="s">
        <v>355</v>
      </c>
      <c r="H1166" s="108" t="s">
        <v>402</v>
      </c>
      <c r="I1166" s="111" t="s">
        <v>402</v>
      </c>
      <c r="J1166" s="111" t="s">
        <v>402</v>
      </c>
      <c r="K1166" s="106" t="s">
        <v>403</v>
      </c>
      <c r="L1166" s="55" t="s">
        <v>404</v>
      </c>
      <c r="M1166" s="55" t="s">
        <v>7634</v>
      </c>
    </row>
    <row r="1167" spans="1:13">
      <c r="A1167" s="408" t="s">
        <v>3232</v>
      </c>
      <c r="B1167" s="106" t="s">
        <v>327</v>
      </c>
      <c r="C1167" s="106" t="s">
        <v>473</v>
      </c>
      <c r="D1167" s="107" t="s">
        <v>3233</v>
      </c>
      <c r="E1167" s="109" t="s">
        <v>355</v>
      </c>
      <c r="F1167" s="109" t="s">
        <v>355</v>
      </c>
      <c r="G1167" s="55" t="s">
        <v>355</v>
      </c>
      <c r="H1167" s="108" t="s">
        <v>402</v>
      </c>
      <c r="I1167" s="111" t="s">
        <v>402</v>
      </c>
      <c r="J1167" s="111" t="s">
        <v>402</v>
      </c>
      <c r="K1167" s="106" t="s">
        <v>403</v>
      </c>
      <c r="L1167" s="55" t="s">
        <v>404</v>
      </c>
      <c r="M1167" s="55" t="s">
        <v>7634</v>
      </c>
    </row>
    <row r="1168" spans="1:13">
      <c r="A1168" s="408" t="s">
        <v>3234</v>
      </c>
      <c r="B1168" s="106" t="s">
        <v>327</v>
      </c>
      <c r="C1168" s="106" t="s">
        <v>473</v>
      </c>
      <c r="D1168" s="107" t="s">
        <v>3235</v>
      </c>
      <c r="E1168" s="109" t="s">
        <v>355</v>
      </c>
      <c r="F1168" s="109" t="s">
        <v>355</v>
      </c>
      <c r="G1168" s="55" t="s">
        <v>355</v>
      </c>
      <c r="H1168" s="108" t="s">
        <v>402</v>
      </c>
      <c r="I1168" s="111" t="s">
        <v>402</v>
      </c>
      <c r="J1168" s="111" t="s">
        <v>402</v>
      </c>
      <c r="K1168" s="106" t="s">
        <v>403</v>
      </c>
      <c r="L1168" s="55" t="s">
        <v>404</v>
      </c>
      <c r="M1168" s="55" t="s">
        <v>7634</v>
      </c>
    </row>
    <row r="1169" spans="1:13">
      <c r="A1169" s="401" t="s">
        <v>3236</v>
      </c>
      <c r="B1169" s="106" t="s">
        <v>1059</v>
      </c>
      <c r="C1169" s="106" t="s">
        <v>473</v>
      </c>
      <c r="D1169" s="109" t="s">
        <v>3237</v>
      </c>
      <c r="E1169" s="109" t="s">
        <v>3238</v>
      </c>
      <c r="F1169" s="109" t="s">
        <v>3239</v>
      </c>
      <c r="G1169" s="114"/>
      <c r="H1169" s="115" t="s">
        <v>402</v>
      </c>
      <c r="I1169" s="111" t="s">
        <v>402</v>
      </c>
      <c r="J1169" s="111" t="s">
        <v>402</v>
      </c>
      <c r="K1169" s="106" t="s">
        <v>403</v>
      </c>
      <c r="L1169" s="55" t="s">
        <v>3240</v>
      </c>
      <c r="M1169" s="113" t="s">
        <v>1173</v>
      </c>
    </row>
    <row r="1170" spans="1:13">
      <c r="A1170" s="408" t="s">
        <v>3241</v>
      </c>
      <c r="B1170" s="106" t="s">
        <v>327</v>
      </c>
      <c r="C1170" s="106" t="s">
        <v>473</v>
      </c>
      <c r="D1170" s="107" t="s">
        <v>3242</v>
      </c>
      <c r="E1170" s="109" t="s">
        <v>355</v>
      </c>
      <c r="F1170" s="109" t="s">
        <v>355</v>
      </c>
      <c r="G1170" s="55" t="s">
        <v>355</v>
      </c>
      <c r="H1170" s="108" t="s">
        <v>402</v>
      </c>
      <c r="I1170" s="111" t="s">
        <v>402</v>
      </c>
      <c r="J1170" s="111" t="s">
        <v>402</v>
      </c>
      <c r="K1170" s="106" t="s">
        <v>403</v>
      </c>
      <c r="L1170" s="55" t="s">
        <v>404</v>
      </c>
      <c r="M1170" s="55" t="s">
        <v>7634</v>
      </c>
    </row>
    <row r="1171" spans="1:13">
      <c r="A1171" s="401" t="s">
        <v>3243</v>
      </c>
      <c r="B1171" s="106" t="s">
        <v>327</v>
      </c>
      <c r="C1171" s="106" t="s">
        <v>473</v>
      </c>
      <c r="D1171" s="109" t="s">
        <v>3244</v>
      </c>
      <c r="E1171" s="109" t="s">
        <v>3245</v>
      </c>
      <c r="F1171" s="109" t="s">
        <v>3246</v>
      </c>
      <c r="G1171" s="117" t="s">
        <v>383</v>
      </c>
      <c r="H1171" s="115" t="s">
        <v>402</v>
      </c>
      <c r="I1171" s="111" t="s">
        <v>402</v>
      </c>
      <c r="J1171" s="111" t="s">
        <v>402</v>
      </c>
      <c r="K1171" s="106" t="s">
        <v>403</v>
      </c>
      <c r="L1171" s="55" t="s">
        <v>404</v>
      </c>
      <c r="M1171" s="55" t="s">
        <v>1173</v>
      </c>
    </row>
    <row r="1172" spans="1:13">
      <c r="A1172" s="408" t="s">
        <v>3247</v>
      </c>
      <c r="B1172" s="106" t="s">
        <v>327</v>
      </c>
      <c r="C1172" s="106" t="s">
        <v>473</v>
      </c>
      <c r="D1172" s="107" t="s">
        <v>3248</v>
      </c>
      <c r="E1172" s="109" t="s">
        <v>355</v>
      </c>
      <c r="F1172" s="109" t="s">
        <v>355</v>
      </c>
      <c r="G1172" s="55" t="s">
        <v>355</v>
      </c>
      <c r="H1172" s="108" t="s">
        <v>402</v>
      </c>
      <c r="I1172" s="111" t="s">
        <v>402</v>
      </c>
      <c r="J1172" s="111" t="s">
        <v>402</v>
      </c>
      <c r="K1172" s="106" t="s">
        <v>403</v>
      </c>
      <c r="L1172" s="55" t="s">
        <v>404</v>
      </c>
      <c r="M1172" s="55" t="s">
        <v>7634</v>
      </c>
    </row>
    <row r="1173" spans="1:13">
      <c r="A1173" s="408" t="s">
        <v>3249</v>
      </c>
      <c r="B1173" s="106" t="s">
        <v>327</v>
      </c>
      <c r="C1173" s="106" t="s">
        <v>473</v>
      </c>
      <c r="D1173" s="107" t="s">
        <v>3250</v>
      </c>
      <c r="E1173" s="109" t="s">
        <v>355</v>
      </c>
      <c r="F1173" s="109" t="s">
        <v>355</v>
      </c>
      <c r="G1173" s="55" t="s">
        <v>355</v>
      </c>
      <c r="H1173" s="108" t="s">
        <v>402</v>
      </c>
      <c r="I1173" s="111" t="s">
        <v>402</v>
      </c>
      <c r="J1173" s="111" t="s">
        <v>402</v>
      </c>
      <c r="K1173" s="106" t="s">
        <v>403</v>
      </c>
      <c r="L1173" s="55" t="s">
        <v>404</v>
      </c>
      <c r="M1173" s="55" t="s">
        <v>7634</v>
      </c>
    </row>
    <row r="1174" spans="1:13">
      <c r="A1174" s="408" t="s">
        <v>3251</v>
      </c>
      <c r="B1174" s="106" t="s">
        <v>327</v>
      </c>
      <c r="C1174" s="106" t="s">
        <v>473</v>
      </c>
      <c r="D1174" s="107" t="s">
        <v>3252</v>
      </c>
      <c r="E1174" s="109" t="s">
        <v>355</v>
      </c>
      <c r="F1174" s="109" t="s">
        <v>355</v>
      </c>
      <c r="G1174" s="55" t="s">
        <v>355</v>
      </c>
      <c r="H1174" s="108" t="s">
        <v>402</v>
      </c>
      <c r="I1174" s="111" t="s">
        <v>402</v>
      </c>
      <c r="J1174" s="111" t="s">
        <v>402</v>
      </c>
      <c r="K1174" s="106" t="s">
        <v>403</v>
      </c>
      <c r="L1174" s="55" t="s">
        <v>404</v>
      </c>
      <c r="M1174" s="55" t="s">
        <v>7634</v>
      </c>
    </row>
    <row r="1175" spans="1:13">
      <c r="A1175" s="403" t="s">
        <v>3253</v>
      </c>
      <c r="B1175" s="106" t="s">
        <v>327</v>
      </c>
      <c r="C1175" s="106" t="s">
        <v>473</v>
      </c>
      <c r="D1175" s="109" t="s">
        <v>3254</v>
      </c>
      <c r="E1175" s="109" t="s">
        <v>3255</v>
      </c>
      <c r="F1175" s="109" t="s">
        <v>3256</v>
      </c>
      <c r="G1175" s="117" t="s">
        <v>383</v>
      </c>
      <c r="H1175" s="115" t="s">
        <v>402</v>
      </c>
      <c r="I1175" s="111" t="s">
        <v>402</v>
      </c>
      <c r="J1175" s="111" t="s">
        <v>402</v>
      </c>
      <c r="K1175" s="115" t="s">
        <v>403</v>
      </c>
      <c r="L1175" s="55" t="s">
        <v>404</v>
      </c>
      <c r="M1175" s="113" t="s">
        <v>1173</v>
      </c>
    </row>
    <row r="1176" spans="1:13">
      <c r="A1176" s="401" t="s">
        <v>3257</v>
      </c>
      <c r="B1176" s="106" t="s">
        <v>327</v>
      </c>
      <c r="C1176" s="106" t="s">
        <v>473</v>
      </c>
      <c r="D1176" s="109" t="s">
        <v>3258</v>
      </c>
      <c r="E1176" s="586" t="s">
        <v>3259</v>
      </c>
      <c r="F1176" s="586" t="s">
        <v>3260</v>
      </c>
      <c r="G1176" s="117" t="s">
        <v>383</v>
      </c>
      <c r="H1176" s="115" t="s">
        <v>402</v>
      </c>
      <c r="I1176" s="111" t="s">
        <v>402</v>
      </c>
      <c r="J1176" s="111" t="s">
        <v>402</v>
      </c>
      <c r="K1176" s="106" t="s">
        <v>403</v>
      </c>
      <c r="L1176" s="55" t="s">
        <v>404</v>
      </c>
      <c r="M1176" s="55" t="s">
        <v>1173</v>
      </c>
    </row>
    <row r="1177" spans="1:13">
      <c r="A1177" s="408" t="s">
        <v>3261</v>
      </c>
      <c r="B1177" s="106" t="s">
        <v>327</v>
      </c>
      <c r="C1177" s="106" t="s">
        <v>473</v>
      </c>
      <c r="D1177" s="107" t="s">
        <v>3262</v>
      </c>
      <c r="E1177" s="109" t="s">
        <v>355</v>
      </c>
      <c r="F1177" s="109" t="s">
        <v>355</v>
      </c>
      <c r="G1177" s="55" t="s">
        <v>355</v>
      </c>
      <c r="H1177" s="108" t="s">
        <v>402</v>
      </c>
      <c r="I1177" s="111" t="s">
        <v>402</v>
      </c>
      <c r="J1177" s="111" t="s">
        <v>402</v>
      </c>
      <c r="K1177" s="106" t="s">
        <v>403</v>
      </c>
      <c r="L1177" s="55" t="s">
        <v>404</v>
      </c>
      <c r="M1177" s="55" t="s">
        <v>7634</v>
      </c>
    </row>
    <row r="1178" spans="1:13">
      <c r="A1178" s="408" t="s">
        <v>3263</v>
      </c>
      <c r="B1178" s="106" t="s">
        <v>327</v>
      </c>
      <c r="C1178" s="106" t="s">
        <v>473</v>
      </c>
      <c r="D1178" s="107" t="s">
        <v>3264</v>
      </c>
      <c r="E1178" s="109" t="s">
        <v>355</v>
      </c>
      <c r="F1178" s="109" t="s">
        <v>355</v>
      </c>
      <c r="G1178" s="55" t="s">
        <v>355</v>
      </c>
      <c r="H1178" s="108" t="s">
        <v>402</v>
      </c>
      <c r="I1178" s="111" t="s">
        <v>402</v>
      </c>
      <c r="J1178" s="111" t="s">
        <v>402</v>
      </c>
      <c r="K1178" s="106" t="s">
        <v>403</v>
      </c>
      <c r="L1178" s="55" t="s">
        <v>404</v>
      </c>
      <c r="M1178" s="55" t="s">
        <v>7634</v>
      </c>
    </row>
    <row r="1179" spans="1:13">
      <c r="A1179" s="401" t="s">
        <v>3265</v>
      </c>
      <c r="B1179" s="106" t="s">
        <v>327</v>
      </c>
      <c r="C1179" s="106" t="s">
        <v>473</v>
      </c>
      <c r="D1179" s="109" t="s">
        <v>3266</v>
      </c>
      <c r="E1179" s="109" t="s">
        <v>3267</v>
      </c>
      <c r="F1179" s="109" t="s">
        <v>3268</v>
      </c>
      <c r="G1179" s="117" t="s">
        <v>383</v>
      </c>
      <c r="H1179" s="115" t="s">
        <v>402</v>
      </c>
      <c r="I1179" s="111" t="s">
        <v>402</v>
      </c>
      <c r="J1179" s="111" t="s">
        <v>402</v>
      </c>
      <c r="K1179" s="106" t="s">
        <v>403</v>
      </c>
      <c r="L1179" s="55" t="s">
        <v>404</v>
      </c>
      <c r="M1179" s="55" t="s">
        <v>1173</v>
      </c>
    </row>
    <row r="1180" spans="1:13">
      <c r="A1180" s="408" t="s">
        <v>3269</v>
      </c>
      <c r="B1180" s="106" t="s">
        <v>327</v>
      </c>
      <c r="C1180" s="106" t="s">
        <v>473</v>
      </c>
      <c r="D1180" s="107" t="s">
        <v>3270</v>
      </c>
      <c r="E1180" s="107" t="s">
        <v>3271</v>
      </c>
      <c r="F1180" s="107" t="s">
        <v>3272</v>
      </c>
      <c r="G1180" s="114"/>
      <c r="H1180" s="108" t="s">
        <v>402</v>
      </c>
      <c r="I1180" s="111" t="s">
        <v>402</v>
      </c>
      <c r="J1180" s="111" t="s">
        <v>402</v>
      </c>
      <c r="K1180" s="106" t="s">
        <v>403</v>
      </c>
      <c r="L1180" s="55" t="s">
        <v>404</v>
      </c>
      <c r="M1180" s="55" t="s">
        <v>7634</v>
      </c>
    </row>
    <row r="1181" spans="1:13">
      <c r="A1181" s="408" t="s">
        <v>3273</v>
      </c>
      <c r="B1181" s="106" t="s">
        <v>327</v>
      </c>
      <c r="C1181" s="106" t="s">
        <v>473</v>
      </c>
      <c r="D1181" s="107" t="s">
        <v>3274</v>
      </c>
      <c r="E1181" s="109" t="s">
        <v>355</v>
      </c>
      <c r="F1181" s="109" t="s">
        <v>355</v>
      </c>
      <c r="G1181" s="55" t="s">
        <v>355</v>
      </c>
      <c r="H1181" s="108" t="s">
        <v>402</v>
      </c>
      <c r="I1181" s="111" t="s">
        <v>402</v>
      </c>
      <c r="J1181" s="111" t="s">
        <v>402</v>
      </c>
      <c r="K1181" s="106" t="s">
        <v>403</v>
      </c>
      <c r="L1181" s="55" t="s">
        <v>404</v>
      </c>
      <c r="M1181" s="55" t="s">
        <v>7634</v>
      </c>
    </row>
    <row r="1182" spans="1:13">
      <c r="A1182" s="401" t="s">
        <v>3275</v>
      </c>
      <c r="B1182" s="106" t="s">
        <v>327</v>
      </c>
      <c r="C1182" s="106" t="s">
        <v>473</v>
      </c>
      <c r="D1182" s="128" t="s">
        <v>3276</v>
      </c>
      <c r="E1182" s="109" t="s">
        <v>3277</v>
      </c>
      <c r="F1182" s="109" t="s">
        <v>3278</v>
      </c>
      <c r="G1182" s="117" t="s">
        <v>383</v>
      </c>
      <c r="H1182" s="115" t="s">
        <v>402</v>
      </c>
      <c r="I1182" s="111" t="s">
        <v>402</v>
      </c>
      <c r="J1182" s="111" t="s">
        <v>402</v>
      </c>
      <c r="K1182" s="115" t="s">
        <v>403</v>
      </c>
      <c r="L1182" s="55" t="s">
        <v>404</v>
      </c>
      <c r="M1182" s="113" t="s">
        <v>1173</v>
      </c>
    </row>
    <row r="1183" spans="1:13">
      <c r="A1183" s="408" t="s">
        <v>3279</v>
      </c>
      <c r="B1183" s="106" t="s">
        <v>327</v>
      </c>
      <c r="C1183" s="106" t="s">
        <v>473</v>
      </c>
      <c r="D1183" s="107" t="s">
        <v>3280</v>
      </c>
      <c r="E1183" s="109" t="s">
        <v>355</v>
      </c>
      <c r="F1183" s="109" t="s">
        <v>355</v>
      </c>
      <c r="G1183" s="55" t="s">
        <v>355</v>
      </c>
      <c r="H1183" s="108" t="s">
        <v>402</v>
      </c>
      <c r="I1183" s="111" t="s">
        <v>402</v>
      </c>
      <c r="J1183" s="111" t="s">
        <v>402</v>
      </c>
      <c r="K1183" s="106" t="s">
        <v>403</v>
      </c>
      <c r="L1183" s="55" t="s">
        <v>404</v>
      </c>
      <c r="M1183" s="55" t="s">
        <v>7634</v>
      </c>
    </row>
    <row r="1184" spans="1:13">
      <c r="A1184" s="408" t="s">
        <v>3281</v>
      </c>
      <c r="B1184" s="106" t="s">
        <v>327</v>
      </c>
      <c r="C1184" s="106" t="s">
        <v>473</v>
      </c>
      <c r="D1184" s="107" t="s">
        <v>3282</v>
      </c>
      <c r="E1184" s="109" t="s">
        <v>355</v>
      </c>
      <c r="F1184" s="109" t="s">
        <v>355</v>
      </c>
      <c r="G1184" s="55" t="s">
        <v>355</v>
      </c>
      <c r="H1184" s="108" t="s">
        <v>402</v>
      </c>
      <c r="I1184" s="111" t="s">
        <v>402</v>
      </c>
      <c r="J1184" s="111" t="s">
        <v>402</v>
      </c>
      <c r="K1184" s="106" t="s">
        <v>403</v>
      </c>
      <c r="L1184" s="55" t="s">
        <v>404</v>
      </c>
      <c r="M1184" s="55" t="s">
        <v>7634</v>
      </c>
    </row>
    <row r="1185" spans="1:13">
      <c r="A1185" s="408" t="s">
        <v>3283</v>
      </c>
      <c r="B1185" s="106" t="s">
        <v>327</v>
      </c>
      <c r="C1185" s="106" t="s">
        <v>473</v>
      </c>
      <c r="D1185" s="107" t="s">
        <v>3284</v>
      </c>
      <c r="E1185" s="109" t="s">
        <v>355</v>
      </c>
      <c r="F1185" s="109" t="s">
        <v>355</v>
      </c>
      <c r="G1185" s="55" t="s">
        <v>355</v>
      </c>
      <c r="H1185" s="108" t="s">
        <v>402</v>
      </c>
      <c r="I1185" s="111" t="s">
        <v>402</v>
      </c>
      <c r="J1185" s="111" t="s">
        <v>402</v>
      </c>
      <c r="K1185" s="106" t="s">
        <v>403</v>
      </c>
      <c r="L1185" s="55" t="s">
        <v>404</v>
      </c>
      <c r="M1185" s="55" t="s">
        <v>7634</v>
      </c>
    </row>
    <row r="1186" spans="1:13">
      <c r="A1186" s="408" t="s">
        <v>3285</v>
      </c>
      <c r="B1186" s="106" t="s">
        <v>327</v>
      </c>
      <c r="C1186" s="106" t="s">
        <v>473</v>
      </c>
      <c r="D1186" s="107" t="s">
        <v>3286</v>
      </c>
      <c r="E1186" s="109" t="s">
        <v>355</v>
      </c>
      <c r="F1186" s="109" t="s">
        <v>355</v>
      </c>
      <c r="G1186" s="55" t="s">
        <v>355</v>
      </c>
      <c r="H1186" s="108" t="s">
        <v>402</v>
      </c>
      <c r="I1186" s="111" t="s">
        <v>402</v>
      </c>
      <c r="J1186" s="111" t="s">
        <v>402</v>
      </c>
      <c r="K1186" s="106" t="s">
        <v>403</v>
      </c>
      <c r="L1186" s="55" t="s">
        <v>404</v>
      </c>
      <c r="M1186" s="55" t="s">
        <v>7634</v>
      </c>
    </row>
    <row r="1187" spans="1:13">
      <c r="A1187" s="408" t="s">
        <v>3287</v>
      </c>
      <c r="B1187" s="106" t="s">
        <v>327</v>
      </c>
      <c r="C1187" s="106" t="s">
        <v>473</v>
      </c>
      <c r="D1187" s="107" t="s">
        <v>3288</v>
      </c>
      <c r="E1187" s="109" t="s">
        <v>355</v>
      </c>
      <c r="F1187" s="109" t="s">
        <v>355</v>
      </c>
      <c r="G1187" s="55" t="s">
        <v>355</v>
      </c>
      <c r="H1187" s="108" t="s">
        <v>402</v>
      </c>
      <c r="I1187" s="111" t="s">
        <v>402</v>
      </c>
      <c r="J1187" s="111" t="s">
        <v>402</v>
      </c>
      <c r="K1187" s="106" t="s">
        <v>403</v>
      </c>
      <c r="L1187" s="55" t="s">
        <v>404</v>
      </c>
      <c r="M1187" s="55" t="s">
        <v>7634</v>
      </c>
    </row>
    <row r="1188" spans="1:13">
      <c r="A1188" s="408" t="s">
        <v>3289</v>
      </c>
      <c r="B1188" s="106" t="s">
        <v>327</v>
      </c>
      <c r="C1188" s="106" t="s">
        <v>473</v>
      </c>
      <c r="D1188" s="107" t="s">
        <v>3290</v>
      </c>
      <c r="E1188" s="109" t="s">
        <v>355</v>
      </c>
      <c r="F1188" s="109" t="s">
        <v>355</v>
      </c>
      <c r="G1188" s="55" t="s">
        <v>355</v>
      </c>
      <c r="H1188" s="108" t="s">
        <v>402</v>
      </c>
      <c r="I1188" s="111" t="s">
        <v>402</v>
      </c>
      <c r="J1188" s="111" t="s">
        <v>402</v>
      </c>
      <c r="K1188" s="106" t="s">
        <v>403</v>
      </c>
      <c r="L1188" s="55" t="s">
        <v>404</v>
      </c>
      <c r="M1188" s="55" t="s">
        <v>7634</v>
      </c>
    </row>
    <row r="1189" spans="1:13">
      <c r="A1189" s="401" t="s">
        <v>3291</v>
      </c>
      <c r="B1189" s="106" t="s">
        <v>327</v>
      </c>
      <c r="C1189" s="106" t="s">
        <v>473</v>
      </c>
      <c r="D1189" s="109" t="s">
        <v>3292</v>
      </c>
      <c r="E1189" s="109" t="s">
        <v>3293</v>
      </c>
      <c r="F1189" s="109" t="s">
        <v>3294</v>
      </c>
      <c r="G1189" s="117" t="s">
        <v>383</v>
      </c>
      <c r="H1189" s="115" t="s">
        <v>402</v>
      </c>
      <c r="I1189" s="111" t="s">
        <v>402</v>
      </c>
      <c r="J1189" s="111" t="s">
        <v>402</v>
      </c>
      <c r="K1189" s="106" t="s">
        <v>403</v>
      </c>
      <c r="L1189" s="55" t="s">
        <v>404</v>
      </c>
      <c r="M1189" s="55" t="s">
        <v>1173</v>
      </c>
    </row>
    <row r="1190" spans="1:13">
      <c r="A1190" s="408" t="s">
        <v>3295</v>
      </c>
      <c r="B1190" s="106" t="s">
        <v>327</v>
      </c>
      <c r="C1190" s="106" t="s">
        <v>473</v>
      </c>
      <c r="D1190" s="107" t="s">
        <v>3296</v>
      </c>
      <c r="E1190" s="109" t="s">
        <v>355</v>
      </c>
      <c r="F1190" s="109" t="s">
        <v>355</v>
      </c>
      <c r="G1190" s="55" t="s">
        <v>355</v>
      </c>
      <c r="H1190" s="108" t="s">
        <v>402</v>
      </c>
      <c r="I1190" s="111" t="s">
        <v>402</v>
      </c>
      <c r="J1190" s="111" t="s">
        <v>402</v>
      </c>
      <c r="K1190" s="106" t="s">
        <v>403</v>
      </c>
      <c r="L1190" s="55" t="s">
        <v>404</v>
      </c>
      <c r="M1190" s="55" t="s">
        <v>7634</v>
      </c>
    </row>
    <row r="1191" spans="1:13">
      <c r="A1191" s="408" t="s">
        <v>3297</v>
      </c>
      <c r="B1191" s="106" t="s">
        <v>327</v>
      </c>
      <c r="C1191" s="106" t="s">
        <v>473</v>
      </c>
      <c r="D1191" s="107" t="s">
        <v>3298</v>
      </c>
      <c r="E1191" s="109" t="s">
        <v>1748</v>
      </c>
      <c r="F1191" s="109" t="s">
        <v>3299</v>
      </c>
      <c r="G1191" s="114"/>
      <c r="H1191" s="108" t="s">
        <v>402</v>
      </c>
      <c r="I1191" s="111" t="s">
        <v>402</v>
      </c>
      <c r="J1191" s="111" t="s">
        <v>402</v>
      </c>
      <c r="K1191" s="106" t="s">
        <v>403</v>
      </c>
      <c r="L1191" s="55" t="s">
        <v>404</v>
      </c>
      <c r="M1191" s="55" t="s">
        <v>7634</v>
      </c>
    </row>
    <row r="1192" spans="1:13">
      <c r="A1192" s="408" t="s">
        <v>3300</v>
      </c>
      <c r="B1192" s="106" t="s">
        <v>327</v>
      </c>
      <c r="C1192" s="106" t="s">
        <v>473</v>
      </c>
      <c r="D1192" s="107" t="s">
        <v>3301</v>
      </c>
      <c r="E1192" s="109" t="s">
        <v>355</v>
      </c>
      <c r="F1192" s="109" t="s">
        <v>355</v>
      </c>
      <c r="G1192" s="55" t="s">
        <v>355</v>
      </c>
      <c r="H1192" s="108" t="s">
        <v>402</v>
      </c>
      <c r="I1192" s="111" t="s">
        <v>402</v>
      </c>
      <c r="J1192" s="111" t="s">
        <v>402</v>
      </c>
      <c r="K1192" s="106" t="s">
        <v>403</v>
      </c>
      <c r="L1192" s="55" t="s">
        <v>404</v>
      </c>
      <c r="M1192" s="55" t="s">
        <v>7634</v>
      </c>
    </row>
    <row r="1193" spans="1:13">
      <c r="A1193" s="408" t="s">
        <v>3302</v>
      </c>
      <c r="B1193" s="106" t="s">
        <v>327</v>
      </c>
      <c r="C1193" s="106" t="s">
        <v>473</v>
      </c>
      <c r="D1193" s="107" t="s">
        <v>3303</v>
      </c>
      <c r="E1193" s="107" t="s">
        <v>3304</v>
      </c>
      <c r="F1193" s="107" t="s">
        <v>3305</v>
      </c>
      <c r="G1193" s="114"/>
      <c r="H1193" s="108" t="s">
        <v>402</v>
      </c>
      <c r="I1193" s="111" t="s">
        <v>402</v>
      </c>
      <c r="J1193" s="111" t="s">
        <v>402</v>
      </c>
      <c r="K1193" s="106" t="s">
        <v>403</v>
      </c>
      <c r="L1193" s="55" t="s">
        <v>404</v>
      </c>
      <c r="M1193" s="55" t="s">
        <v>7634</v>
      </c>
    </row>
    <row r="1194" spans="1:13">
      <c r="A1194" s="401" t="s">
        <v>3306</v>
      </c>
      <c r="B1194" s="106" t="s">
        <v>327</v>
      </c>
      <c r="C1194" s="106" t="s">
        <v>473</v>
      </c>
      <c r="D1194" s="109" t="s">
        <v>3307</v>
      </c>
      <c r="E1194" s="109" t="s">
        <v>3308</v>
      </c>
      <c r="F1194" s="109" t="s">
        <v>3309</v>
      </c>
      <c r="G1194" s="117" t="s">
        <v>383</v>
      </c>
      <c r="H1194" s="115" t="s">
        <v>402</v>
      </c>
      <c r="I1194" s="111" t="s">
        <v>402</v>
      </c>
      <c r="J1194" s="111" t="s">
        <v>402</v>
      </c>
      <c r="K1194" s="115" t="s">
        <v>403</v>
      </c>
      <c r="L1194" s="55" t="s">
        <v>404</v>
      </c>
      <c r="M1194" s="113" t="s">
        <v>1173</v>
      </c>
    </row>
    <row r="1195" spans="1:13">
      <c r="A1195" s="408" t="s">
        <v>3310</v>
      </c>
      <c r="B1195" s="106" t="s">
        <v>327</v>
      </c>
      <c r="C1195" s="106" t="s">
        <v>473</v>
      </c>
      <c r="D1195" s="107" t="s">
        <v>3311</v>
      </c>
      <c r="E1195" s="109" t="s">
        <v>355</v>
      </c>
      <c r="F1195" s="109" t="s">
        <v>355</v>
      </c>
      <c r="G1195" s="55" t="s">
        <v>355</v>
      </c>
      <c r="H1195" s="108" t="s">
        <v>402</v>
      </c>
      <c r="I1195" s="111" t="s">
        <v>402</v>
      </c>
      <c r="J1195" s="111" t="s">
        <v>402</v>
      </c>
      <c r="K1195" s="106" t="s">
        <v>403</v>
      </c>
      <c r="L1195" s="55" t="s">
        <v>404</v>
      </c>
      <c r="M1195" s="55" t="s">
        <v>7634</v>
      </c>
    </row>
    <row r="1196" spans="1:13">
      <c r="A1196" s="408" t="s">
        <v>3312</v>
      </c>
      <c r="B1196" s="106" t="s">
        <v>327</v>
      </c>
      <c r="C1196" s="106" t="s">
        <v>473</v>
      </c>
      <c r="D1196" s="107" t="s">
        <v>3313</v>
      </c>
      <c r="E1196" s="109" t="s">
        <v>355</v>
      </c>
      <c r="F1196" s="109" t="s">
        <v>355</v>
      </c>
      <c r="G1196" s="55" t="s">
        <v>355</v>
      </c>
      <c r="H1196" s="108" t="s">
        <v>402</v>
      </c>
      <c r="I1196" s="111" t="s">
        <v>402</v>
      </c>
      <c r="J1196" s="111" t="s">
        <v>402</v>
      </c>
      <c r="K1196" s="106" t="s">
        <v>403</v>
      </c>
      <c r="L1196" s="55" t="s">
        <v>404</v>
      </c>
      <c r="M1196" s="55" t="s">
        <v>7634</v>
      </c>
    </row>
    <row r="1197" spans="1:13">
      <c r="A1197" s="401" t="s">
        <v>3314</v>
      </c>
      <c r="B1197" s="106" t="s">
        <v>327</v>
      </c>
      <c r="C1197" s="106" t="s">
        <v>473</v>
      </c>
      <c r="D1197" s="109" t="s">
        <v>3315</v>
      </c>
      <c r="E1197" s="109" t="s">
        <v>3316</v>
      </c>
      <c r="F1197" s="109" t="s">
        <v>3317</v>
      </c>
      <c r="G1197" s="117" t="s">
        <v>383</v>
      </c>
      <c r="H1197" s="115" t="s">
        <v>402</v>
      </c>
      <c r="I1197" s="111" t="s">
        <v>402</v>
      </c>
      <c r="J1197" s="111" t="s">
        <v>402</v>
      </c>
      <c r="K1197" s="106" t="s">
        <v>403</v>
      </c>
      <c r="L1197" s="55" t="s">
        <v>404</v>
      </c>
      <c r="M1197" s="55" t="s">
        <v>1173</v>
      </c>
    </row>
    <row r="1198" spans="1:13">
      <c r="A1198" s="408" t="s">
        <v>3318</v>
      </c>
      <c r="B1198" s="106" t="s">
        <v>327</v>
      </c>
      <c r="C1198" s="106" t="s">
        <v>473</v>
      </c>
      <c r="D1198" s="107" t="s">
        <v>3319</v>
      </c>
      <c r="E1198" s="109" t="s">
        <v>355</v>
      </c>
      <c r="F1198" s="109" t="s">
        <v>355</v>
      </c>
      <c r="G1198" s="55" t="s">
        <v>355</v>
      </c>
      <c r="H1198" s="108" t="s">
        <v>402</v>
      </c>
      <c r="I1198" s="111" t="s">
        <v>402</v>
      </c>
      <c r="J1198" s="111" t="s">
        <v>402</v>
      </c>
      <c r="K1198" s="106" t="s">
        <v>403</v>
      </c>
      <c r="L1198" s="55" t="s">
        <v>404</v>
      </c>
      <c r="M1198" s="55" t="s">
        <v>7634</v>
      </c>
    </row>
    <row r="1199" spans="1:13">
      <c r="A1199" s="408" t="s">
        <v>3320</v>
      </c>
      <c r="B1199" s="106" t="s">
        <v>327</v>
      </c>
      <c r="C1199" s="106" t="s">
        <v>473</v>
      </c>
      <c r="D1199" s="107" t="s">
        <v>3321</v>
      </c>
      <c r="E1199" s="109" t="s">
        <v>355</v>
      </c>
      <c r="F1199" s="109" t="s">
        <v>355</v>
      </c>
      <c r="G1199" s="55" t="s">
        <v>355</v>
      </c>
      <c r="H1199" s="108" t="s">
        <v>402</v>
      </c>
      <c r="I1199" s="111" t="s">
        <v>402</v>
      </c>
      <c r="J1199" s="111" t="s">
        <v>402</v>
      </c>
      <c r="K1199" s="106" t="s">
        <v>403</v>
      </c>
      <c r="L1199" s="55" t="s">
        <v>404</v>
      </c>
      <c r="M1199" s="55" t="s">
        <v>7634</v>
      </c>
    </row>
    <row r="1200" spans="1:13">
      <c r="A1200" s="408" t="s">
        <v>3322</v>
      </c>
      <c r="B1200" s="106" t="s">
        <v>327</v>
      </c>
      <c r="C1200" s="106" t="s">
        <v>473</v>
      </c>
      <c r="D1200" s="107" t="s">
        <v>3323</v>
      </c>
      <c r="E1200" s="107" t="s">
        <v>3324</v>
      </c>
      <c r="F1200" s="107" t="s">
        <v>3325</v>
      </c>
      <c r="G1200" s="114" t="s">
        <v>355</v>
      </c>
      <c r="H1200" s="108" t="s">
        <v>402</v>
      </c>
      <c r="I1200" s="111" t="s">
        <v>402</v>
      </c>
      <c r="J1200" s="111" t="s">
        <v>402</v>
      </c>
      <c r="K1200" s="106" t="s">
        <v>403</v>
      </c>
      <c r="L1200" s="55" t="s">
        <v>404</v>
      </c>
      <c r="M1200" s="55" t="s">
        <v>3326</v>
      </c>
    </row>
    <row r="1201" spans="1:13">
      <c r="A1201" s="408" t="s">
        <v>3327</v>
      </c>
      <c r="B1201" s="106" t="s">
        <v>327</v>
      </c>
      <c r="C1201" s="106" t="s">
        <v>473</v>
      </c>
      <c r="D1201" s="107" t="s">
        <v>3328</v>
      </c>
      <c r="E1201" s="109" t="s">
        <v>355</v>
      </c>
      <c r="F1201" s="109" t="s">
        <v>355</v>
      </c>
      <c r="G1201" s="55" t="s">
        <v>355</v>
      </c>
      <c r="H1201" s="108" t="s">
        <v>402</v>
      </c>
      <c r="I1201" s="111" t="s">
        <v>402</v>
      </c>
      <c r="J1201" s="111" t="s">
        <v>402</v>
      </c>
      <c r="K1201" s="106" t="s">
        <v>403</v>
      </c>
      <c r="L1201" s="55" t="s">
        <v>404</v>
      </c>
      <c r="M1201" s="55" t="s">
        <v>7634</v>
      </c>
    </row>
    <row r="1202" spans="1:13">
      <c r="A1202" s="408" t="s">
        <v>3329</v>
      </c>
      <c r="B1202" s="106" t="s">
        <v>327</v>
      </c>
      <c r="C1202" s="106" t="s">
        <v>473</v>
      </c>
      <c r="D1202" s="107" t="s">
        <v>3330</v>
      </c>
      <c r="E1202" s="109" t="s">
        <v>355</v>
      </c>
      <c r="F1202" s="109" t="s">
        <v>355</v>
      </c>
      <c r="G1202" s="55" t="s">
        <v>355</v>
      </c>
      <c r="H1202" s="108" t="s">
        <v>402</v>
      </c>
      <c r="I1202" s="111" t="s">
        <v>402</v>
      </c>
      <c r="J1202" s="111" t="s">
        <v>402</v>
      </c>
      <c r="K1202" s="106" t="s">
        <v>403</v>
      </c>
      <c r="L1202" s="55" t="s">
        <v>404</v>
      </c>
      <c r="M1202" s="55" t="s">
        <v>7634</v>
      </c>
    </row>
    <row r="1203" spans="1:13">
      <c r="A1203" s="401" t="s">
        <v>3331</v>
      </c>
      <c r="B1203" s="106" t="s">
        <v>327</v>
      </c>
      <c r="C1203" s="106" t="s">
        <v>473</v>
      </c>
      <c r="D1203" s="109" t="s">
        <v>3332</v>
      </c>
      <c r="E1203" s="109" t="s">
        <v>3333</v>
      </c>
      <c r="F1203" s="109" t="s">
        <v>3334</v>
      </c>
      <c r="G1203" s="117" t="s">
        <v>383</v>
      </c>
      <c r="H1203" s="115" t="s">
        <v>402</v>
      </c>
      <c r="I1203" s="111" t="s">
        <v>402</v>
      </c>
      <c r="J1203" s="111" t="s">
        <v>402</v>
      </c>
      <c r="K1203" s="115" t="s">
        <v>403</v>
      </c>
      <c r="L1203" s="55" t="s">
        <v>404</v>
      </c>
      <c r="M1203" s="113" t="s">
        <v>1173</v>
      </c>
    </row>
    <row r="1204" spans="1:13">
      <c r="A1204" s="408" t="s">
        <v>3335</v>
      </c>
      <c r="B1204" s="106" t="s">
        <v>327</v>
      </c>
      <c r="C1204" s="106" t="s">
        <v>473</v>
      </c>
      <c r="D1204" s="107" t="s">
        <v>3336</v>
      </c>
      <c r="E1204" s="109" t="s">
        <v>355</v>
      </c>
      <c r="F1204" s="109" t="s">
        <v>355</v>
      </c>
      <c r="G1204" s="55" t="s">
        <v>355</v>
      </c>
      <c r="H1204" s="108" t="s">
        <v>402</v>
      </c>
      <c r="I1204" s="111" t="s">
        <v>402</v>
      </c>
      <c r="J1204" s="111" t="s">
        <v>402</v>
      </c>
      <c r="K1204" s="106" t="s">
        <v>403</v>
      </c>
      <c r="L1204" s="55" t="s">
        <v>404</v>
      </c>
      <c r="M1204" s="55" t="s">
        <v>7634</v>
      </c>
    </row>
    <row r="1205" spans="1:13">
      <c r="A1205" s="408" t="s">
        <v>3337</v>
      </c>
      <c r="B1205" s="106" t="s">
        <v>327</v>
      </c>
      <c r="C1205" s="106" t="s">
        <v>473</v>
      </c>
      <c r="D1205" s="107" t="s">
        <v>3338</v>
      </c>
      <c r="E1205" s="109" t="s">
        <v>355</v>
      </c>
      <c r="F1205" s="109" t="s">
        <v>355</v>
      </c>
      <c r="G1205" s="55" t="s">
        <v>355</v>
      </c>
      <c r="H1205" s="108" t="s">
        <v>402</v>
      </c>
      <c r="I1205" s="111" t="s">
        <v>402</v>
      </c>
      <c r="J1205" s="111" t="s">
        <v>402</v>
      </c>
      <c r="K1205" s="106" t="s">
        <v>403</v>
      </c>
      <c r="L1205" s="55" t="s">
        <v>404</v>
      </c>
      <c r="M1205" s="55" t="s">
        <v>7634</v>
      </c>
    </row>
    <row r="1206" spans="1:13">
      <c r="A1206" s="408" t="s">
        <v>3339</v>
      </c>
      <c r="B1206" s="106" t="s">
        <v>327</v>
      </c>
      <c r="C1206" s="106" t="s">
        <v>473</v>
      </c>
      <c r="D1206" s="107" t="s">
        <v>3340</v>
      </c>
      <c r="E1206" s="109" t="s">
        <v>355</v>
      </c>
      <c r="F1206" s="109" t="s">
        <v>355</v>
      </c>
      <c r="G1206" s="55" t="s">
        <v>355</v>
      </c>
      <c r="H1206" s="108" t="s">
        <v>402</v>
      </c>
      <c r="I1206" s="111" t="s">
        <v>402</v>
      </c>
      <c r="J1206" s="111" t="s">
        <v>402</v>
      </c>
      <c r="K1206" s="106" t="s">
        <v>403</v>
      </c>
      <c r="L1206" s="55" t="s">
        <v>404</v>
      </c>
      <c r="M1206" s="55" t="s">
        <v>7634</v>
      </c>
    </row>
    <row r="1207" spans="1:13">
      <c r="A1207" s="408" t="s">
        <v>3341</v>
      </c>
      <c r="B1207" s="106" t="s">
        <v>327</v>
      </c>
      <c r="C1207" s="106" t="s">
        <v>473</v>
      </c>
      <c r="D1207" s="107" t="s">
        <v>3342</v>
      </c>
      <c r="E1207" s="109" t="s">
        <v>355</v>
      </c>
      <c r="F1207" s="109" t="s">
        <v>355</v>
      </c>
      <c r="G1207" s="55" t="s">
        <v>355</v>
      </c>
      <c r="H1207" s="108" t="s">
        <v>402</v>
      </c>
      <c r="I1207" s="111" t="s">
        <v>402</v>
      </c>
      <c r="J1207" s="111" t="s">
        <v>402</v>
      </c>
      <c r="K1207" s="106" t="s">
        <v>403</v>
      </c>
      <c r="L1207" s="55" t="s">
        <v>404</v>
      </c>
      <c r="M1207" s="55" t="s">
        <v>7634</v>
      </c>
    </row>
    <row r="1208" spans="1:13">
      <c r="A1208" s="401" t="s">
        <v>3343</v>
      </c>
      <c r="B1208" s="106" t="s">
        <v>1059</v>
      </c>
      <c r="C1208" s="106" t="s">
        <v>473</v>
      </c>
      <c r="D1208" s="109" t="s">
        <v>3344</v>
      </c>
      <c r="E1208" s="109" t="s">
        <v>1748</v>
      </c>
      <c r="F1208" s="109" t="s">
        <v>3345</v>
      </c>
      <c r="G1208" s="117" t="s">
        <v>383</v>
      </c>
      <c r="H1208" s="115" t="s">
        <v>402</v>
      </c>
      <c r="I1208" s="111" t="s">
        <v>402</v>
      </c>
      <c r="J1208" s="111" t="s">
        <v>402</v>
      </c>
      <c r="K1208" s="106" t="s">
        <v>403</v>
      </c>
      <c r="L1208" s="55" t="s">
        <v>404</v>
      </c>
      <c r="M1208" s="113" t="s">
        <v>1173</v>
      </c>
    </row>
    <row r="1209" spans="1:13">
      <c r="A1209" s="408" t="s">
        <v>3346</v>
      </c>
      <c r="B1209" s="106" t="s">
        <v>327</v>
      </c>
      <c r="C1209" s="106" t="s">
        <v>473</v>
      </c>
      <c r="D1209" s="107" t="s">
        <v>3347</v>
      </c>
      <c r="E1209" s="109" t="s">
        <v>355</v>
      </c>
      <c r="F1209" s="109" t="s">
        <v>355</v>
      </c>
      <c r="G1209" s="55" t="s">
        <v>355</v>
      </c>
      <c r="H1209" s="108" t="s">
        <v>402</v>
      </c>
      <c r="I1209" s="111" t="s">
        <v>402</v>
      </c>
      <c r="J1209" s="111" t="s">
        <v>402</v>
      </c>
      <c r="K1209" s="106" t="s">
        <v>403</v>
      </c>
      <c r="L1209" s="55" t="s">
        <v>404</v>
      </c>
      <c r="M1209" s="55" t="s">
        <v>7634</v>
      </c>
    </row>
    <row r="1210" spans="1:13">
      <c r="A1210" s="408" t="s">
        <v>3348</v>
      </c>
      <c r="B1210" s="106" t="s">
        <v>327</v>
      </c>
      <c r="C1210" s="106" t="s">
        <v>473</v>
      </c>
      <c r="D1210" s="107" t="s">
        <v>3349</v>
      </c>
      <c r="E1210" s="109" t="s">
        <v>355</v>
      </c>
      <c r="F1210" s="109" t="s">
        <v>355</v>
      </c>
      <c r="G1210" s="55" t="s">
        <v>355</v>
      </c>
      <c r="H1210" s="108" t="s">
        <v>402</v>
      </c>
      <c r="I1210" s="111" t="s">
        <v>402</v>
      </c>
      <c r="J1210" s="111" t="s">
        <v>402</v>
      </c>
      <c r="K1210" s="106" t="s">
        <v>403</v>
      </c>
      <c r="L1210" s="55" t="s">
        <v>404</v>
      </c>
      <c r="M1210" s="55" t="s">
        <v>7634</v>
      </c>
    </row>
    <row r="1211" spans="1:13">
      <c r="A1211" s="408" t="s">
        <v>3350</v>
      </c>
      <c r="B1211" s="106" t="s">
        <v>327</v>
      </c>
      <c r="C1211" s="106" t="s">
        <v>473</v>
      </c>
      <c r="D1211" s="107" t="s">
        <v>3351</v>
      </c>
      <c r="E1211" s="109" t="s">
        <v>355</v>
      </c>
      <c r="F1211" s="109" t="s">
        <v>355</v>
      </c>
      <c r="G1211" s="55" t="s">
        <v>355</v>
      </c>
      <c r="H1211" s="108" t="s">
        <v>402</v>
      </c>
      <c r="I1211" s="111" t="s">
        <v>402</v>
      </c>
      <c r="J1211" s="111" t="s">
        <v>402</v>
      </c>
      <c r="K1211" s="106" t="s">
        <v>403</v>
      </c>
      <c r="L1211" s="55" t="s">
        <v>404</v>
      </c>
      <c r="M1211" s="55" t="s">
        <v>7634</v>
      </c>
    </row>
    <row r="1212" spans="1:13">
      <c r="A1212" s="408" t="s">
        <v>3352</v>
      </c>
      <c r="B1212" s="106" t="s">
        <v>327</v>
      </c>
      <c r="C1212" s="106" t="s">
        <v>473</v>
      </c>
      <c r="D1212" s="107" t="s">
        <v>3353</v>
      </c>
      <c r="E1212" s="109" t="s">
        <v>355</v>
      </c>
      <c r="F1212" s="109" t="s">
        <v>355</v>
      </c>
      <c r="G1212" s="55" t="s">
        <v>355</v>
      </c>
      <c r="H1212" s="108" t="s">
        <v>402</v>
      </c>
      <c r="I1212" s="111" t="s">
        <v>402</v>
      </c>
      <c r="J1212" s="111" t="s">
        <v>402</v>
      </c>
      <c r="K1212" s="106" t="s">
        <v>403</v>
      </c>
      <c r="L1212" s="55" t="s">
        <v>404</v>
      </c>
      <c r="M1212" s="55" t="s">
        <v>7634</v>
      </c>
    </row>
    <row r="1213" spans="1:13">
      <c r="A1213" s="408" t="s">
        <v>3354</v>
      </c>
      <c r="B1213" s="106" t="s">
        <v>327</v>
      </c>
      <c r="C1213" s="106" t="s">
        <v>473</v>
      </c>
      <c r="D1213" s="107" t="s">
        <v>3355</v>
      </c>
      <c r="E1213" s="109" t="s">
        <v>355</v>
      </c>
      <c r="F1213" s="109" t="s">
        <v>355</v>
      </c>
      <c r="G1213" s="55" t="s">
        <v>355</v>
      </c>
      <c r="H1213" s="108" t="s">
        <v>402</v>
      </c>
      <c r="I1213" s="111" t="s">
        <v>402</v>
      </c>
      <c r="J1213" s="111" t="s">
        <v>402</v>
      </c>
      <c r="K1213" s="106" t="s">
        <v>403</v>
      </c>
      <c r="L1213" s="55" t="s">
        <v>404</v>
      </c>
      <c r="M1213" s="55" t="s">
        <v>7634</v>
      </c>
    </row>
    <row r="1214" spans="1:13">
      <c r="A1214" s="401" t="s">
        <v>3356</v>
      </c>
      <c r="B1214" s="106" t="s">
        <v>327</v>
      </c>
      <c r="C1214" s="106" t="s">
        <v>473</v>
      </c>
      <c r="D1214" s="109" t="s">
        <v>3357</v>
      </c>
      <c r="E1214" s="106" t="s">
        <v>3358</v>
      </c>
      <c r="F1214" s="109" t="s">
        <v>3359</v>
      </c>
      <c r="G1214" s="112" t="s">
        <v>3360</v>
      </c>
      <c r="H1214" s="115" t="s">
        <v>402</v>
      </c>
      <c r="I1214" s="111" t="s">
        <v>402</v>
      </c>
      <c r="J1214" s="111" t="s">
        <v>402</v>
      </c>
      <c r="K1214" s="106" t="s">
        <v>403</v>
      </c>
      <c r="L1214" s="55" t="s">
        <v>404</v>
      </c>
      <c r="M1214" s="55" t="s">
        <v>1173</v>
      </c>
    </row>
    <row r="1215" spans="1:13">
      <c r="A1215" s="408" t="s">
        <v>3361</v>
      </c>
      <c r="B1215" s="106" t="s">
        <v>327</v>
      </c>
      <c r="C1215" s="106" t="s">
        <v>473</v>
      </c>
      <c r="D1215" s="107" t="s">
        <v>3362</v>
      </c>
      <c r="E1215" s="109" t="s">
        <v>355</v>
      </c>
      <c r="F1215" s="109" t="s">
        <v>355</v>
      </c>
      <c r="G1215" s="55" t="s">
        <v>355</v>
      </c>
      <c r="H1215" s="108" t="s">
        <v>402</v>
      </c>
      <c r="I1215" s="111" t="s">
        <v>402</v>
      </c>
      <c r="J1215" s="111" t="s">
        <v>402</v>
      </c>
      <c r="K1215" s="106" t="s">
        <v>403</v>
      </c>
      <c r="L1215" s="55" t="s">
        <v>404</v>
      </c>
      <c r="M1215" s="55" t="s">
        <v>7634</v>
      </c>
    </row>
    <row r="1216" spans="1:13">
      <c r="A1216" s="408" t="s">
        <v>3363</v>
      </c>
      <c r="B1216" s="106" t="s">
        <v>327</v>
      </c>
      <c r="C1216" s="106" t="s">
        <v>473</v>
      </c>
      <c r="D1216" s="107" t="s">
        <v>3364</v>
      </c>
      <c r="E1216" s="109" t="s">
        <v>355</v>
      </c>
      <c r="F1216" s="109" t="s">
        <v>355</v>
      </c>
      <c r="G1216" s="55" t="s">
        <v>355</v>
      </c>
      <c r="H1216" s="108" t="s">
        <v>402</v>
      </c>
      <c r="I1216" s="111" t="s">
        <v>402</v>
      </c>
      <c r="J1216" s="111" t="s">
        <v>402</v>
      </c>
      <c r="K1216" s="106" t="s">
        <v>403</v>
      </c>
      <c r="L1216" s="55" t="s">
        <v>404</v>
      </c>
      <c r="M1216" s="55" t="s">
        <v>7634</v>
      </c>
    </row>
    <row r="1217" spans="1:13">
      <c r="A1217" s="401" t="s">
        <v>3365</v>
      </c>
      <c r="B1217" s="106" t="s">
        <v>327</v>
      </c>
      <c r="C1217" s="106" t="s">
        <v>473</v>
      </c>
      <c r="D1217" s="109" t="s">
        <v>3366</v>
      </c>
      <c r="E1217" s="109" t="s">
        <v>3367</v>
      </c>
      <c r="F1217" s="109" t="s">
        <v>3368</v>
      </c>
      <c r="G1217" s="117" t="s">
        <v>383</v>
      </c>
      <c r="H1217" s="115" t="s">
        <v>402</v>
      </c>
      <c r="I1217" s="111" t="s">
        <v>402</v>
      </c>
      <c r="J1217" s="111" t="s">
        <v>402</v>
      </c>
      <c r="K1217" s="115" t="s">
        <v>403</v>
      </c>
      <c r="L1217" s="55" t="s">
        <v>404</v>
      </c>
      <c r="M1217" s="113" t="s">
        <v>383</v>
      </c>
    </row>
    <row r="1218" spans="1:13">
      <c r="A1218" s="408" t="s">
        <v>3369</v>
      </c>
      <c r="B1218" s="106" t="s">
        <v>327</v>
      </c>
      <c r="C1218" s="106" t="s">
        <v>473</v>
      </c>
      <c r="D1218" s="107" t="s">
        <v>3370</v>
      </c>
      <c r="E1218" s="109" t="s">
        <v>355</v>
      </c>
      <c r="F1218" s="109" t="s">
        <v>355</v>
      </c>
      <c r="G1218" s="55" t="s">
        <v>355</v>
      </c>
      <c r="H1218" s="108" t="s">
        <v>402</v>
      </c>
      <c r="I1218" s="111" t="s">
        <v>402</v>
      </c>
      <c r="J1218" s="111" t="s">
        <v>402</v>
      </c>
      <c r="K1218" s="106" t="s">
        <v>403</v>
      </c>
      <c r="L1218" s="55" t="s">
        <v>404</v>
      </c>
      <c r="M1218" s="55" t="s">
        <v>7634</v>
      </c>
    </row>
    <row r="1219" spans="1:13">
      <c r="A1219" s="408" t="s">
        <v>3371</v>
      </c>
      <c r="B1219" s="106" t="s">
        <v>327</v>
      </c>
      <c r="C1219" s="106" t="s">
        <v>473</v>
      </c>
      <c r="D1219" s="107" t="s">
        <v>3372</v>
      </c>
      <c r="E1219" s="109" t="s">
        <v>355</v>
      </c>
      <c r="F1219" s="109" t="s">
        <v>355</v>
      </c>
      <c r="G1219" s="55" t="s">
        <v>355</v>
      </c>
      <c r="H1219" s="108" t="s">
        <v>402</v>
      </c>
      <c r="I1219" s="111" t="s">
        <v>402</v>
      </c>
      <c r="J1219" s="111" t="s">
        <v>402</v>
      </c>
      <c r="K1219" s="106" t="s">
        <v>403</v>
      </c>
      <c r="L1219" s="55" t="s">
        <v>404</v>
      </c>
      <c r="M1219" s="55" t="s">
        <v>7634</v>
      </c>
    </row>
    <row r="1220" spans="1:13">
      <c r="A1220" s="408" t="s">
        <v>3373</v>
      </c>
      <c r="B1220" s="106" t="s">
        <v>327</v>
      </c>
      <c r="C1220" s="106" t="s">
        <v>473</v>
      </c>
      <c r="D1220" s="107" t="s">
        <v>3374</v>
      </c>
      <c r="E1220" s="109" t="s">
        <v>355</v>
      </c>
      <c r="F1220" s="109" t="s">
        <v>355</v>
      </c>
      <c r="G1220" s="55" t="s">
        <v>355</v>
      </c>
      <c r="H1220" s="108" t="s">
        <v>402</v>
      </c>
      <c r="I1220" s="111" t="s">
        <v>402</v>
      </c>
      <c r="J1220" s="111" t="s">
        <v>402</v>
      </c>
      <c r="K1220" s="106" t="s">
        <v>403</v>
      </c>
      <c r="L1220" s="55" t="s">
        <v>404</v>
      </c>
      <c r="M1220" s="55" t="s">
        <v>7634</v>
      </c>
    </row>
    <row r="1221" spans="1:13">
      <c r="A1221" s="408" t="s">
        <v>3375</v>
      </c>
      <c r="B1221" s="106" t="s">
        <v>327</v>
      </c>
      <c r="C1221" s="106" t="s">
        <v>473</v>
      </c>
      <c r="D1221" s="107" t="s">
        <v>3376</v>
      </c>
      <c r="E1221" s="109" t="s">
        <v>355</v>
      </c>
      <c r="F1221" s="109" t="s">
        <v>355</v>
      </c>
      <c r="G1221" s="55" t="s">
        <v>355</v>
      </c>
      <c r="H1221" s="108" t="s">
        <v>402</v>
      </c>
      <c r="I1221" s="111" t="s">
        <v>402</v>
      </c>
      <c r="J1221" s="111" t="s">
        <v>402</v>
      </c>
      <c r="K1221" s="106" t="s">
        <v>403</v>
      </c>
      <c r="L1221" s="55" t="s">
        <v>404</v>
      </c>
      <c r="M1221" s="55" t="s">
        <v>7634</v>
      </c>
    </row>
    <row r="1222" spans="1:13">
      <c r="A1222" s="401" t="s">
        <v>3377</v>
      </c>
      <c r="B1222" s="106" t="s">
        <v>327</v>
      </c>
      <c r="C1222" s="106" t="s">
        <v>473</v>
      </c>
      <c r="D1222" s="109" t="s">
        <v>3378</v>
      </c>
      <c r="E1222" s="109" t="s">
        <v>3379</v>
      </c>
      <c r="F1222" s="109" t="s">
        <v>3380</v>
      </c>
      <c r="G1222" s="114" t="s">
        <v>383</v>
      </c>
      <c r="H1222" s="115" t="s">
        <v>402</v>
      </c>
      <c r="I1222" s="111" t="s">
        <v>402</v>
      </c>
      <c r="J1222" s="111" t="s">
        <v>402</v>
      </c>
      <c r="K1222" s="106" t="s">
        <v>403</v>
      </c>
      <c r="L1222" s="55" t="s">
        <v>404</v>
      </c>
      <c r="M1222" s="55" t="s">
        <v>1173</v>
      </c>
    </row>
    <row r="1223" spans="1:13">
      <c r="A1223" s="401" t="s">
        <v>3381</v>
      </c>
      <c r="B1223" s="106" t="s">
        <v>327</v>
      </c>
      <c r="C1223" s="106" t="s">
        <v>473</v>
      </c>
      <c r="D1223" s="109" t="s">
        <v>3382</v>
      </c>
      <c r="E1223" s="109" t="s">
        <v>3383</v>
      </c>
      <c r="F1223" s="109" t="s">
        <v>3384</v>
      </c>
      <c r="G1223" s="117" t="s">
        <v>383</v>
      </c>
      <c r="H1223" s="115" t="s">
        <v>402</v>
      </c>
      <c r="I1223" s="111" t="s">
        <v>402</v>
      </c>
      <c r="J1223" s="111" t="s">
        <v>402</v>
      </c>
      <c r="K1223" s="106" t="s">
        <v>403</v>
      </c>
      <c r="L1223" s="55" t="s">
        <v>404</v>
      </c>
      <c r="M1223" s="55" t="s">
        <v>1173</v>
      </c>
    </row>
    <row r="1224" spans="1:13">
      <c r="A1224" s="408" t="s">
        <v>3385</v>
      </c>
      <c r="B1224" s="106" t="s">
        <v>327</v>
      </c>
      <c r="C1224" s="106" t="s">
        <v>473</v>
      </c>
      <c r="D1224" s="107" t="s">
        <v>3386</v>
      </c>
      <c r="E1224" s="109" t="s">
        <v>355</v>
      </c>
      <c r="F1224" s="109" t="s">
        <v>355</v>
      </c>
      <c r="G1224" s="55" t="s">
        <v>355</v>
      </c>
      <c r="H1224" s="108" t="s">
        <v>402</v>
      </c>
      <c r="I1224" s="111" t="s">
        <v>402</v>
      </c>
      <c r="J1224" s="111" t="s">
        <v>402</v>
      </c>
      <c r="K1224" s="106" t="s">
        <v>403</v>
      </c>
      <c r="L1224" s="55" t="s">
        <v>404</v>
      </c>
      <c r="M1224" s="55" t="s">
        <v>7634</v>
      </c>
    </row>
    <row r="1225" spans="1:13">
      <c r="A1225" s="401" t="s">
        <v>3387</v>
      </c>
      <c r="B1225" s="106" t="s">
        <v>327</v>
      </c>
      <c r="C1225" s="106" t="s">
        <v>473</v>
      </c>
      <c r="D1225" s="109" t="s">
        <v>3388</v>
      </c>
      <c r="E1225" s="109" t="s">
        <v>3389</v>
      </c>
      <c r="F1225" s="109" t="s">
        <v>3390</v>
      </c>
      <c r="G1225" s="112" t="s">
        <v>3391</v>
      </c>
      <c r="H1225" s="115" t="s">
        <v>402</v>
      </c>
      <c r="I1225" s="111" t="s">
        <v>402</v>
      </c>
      <c r="J1225" s="111" t="s">
        <v>402</v>
      </c>
      <c r="K1225" s="115" t="s">
        <v>403</v>
      </c>
      <c r="L1225" s="55" t="s">
        <v>404</v>
      </c>
      <c r="M1225" s="113" t="s">
        <v>383</v>
      </c>
    </row>
    <row r="1226" spans="1:13">
      <c r="A1226" s="408" t="s">
        <v>3392</v>
      </c>
      <c r="B1226" s="106" t="s">
        <v>327</v>
      </c>
      <c r="C1226" s="106" t="s">
        <v>473</v>
      </c>
      <c r="D1226" s="107" t="s">
        <v>3393</v>
      </c>
      <c r="E1226" s="109" t="s">
        <v>355</v>
      </c>
      <c r="F1226" s="109" t="s">
        <v>355</v>
      </c>
      <c r="G1226" s="55" t="s">
        <v>355</v>
      </c>
      <c r="H1226" s="108" t="s">
        <v>402</v>
      </c>
      <c r="I1226" s="111" t="s">
        <v>402</v>
      </c>
      <c r="J1226" s="111" t="s">
        <v>402</v>
      </c>
      <c r="K1226" s="106" t="s">
        <v>403</v>
      </c>
      <c r="L1226" s="55" t="s">
        <v>404</v>
      </c>
      <c r="M1226" s="55" t="s">
        <v>7634</v>
      </c>
    </row>
    <row r="1227" spans="1:13">
      <c r="A1227" s="408" t="s">
        <v>3394</v>
      </c>
      <c r="B1227" s="106" t="s">
        <v>327</v>
      </c>
      <c r="C1227" s="106" t="s">
        <v>473</v>
      </c>
      <c r="D1227" s="107" t="s">
        <v>3395</v>
      </c>
      <c r="E1227" s="109" t="s">
        <v>355</v>
      </c>
      <c r="F1227" s="109" t="s">
        <v>355</v>
      </c>
      <c r="G1227" s="55" t="s">
        <v>355</v>
      </c>
      <c r="H1227" s="108" t="s">
        <v>402</v>
      </c>
      <c r="I1227" s="111" t="s">
        <v>402</v>
      </c>
      <c r="J1227" s="111" t="s">
        <v>402</v>
      </c>
      <c r="K1227" s="106" t="s">
        <v>403</v>
      </c>
      <c r="L1227" s="55" t="s">
        <v>404</v>
      </c>
      <c r="M1227" s="55" t="s">
        <v>7634</v>
      </c>
    </row>
    <row r="1228" spans="1:13">
      <c r="A1228" s="408" t="s">
        <v>3396</v>
      </c>
      <c r="B1228" s="106" t="s">
        <v>327</v>
      </c>
      <c r="C1228" s="106" t="s">
        <v>473</v>
      </c>
      <c r="D1228" s="107" t="s">
        <v>3397</v>
      </c>
      <c r="E1228" s="109" t="s">
        <v>355</v>
      </c>
      <c r="F1228" s="109" t="s">
        <v>355</v>
      </c>
      <c r="G1228" s="55" t="s">
        <v>355</v>
      </c>
      <c r="H1228" s="108" t="s">
        <v>402</v>
      </c>
      <c r="I1228" s="111" t="s">
        <v>402</v>
      </c>
      <c r="J1228" s="111" t="s">
        <v>402</v>
      </c>
      <c r="K1228" s="106" t="s">
        <v>403</v>
      </c>
      <c r="L1228" s="55" t="s">
        <v>404</v>
      </c>
      <c r="M1228" s="55" t="s">
        <v>7634</v>
      </c>
    </row>
    <row r="1229" spans="1:13">
      <c r="A1229" s="408" t="s">
        <v>3398</v>
      </c>
      <c r="B1229" s="106" t="s">
        <v>327</v>
      </c>
      <c r="C1229" s="106" t="s">
        <v>473</v>
      </c>
      <c r="D1229" s="107" t="s">
        <v>3399</v>
      </c>
      <c r="E1229" s="109" t="s">
        <v>355</v>
      </c>
      <c r="F1229" s="109" t="s">
        <v>355</v>
      </c>
      <c r="G1229" s="55" t="s">
        <v>355</v>
      </c>
      <c r="H1229" s="108" t="s">
        <v>402</v>
      </c>
      <c r="I1229" s="111" t="s">
        <v>402</v>
      </c>
      <c r="J1229" s="111" t="s">
        <v>402</v>
      </c>
      <c r="K1229" s="106" t="s">
        <v>403</v>
      </c>
      <c r="L1229" s="55" t="s">
        <v>404</v>
      </c>
      <c r="M1229" s="55" t="s">
        <v>7634</v>
      </c>
    </row>
    <row r="1230" spans="1:13">
      <c r="A1230" s="408" t="s">
        <v>3400</v>
      </c>
      <c r="B1230" s="106" t="s">
        <v>327</v>
      </c>
      <c r="C1230" s="106" t="s">
        <v>473</v>
      </c>
      <c r="D1230" s="107" t="s">
        <v>3401</v>
      </c>
      <c r="E1230" s="109" t="s">
        <v>355</v>
      </c>
      <c r="F1230" s="109" t="s">
        <v>355</v>
      </c>
      <c r="G1230" s="55" t="s">
        <v>355</v>
      </c>
      <c r="H1230" s="108" t="s">
        <v>402</v>
      </c>
      <c r="I1230" s="111" t="s">
        <v>402</v>
      </c>
      <c r="J1230" s="111" t="s">
        <v>402</v>
      </c>
      <c r="K1230" s="106" t="s">
        <v>403</v>
      </c>
      <c r="L1230" s="55" t="s">
        <v>404</v>
      </c>
      <c r="M1230" s="55" t="s">
        <v>7634</v>
      </c>
    </row>
    <row r="1231" spans="1:13">
      <c r="A1231" s="408" t="s">
        <v>3402</v>
      </c>
      <c r="B1231" s="106" t="s">
        <v>327</v>
      </c>
      <c r="C1231" s="106" t="s">
        <v>473</v>
      </c>
      <c r="D1231" s="107" t="s">
        <v>3403</v>
      </c>
      <c r="E1231" s="109" t="s">
        <v>355</v>
      </c>
      <c r="F1231" s="109" t="s">
        <v>355</v>
      </c>
      <c r="G1231" s="55" t="s">
        <v>355</v>
      </c>
      <c r="H1231" s="108" t="s">
        <v>402</v>
      </c>
      <c r="I1231" s="111" t="s">
        <v>402</v>
      </c>
      <c r="J1231" s="111" t="s">
        <v>402</v>
      </c>
      <c r="K1231" s="106" t="s">
        <v>403</v>
      </c>
      <c r="L1231" s="55" t="s">
        <v>404</v>
      </c>
      <c r="M1231" s="55" t="s">
        <v>7634</v>
      </c>
    </row>
    <row r="1232" spans="1:13">
      <c r="A1232" s="408" t="s">
        <v>3404</v>
      </c>
      <c r="B1232" s="106" t="s">
        <v>327</v>
      </c>
      <c r="C1232" s="106" t="s">
        <v>473</v>
      </c>
      <c r="D1232" s="107" t="s">
        <v>3405</v>
      </c>
      <c r="E1232" s="109" t="s">
        <v>355</v>
      </c>
      <c r="F1232" s="109" t="s">
        <v>355</v>
      </c>
      <c r="G1232" s="55" t="s">
        <v>355</v>
      </c>
      <c r="H1232" s="108" t="s">
        <v>402</v>
      </c>
      <c r="I1232" s="111" t="s">
        <v>402</v>
      </c>
      <c r="J1232" s="111" t="s">
        <v>402</v>
      </c>
      <c r="K1232" s="106" t="s">
        <v>403</v>
      </c>
      <c r="L1232" s="55" t="s">
        <v>404</v>
      </c>
      <c r="M1232" s="55" t="s">
        <v>7634</v>
      </c>
    </row>
    <row r="1233" spans="1:13">
      <c r="A1233" s="401" t="s">
        <v>3406</v>
      </c>
      <c r="B1233" s="106" t="s">
        <v>327</v>
      </c>
      <c r="C1233" s="106" t="s">
        <v>473</v>
      </c>
      <c r="D1233" s="109" t="s">
        <v>3407</v>
      </c>
      <c r="E1233" s="109" t="s">
        <v>3408</v>
      </c>
      <c r="F1233" s="109" t="s">
        <v>3409</v>
      </c>
      <c r="G1233" s="117" t="s">
        <v>383</v>
      </c>
      <c r="H1233" s="115" t="s">
        <v>402</v>
      </c>
      <c r="I1233" s="111" t="s">
        <v>402</v>
      </c>
      <c r="J1233" s="111" t="s">
        <v>402</v>
      </c>
      <c r="K1233" s="115" t="s">
        <v>403</v>
      </c>
      <c r="L1233" s="55" t="s">
        <v>404</v>
      </c>
      <c r="M1233" s="113" t="s">
        <v>1173</v>
      </c>
    </row>
    <row r="1234" spans="1:13">
      <c r="A1234" s="401" t="s">
        <v>3410</v>
      </c>
      <c r="B1234" s="106" t="s">
        <v>327</v>
      </c>
      <c r="C1234" s="106" t="s">
        <v>473</v>
      </c>
      <c r="D1234" s="109" t="s">
        <v>3411</v>
      </c>
      <c r="E1234" s="109" t="s">
        <v>3412</v>
      </c>
      <c r="F1234" s="109" t="s">
        <v>3413</v>
      </c>
      <c r="G1234" s="117" t="s">
        <v>383</v>
      </c>
      <c r="H1234" s="115" t="s">
        <v>402</v>
      </c>
      <c r="I1234" s="111" t="s">
        <v>402</v>
      </c>
      <c r="J1234" s="111" t="s">
        <v>402</v>
      </c>
      <c r="K1234" s="106" t="s">
        <v>403</v>
      </c>
      <c r="L1234" s="55" t="s">
        <v>404</v>
      </c>
      <c r="M1234" s="55" t="s">
        <v>1173</v>
      </c>
    </row>
    <row r="1235" spans="1:13">
      <c r="A1235" s="408" t="s">
        <v>3414</v>
      </c>
      <c r="B1235" s="106" t="s">
        <v>327</v>
      </c>
      <c r="C1235" s="106" t="s">
        <v>473</v>
      </c>
      <c r="D1235" s="107" t="s">
        <v>3415</v>
      </c>
      <c r="E1235" s="109" t="s">
        <v>355</v>
      </c>
      <c r="F1235" s="109" t="s">
        <v>355</v>
      </c>
      <c r="G1235" s="55" t="s">
        <v>355</v>
      </c>
      <c r="H1235" s="108" t="s">
        <v>402</v>
      </c>
      <c r="I1235" s="111" t="s">
        <v>402</v>
      </c>
      <c r="J1235" s="111" t="s">
        <v>402</v>
      </c>
      <c r="K1235" s="106" t="s">
        <v>403</v>
      </c>
      <c r="L1235" s="55" t="s">
        <v>404</v>
      </c>
      <c r="M1235" s="55" t="s">
        <v>7634</v>
      </c>
    </row>
    <row r="1236" spans="1:13">
      <c r="A1236" s="408" t="s">
        <v>3416</v>
      </c>
      <c r="B1236" s="106" t="s">
        <v>327</v>
      </c>
      <c r="C1236" s="106" t="s">
        <v>473</v>
      </c>
      <c r="D1236" s="107" t="s">
        <v>3417</v>
      </c>
      <c r="E1236" s="109" t="s">
        <v>355</v>
      </c>
      <c r="F1236" s="109" t="s">
        <v>355</v>
      </c>
      <c r="G1236" s="55" t="s">
        <v>355</v>
      </c>
      <c r="H1236" s="108" t="s">
        <v>402</v>
      </c>
      <c r="I1236" s="111" t="s">
        <v>402</v>
      </c>
      <c r="J1236" s="111" t="s">
        <v>402</v>
      </c>
      <c r="K1236" s="106" t="s">
        <v>403</v>
      </c>
      <c r="L1236" s="55" t="s">
        <v>404</v>
      </c>
      <c r="M1236" s="55" t="s">
        <v>7634</v>
      </c>
    </row>
    <row r="1237" spans="1:13">
      <c r="A1237" s="408" t="s">
        <v>3418</v>
      </c>
      <c r="B1237" s="106" t="s">
        <v>327</v>
      </c>
      <c r="C1237" s="106" t="s">
        <v>473</v>
      </c>
      <c r="D1237" s="107" t="s">
        <v>3419</v>
      </c>
      <c r="E1237" s="109" t="s">
        <v>355</v>
      </c>
      <c r="F1237" s="109" t="s">
        <v>355</v>
      </c>
      <c r="G1237" s="55" t="s">
        <v>355</v>
      </c>
      <c r="H1237" s="108" t="s">
        <v>402</v>
      </c>
      <c r="I1237" s="111" t="s">
        <v>402</v>
      </c>
      <c r="J1237" s="111" t="s">
        <v>402</v>
      </c>
      <c r="K1237" s="106" t="s">
        <v>403</v>
      </c>
      <c r="L1237" s="55" t="s">
        <v>404</v>
      </c>
      <c r="M1237" s="55" t="s">
        <v>7634</v>
      </c>
    </row>
    <row r="1238" spans="1:13">
      <c r="A1238" s="401" t="s">
        <v>3420</v>
      </c>
      <c r="B1238" s="106" t="s">
        <v>327</v>
      </c>
      <c r="C1238" s="106" t="s">
        <v>473</v>
      </c>
      <c r="D1238" s="128" t="s">
        <v>3421</v>
      </c>
      <c r="E1238" s="109" t="s">
        <v>3422</v>
      </c>
      <c r="F1238" s="109" t="s">
        <v>3423</v>
      </c>
      <c r="G1238" s="117" t="s">
        <v>383</v>
      </c>
      <c r="H1238" s="115" t="s">
        <v>402</v>
      </c>
      <c r="I1238" s="111" t="s">
        <v>402</v>
      </c>
      <c r="J1238" s="111" t="s">
        <v>402</v>
      </c>
      <c r="K1238" s="115" t="s">
        <v>403</v>
      </c>
      <c r="L1238" s="55" t="s">
        <v>404</v>
      </c>
      <c r="M1238" s="113" t="s">
        <v>1173</v>
      </c>
    </row>
    <row r="1239" spans="1:13">
      <c r="A1239" s="578" t="s">
        <v>3424</v>
      </c>
      <c r="B1239" s="586" t="s">
        <v>373</v>
      </c>
      <c r="C1239" s="586" t="s">
        <v>473</v>
      </c>
      <c r="D1239" s="586" t="s">
        <v>3425</v>
      </c>
      <c r="E1239" s="586" t="s">
        <v>1225</v>
      </c>
      <c r="F1239" s="586" t="s">
        <v>3426</v>
      </c>
      <c r="G1239" s="586"/>
      <c r="H1239" s="586" t="s">
        <v>359</v>
      </c>
      <c r="I1239" s="587" t="s">
        <v>359</v>
      </c>
      <c r="J1239" s="586"/>
      <c r="K1239" s="586" t="s">
        <v>360</v>
      </c>
      <c r="L1239" s="586" t="s">
        <v>361</v>
      </c>
      <c r="M1239" s="55" t="s">
        <v>7634</v>
      </c>
    </row>
    <row r="1240" spans="1:13">
      <c r="A1240" s="401" t="s">
        <v>9031</v>
      </c>
      <c r="B1240" s="106" t="s">
        <v>327</v>
      </c>
      <c r="C1240" s="132" t="s">
        <v>9032</v>
      </c>
      <c r="D1240" s="133" t="s">
        <v>9033</v>
      </c>
      <c r="E1240" s="133" t="s">
        <v>9034</v>
      </c>
      <c r="F1240" s="133" t="s">
        <v>9035</v>
      </c>
      <c r="G1240" s="601" t="s">
        <v>9036</v>
      </c>
      <c r="H1240" s="115" t="s">
        <v>402</v>
      </c>
      <c r="I1240" s="111" t="s">
        <v>402</v>
      </c>
      <c r="J1240" s="111" t="s">
        <v>402</v>
      </c>
      <c r="K1240" s="115" t="s">
        <v>403</v>
      </c>
      <c r="L1240" s="55" t="s">
        <v>404</v>
      </c>
      <c r="M1240" s="55" t="s">
        <v>383</v>
      </c>
    </row>
    <row r="1241" spans="1:13">
      <c r="A1241" s="408" t="s">
        <v>3427</v>
      </c>
      <c r="B1241" s="106" t="s">
        <v>327</v>
      </c>
      <c r="C1241" s="106" t="s">
        <v>473</v>
      </c>
      <c r="D1241" s="107" t="s">
        <v>3428</v>
      </c>
      <c r="E1241" s="109" t="s">
        <v>355</v>
      </c>
      <c r="F1241" s="109" t="s">
        <v>355</v>
      </c>
      <c r="G1241" s="55" t="s">
        <v>355</v>
      </c>
      <c r="H1241" s="108" t="s">
        <v>402</v>
      </c>
      <c r="I1241" s="111" t="s">
        <v>402</v>
      </c>
      <c r="J1241" s="111" t="s">
        <v>402</v>
      </c>
      <c r="K1241" s="106" t="s">
        <v>403</v>
      </c>
      <c r="L1241" s="55" t="s">
        <v>404</v>
      </c>
      <c r="M1241" s="55" t="s">
        <v>7634</v>
      </c>
    </row>
    <row r="1242" spans="1:13">
      <c r="A1242" s="408" t="s">
        <v>3429</v>
      </c>
      <c r="B1242" s="106" t="s">
        <v>327</v>
      </c>
      <c r="C1242" s="106" t="s">
        <v>473</v>
      </c>
      <c r="D1242" s="107" t="s">
        <v>3430</v>
      </c>
      <c r="E1242" s="109" t="s">
        <v>355</v>
      </c>
      <c r="F1242" s="109" t="s">
        <v>355</v>
      </c>
      <c r="G1242" s="55" t="s">
        <v>355</v>
      </c>
      <c r="H1242" s="108" t="s">
        <v>402</v>
      </c>
      <c r="I1242" s="111" t="s">
        <v>402</v>
      </c>
      <c r="J1242" s="111" t="s">
        <v>402</v>
      </c>
      <c r="K1242" s="106" t="s">
        <v>403</v>
      </c>
      <c r="L1242" s="55" t="s">
        <v>404</v>
      </c>
      <c r="M1242" s="55" t="s">
        <v>7634</v>
      </c>
    </row>
    <row r="1243" spans="1:13">
      <c r="A1243" s="408" t="s">
        <v>3431</v>
      </c>
      <c r="B1243" s="106" t="s">
        <v>327</v>
      </c>
      <c r="C1243" s="106" t="s">
        <v>473</v>
      </c>
      <c r="D1243" s="107" t="s">
        <v>3432</v>
      </c>
      <c r="E1243" s="109" t="s">
        <v>355</v>
      </c>
      <c r="F1243" s="109" t="s">
        <v>355</v>
      </c>
      <c r="G1243" s="55" t="s">
        <v>355</v>
      </c>
      <c r="H1243" s="108" t="s">
        <v>402</v>
      </c>
      <c r="I1243" s="111" t="s">
        <v>402</v>
      </c>
      <c r="J1243" s="111" t="s">
        <v>402</v>
      </c>
      <c r="K1243" s="106" t="s">
        <v>403</v>
      </c>
      <c r="L1243" s="55" t="s">
        <v>404</v>
      </c>
      <c r="M1243" s="55" t="s">
        <v>7634</v>
      </c>
    </row>
    <row r="1244" spans="1:13">
      <c r="A1244" s="408" t="s">
        <v>3433</v>
      </c>
      <c r="B1244" s="106" t="s">
        <v>327</v>
      </c>
      <c r="C1244" s="106" t="s">
        <v>473</v>
      </c>
      <c r="D1244" s="107" t="s">
        <v>3430</v>
      </c>
      <c r="E1244" s="109" t="s">
        <v>355</v>
      </c>
      <c r="F1244" s="109" t="s">
        <v>355</v>
      </c>
      <c r="G1244" s="55" t="s">
        <v>355</v>
      </c>
      <c r="H1244" s="108" t="s">
        <v>402</v>
      </c>
      <c r="I1244" s="111" t="s">
        <v>402</v>
      </c>
      <c r="J1244" s="111" t="s">
        <v>402</v>
      </c>
      <c r="K1244" s="106" t="s">
        <v>403</v>
      </c>
      <c r="L1244" s="55" t="s">
        <v>404</v>
      </c>
      <c r="M1244" s="55" t="s">
        <v>7634</v>
      </c>
    </row>
    <row r="1245" spans="1:13">
      <c r="A1245" s="401" t="s">
        <v>3434</v>
      </c>
      <c r="B1245" s="106" t="s">
        <v>327</v>
      </c>
      <c r="C1245" s="106" t="s">
        <v>473</v>
      </c>
      <c r="D1245" s="128" t="s">
        <v>3435</v>
      </c>
      <c r="E1245" s="109" t="s">
        <v>3436</v>
      </c>
      <c r="F1245" s="109" t="s">
        <v>3437</v>
      </c>
      <c r="G1245" s="117" t="s">
        <v>383</v>
      </c>
      <c r="H1245" s="115" t="s">
        <v>402</v>
      </c>
      <c r="I1245" s="111" t="s">
        <v>402</v>
      </c>
      <c r="J1245" s="111" t="s">
        <v>402</v>
      </c>
      <c r="K1245" s="115" t="s">
        <v>403</v>
      </c>
      <c r="L1245" s="55" t="s">
        <v>404</v>
      </c>
      <c r="M1245" s="113" t="s">
        <v>1173</v>
      </c>
    </row>
    <row r="1246" spans="1:13">
      <c r="A1246" s="578" t="s">
        <v>3438</v>
      </c>
      <c r="B1246" s="586" t="s">
        <v>473</v>
      </c>
      <c r="C1246" s="586" t="s">
        <v>473</v>
      </c>
      <c r="D1246" s="586" t="s">
        <v>3439</v>
      </c>
      <c r="E1246" s="586" t="s">
        <v>3440</v>
      </c>
      <c r="F1246" s="586" t="s">
        <v>3441</v>
      </c>
      <c r="G1246" s="586"/>
      <c r="H1246" s="586"/>
      <c r="I1246" s="587"/>
      <c r="J1246" s="586"/>
      <c r="K1246" s="586"/>
      <c r="L1246" s="586"/>
      <c r="M1246" s="55" t="s">
        <v>7634</v>
      </c>
    </row>
    <row r="1247" spans="1:13">
      <c r="A1247" s="401" t="s">
        <v>3442</v>
      </c>
      <c r="B1247" s="106" t="s">
        <v>327</v>
      </c>
      <c r="C1247" s="106" t="s">
        <v>473</v>
      </c>
      <c r="D1247" s="109" t="s">
        <v>3443</v>
      </c>
      <c r="E1247" s="109" t="s">
        <v>3444</v>
      </c>
      <c r="F1247" s="109" t="s">
        <v>3445</v>
      </c>
      <c r="G1247" s="117" t="s">
        <v>383</v>
      </c>
      <c r="H1247" s="115" t="s">
        <v>402</v>
      </c>
      <c r="I1247" s="111" t="s">
        <v>402</v>
      </c>
      <c r="J1247" s="111" t="s">
        <v>402</v>
      </c>
      <c r="K1247" s="106" t="s">
        <v>403</v>
      </c>
      <c r="L1247" s="55" t="s">
        <v>404</v>
      </c>
      <c r="M1247" s="55" t="s">
        <v>1173</v>
      </c>
    </row>
    <row r="1248" spans="1:13">
      <c r="A1248" s="408" t="s">
        <v>3446</v>
      </c>
      <c r="B1248" s="106" t="s">
        <v>327</v>
      </c>
      <c r="C1248" s="106" t="s">
        <v>473</v>
      </c>
      <c r="D1248" s="107" t="s">
        <v>3447</v>
      </c>
      <c r="E1248" s="109" t="s">
        <v>355</v>
      </c>
      <c r="F1248" s="109" t="s">
        <v>355</v>
      </c>
      <c r="G1248" s="55" t="s">
        <v>355</v>
      </c>
      <c r="H1248" s="108" t="s">
        <v>402</v>
      </c>
      <c r="I1248" s="111" t="s">
        <v>402</v>
      </c>
      <c r="J1248" s="111" t="s">
        <v>402</v>
      </c>
      <c r="K1248" s="106" t="s">
        <v>403</v>
      </c>
      <c r="L1248" s="55" t="s">
        <v>404</v>
      </c>
      <c r="M1248" s="55" t="s">
        <v>7634</v>
      </c>
    </row>
    <row r="1249" spans="1:13">
      <c r="A1249" s="408" t="s">
        <v>3448</v>
      </c>
      <c r="B1249" s="106" t="s">
        <v>327</v>
      </c>
      <c r="C1249" s="106" t="s">
        <v>473</v>
      </c>
      <c r="D1249" s="107" t="s">
        <v>3449</v>
      </c>
      <c r="E1249" s="109" t="s">
        <v>355</v>
      </c>
      <c r="F1249" s="109" t="s">
        <v>355</v>
      </c>
      <c r="G1249" s="55" t="s">
        <v>355</v>
      </c>
      <c r="H1249" s="108" t="s">
        <v>402</v>
      </c>
      <c r="I1249" s="111" t="s">
        <v>402</v>
      </c>
      <c r="J1249" s="111" t="s">
        <v>402</v>
      </c>
      <c r="K1249" s="106" t="s">
        <v>403</v>
      </c>
      <c r="L1249" s="55" t="s">
        <v>404</v>
      </c>
      <c r="M1249" s="55" t="s">
        <v>7634</v>
      </c>
    </row>
    <row r="1250" spans="1:13">
      <c r="A1250" s="408" t="s">
        <v>3450</v>
      </c>
      <c r="B1250" s="106" t="s">
        <v>327</v>
      </c>
      <c r="C1250" s="106" t="s">
        <v>473</v>
      </c>
      <c r="D1250" s="107" t="s">
        <v>3451</v>
      </c>
      <c r="E1250" s="109" t="s">
        <v>355</v>
      </c>
      <c r="F1250" s="109" t="s">
        <v>355</v>
      </c>
      <c r="G1250" s="55" t="s">
        <v>355</v>
      </c>
      <c r="H1250" s="108" t="s">
        <v>402</v>
      </c>
      <c r="I1250" s="111" t="s">
        <v>402</v>
      </c>
      <c r="J1250" s="111" t="s">
        <v>402</v>
      </c>
      <c r="K1250" s="106" t="s">
        <v>403</v>
      </c>
      <c r="L1250" s="55" t="s">
        <v>404</v>
      </c>
      <c r="M1250" s="55" t="s">
        <v>7634</v>
      </c>
    </row>
    <row r="1251" spans="1:13">
      <c r="A1251" s="408" t="s">
        <v>3452</v>
      </c>
      <c r="B1251" s="106" t="s">
        <v>327</v>
      </c>
      <c r="C1251" s="106" t="s">
        <v>473</v>
      </c>
      <c r="D1251" s="107" t="s">
        <v>3453</v>
      </c>
      <c r="E1251" s="109" t="s">
        <v>355</v>
      </c>
      <c r="F1251" s="109" t="s">
        <v>355</v>
      </c>
      <c r="G1251" s="55" t="s">
        <v>355</v>
      </c>
      <c r="H1251" s="108" t="s">
        <v>402</v>
      </c>
      <c r="I1251" s="111" t="s">
        <v>402</v>
      </c>
      <c r="J1251" s="111" t="s">
        <v>402</v>
      </c>
      <c r="K1251" s="106" t="s">
        <v>403</v>
      </c>
      <c r="L1251" s="55" t="s">
        <v>404</v>
      </c>
      <c r="M1251" s="55" t="s">
        <v>7634</v>
      </c>
    </row>
    <row r="1252" spans="1:13">
      <c r="A1252" s="408" t="s">
        <v>3454</v>
      </c>
      <c r="B1252" s="106" t="s">
        <v>327</v>
      </c>
      <c r="C1252" s="106" t="s">
        <v>473</v>
      </c>
      <c r="D1252" s="107" t="s">
        <v>3455</v>
      </c>
      <c r="E1252" s="109" t="s">
        <v>355</v>
      </c>
      <c r="F1252" s="109" t="s">
        <v>355</v>
      </c>
      <c r="G1252" s="55" t="s">
        <v>355</v>
      </c>
      <c r="H1252" s="108" t="s">
        <v>402</v>
      </c>
      <c r="I1252" s="111" t="s">
        <v>402</v>
      </c>
      <c r="J1252" s="111" t="s">
        <v>402</v>
      </c>
      <c r="K1252" s="106" t="s">
        <v>403</v>
      </c>
      <c r="L1252" s="55" t="s">
        <v>404</v>
      </c>
      <c r="M1252" s="55" t="s">
        <v>7634</v>
      </c>
    </row>
    <row r="1253" spans="1:13">
      <c r="A1253" s="408" t="s">
        <v>3456</v>
      </c>
      <c r="B1253" s="106" t="s">
        <v>327</v>
      </c>
      <c r="C1253" s="106" t="s">
        <v>473</v>
      </c>
      <c r="D1253" s="107" t="s">
        <v>3457</v>
      </c>
      <c r="E1253" s="109" t="s">
        <v>355</v>
      </c>
      <c r="F1253" s="109" t="s">
        <v>355</v>
      </c>
      <c r="G1253" s="55" t="s">
        <v>355</v>
      </c>
      <c r="H1253" s="108" t="s">
        <v>402</v>
      </c>
      <c r="I1253" s="111" t="s">
        <v>402</v>
      </c>
      <c r="J1253" s="111" t="s">
        <v>402</v>
      </c>
      <c r="K1253" s="106" t="s">
        <v>403</v>
      </c>
      <c r="L1253" s="55" t="s">
        <v>404</v>
      </c>
      <c r="M1253" s="55" t="s">
        <v>7634</v>
      </c>
    </row>
    <row r="1254" spans="1:13">
      <c r="A1254" s="408" t="s">
        <v>3458</v>
      </c>
      <c r="B1254" s="106" t="s">
        <v>327</v>
      </c>
      <c r="C1254" s="106" t="s">
        <v>473</v>
      </c>
      <c r="D1254" s="107" t="s">
        <v>3459</v>
      </c>
      <c r="E1254" s="109" t="s">
        <v>355</v>
      </c>
      <c r="F1254" s="109" t="s">
        <v>355</v>
      </c>
      <c r="G1254" s="55" t="s">
        <v>355</v>
      </c>
      <c r="H1254" s="108" t="s">
        <v>402</v>
      </c>
      <c r="I1254" s="111" t="s">
        <v>402</v>
      </c>
      <c r="J1254" s="111" t="s">
        <v>402</v>
      </c>
      <c r="K1254" s="106" t="s">
        <v>403</v>
      </c>
      <c r="L1254" s="55" t="s">
        <v>404</v>
      </c>
      <c r="M1254" s="55" t="s">
        <v>7634</v>
      </c>
    </row>
    <row r="1255" spans="1:13">
      <c r="A1255" s="408" t="s">
        <v>3460</v>
      </c>
      <c r="B1255" s="106" t="s">
        <v>327</v>
      </c>
      <c r="C1255" s="106" t="s">
        <v>473</v>
      </c>
      <c r="D1255" s="107" t="s">
        <v>3461</v>
      </c>
      <c r="E1255" s="109" t="s">
        <v>355</v>
      </c>
      <c r="F1255" s="109" t="s">
        <v>355</v>
      </c>
      <c r="G1255" s="55" t="s">
        <v>355</v>
      </c>
      <c r="H1255" s="108" t="s">
        <v>402</v>
      </c>
      <c r="I1255" s="111" t="s">
        <v>402</v>
      </c>
      <c r="J1255" s="111" t="s">
        <v>402</v>
      </c>
      <c r="K1255" s="106" t="s">
        <v>403</v>
      </c>
      <c r="L1255" s="55" t="s">
        <v>404</v>
      </c>
      <c r="M1255" s="55" t="s">
        <v>7634</v>
      </c>
    </row>
    <row r="1256" spans="1:13">
      <c r="A1256" s="401" t="s">
        <v>3462</v>
      </c>
      <c r="B1256" s="106" t="s">
        <v>327</v>
      </c>
      <c r="C1256" s="106" t="s">
        <v>473</v>
      </c>
      <c r="D1256" s="109" t="s">
        <v>3463</v>
      </c>
      <c r="E1256" s="109" t="s">
        <v>2303</v>
      </c>
      <c r="F1256" s="109"/>
      <c r="G1256" s="117" t="s">
        <v>383</v>
      </c>
      <c r="H1256" s="115" t="s">
        <v>402</v>
      </c>
      <c r="I1256" s="111" t="s">
        <v>402</v>
      </c>
      <c r="J1256" s="111" t="s">
        <v>402</v>
      </c>
      <c r="K1256" s="115" t="s">
        <v>403</v>
      </c>
      <c r="L1256" s="55" t="s">
        <v>404</v>
      </c>
      <c r="M1256" s="113" t="s">
        <v>1173</v>
      </c>
    </row>
    <row r="1257" spans="1:13">
      <c r="A1257" s="408" t="s">
        <v>3464</v>
      </c>
      <c r="B1257" s="106" t="s">
        <v>327</v>
      </c>
      <c r="C1257" s="106" t="s">
        <v>473</v>
      </c>
      <c r="D1257" s="107" t="s">
        <v>3465</v>
      </c>
      <c r="E1257" s="109" t="s">
        <v>355</v>
      </c>
      <c r="F1257" s="109" t="s">
        <v>355</v>
      </c>
      <c r="G1257" s="55" t="s">
        <v>355</v>
      </c>
      <c r="H1257" s="108" t="s">
        <v>402</v>
      </c>
      <c r="I1257" s="111" t="s">
        <v>402</v>
      </c>
      <c r="J1257" s="111" t="s">
        <v>402</v>
      </c>
      <c r="K1257" s="106" t="s">
        <v>403</v>
      </c>
      <c r="L1257" s="55" t="s">
        <v>404</v>
      </c>
      <c r="M1257" s="55" t="s">
        <v>7634</v>
      </c>
    </row>
    <row r="1258" spans="1:13">
      <c r="A1258" s="408" t="s">
        <v>3466</v>
      </c>
      <c r="B1258" s="106" t="s">
        <v>327</v>
      </c>
      <c r="C1258" s="106" t="s">
        <v>473</v>
      </c>
      <c r="D1258" s="107" t="s">
        <v>3467</v>
      </c>
      <c r="E1258" s="109" t="s">
        <v>355</v>
      </c>
      <c r="F1258" s="109" t="s">
        <v>355</v>
      </c>
      <c r="G1258" s="55" t="s">
        <v>355</v>
      </c>
      <c r="H1258" s="108" t="s">
        <v>402</v>
      </c>
      <c r="I1258" s="111" t="s">
        <v>402</v>
      </c>
      <c r="J1258" s="111" t="s">
        <v>402</v>
      </c>
      <c r="K1258" s="106" t="s">
        <v>403</v>
      </c>
      <c r="L1258" s="55" t="s">
        <v>404</v>
      </c>
      <c r="M1258" s="55" t="s">
        <v>7634</v>
      </c>
    </row>
    <row r="1259" spans="1:13">
      <c r="A1259" s="408" t="s">
        <v>3468</v>
      </c>
      <c r="B1259" s="106" t="s">
        <v>327</v>
      </c>
      <c r="C1259" s="106" t="s">
        <v>473</v>
      </c>
      <c r="D1259" s="107" t="s">
        <v>3469</v>
      </c>
      <c r="E1259" s="109" t="s">
        <v>355</v>
      </c>
      <c r="F1259" s="109" t="s">
        <v>355</v>
      </c>
      <c r="G1259" s="55" t="s">
        <v>355</v>
      </c>
      <c r="H1259" s="108" t="s">
        <v>402</v>
      </c>
      <c r="I1259" s="111" t="s">
        <v>402</v>
      </c>
      <c r="J1259" s="111" t="s">
        <v>402</v>
      </c>
      <c r="K1259" s="106" t="s">
        <v>403</v>
      </c>
      <c r="L1259" s="55" t="s">
        <v>404</v>
      </c>
      <c r="M1259" s="55" t="s">
        <v>7634</v>
      </c>
    </row>
    <row r="1260" spans="1:13">
      <c r="A1260" s="408" t="s">
        <v>3470</v>
      </c>
      <c r="B1260" s="106" t="s">
        <v>327</v>
      </c>
      <c r="C1260" s="106" t="s">
        <v>473</v>
      </c>
      <c r="D1260" s="107" t="s">
        <v>3471</v>
      </c>
      <c r="E1260" s="109" t="s">
        <v>355</v>
      </c>
      <c r="F1260" s="109" t="s">
        <v>355</v>
      </c>
      <c r="G1260" s="55" t="s">
        <v>355</v>
      </c>
      <c r="H1260" s="108" t="s">
        <v>402</v>
      </c>
      <c r="I1260" s="111" t="s">
        <v>402</v>
      </c>
      <c r="J1260" s="111" t="s">
        <v>402</v>
      </c>
      <c r="K1260" s="106" t="s">
        <v>403</v>
      </c>
      <c r="L1260" s="55" t="s">
        <v>404</v>
      </c>
      <c r="M1260" s="55" t="s">
        <v>7634</v>
      </c>
    </row>
    <row r="1261" spans="1:13">
      <c r="A1261" s="408" t="s">
        <v>3472</v>
      </c>
      <c r="B1261" s="106" t="s">
        <v>327</v>
      </c>
      <c r="C1261" s="106" t="s">
        <v>473</v>
      </c>
      <c r="D1261" s="107" t="s">
        <v>3473</v>
      </c>
      <c r="E1261" s="109" t="s">
        <v>355</v>
      </c>
      <c r="F1261" s="109" t="s">
        <v>355</v>
      </c>
      <c r="G1261" s="55" t="s">
        <v>355</v>
      </c>
      <c r="H1261" s="108" t="s">
        <v>402</v>
      </c>
      <c r="I1261" s="111" t="s">
        <v>402</v>
      </c>
      <c r="J1261" s="111" t="s">
        <v>402</v>
      </c>
      <c r="K1261" s="106" t="s">
        <v>403</v>
      </c>
      <c r="L1261" s="55" t="s">
        <v>404</v>
      </c>
      <c r="M1261" s="55" t="s">
        <v>7634</v>
      </c>
    </row>
    <row r="1262" spans="1:13">
      <c r="A1262" s="408" t="s">
        <v>3474</v>
      </c>
      <c r="B1262" s="106" t="s">
        <v>327</v>
      </c>
      <c r="C1262" s="106" t="s">
        <v>473</v>
      </c>
      <c r="D1262" s="107" t="s">
        <v>3475</v>
      </c>
      <c r="E1262" s="107" t="s">
        <v>3476</v>
      </c>
      <c r="F1262" s="107" t="s">
        <v>3477</v>
      </c>
      <c r="G1262" s="114"/>
      <c r="H1262" s="108" t="s">
        <v>402</v>
      </c>
      <c r="I1262" s="111" t="s">
        <v>402</v>
      </c>
      <c r="J1262" s="111" t="s">
        <v>402</v>
      </c>
      <c r="K1262" s="106" t="s">
        <v>403</v>
      </c>
      <c r="L1262" s="55" t="s">
        <v>404</v>
      </c>
      <c r="M1262" s="55" t="s">
        <v>7634</v>
      </c>
    </row>
    <row r="1263" spans="1:13">
      <c r="A1263" s="401" t="s">
        <v>3478</v>
      </c>
      <c r="B1263" s="106" t="s">
        <v>327</v>
      </c>
      <c r="C1263" s="106" t="s">
        <v>473</v>
      </c>
      <c r="D1263" s="109" t="s">
        <v>3479</v>
      </c>
      <c r="E1263" s="109" t="s">
        <v>1886</v>
      </c>
      <c r="F1263" s="109" t="s">
        <v>3480</v>
      </c>
      <c r="G1263" s="117" t="s">
        <v>383</v>
      </c>
      <c r="H1263" s="115" t="s">
        <v>402</v>
      </c>
      <c r="I1263" s="111" t="s">
        <v>402</v>
      </c>
      <c r="J1263" s="111" t="s">
        <v>402</v>
      </c>
      <c r="K1263" s="106" t="s">
        <v>403</v>
      </c>
      <c r="L1263" s="55" t="s">
        <v>404</v>
      </c>
      <c r="M1263" s="55" t="s">
        <v>1173</v>
      </c>
    </row>
    <row r="1264" spans="1:13">
      <c r="A1264" s="408" t="s">
        <v>3481</v>
      </c>
      <c r="B1264" s="106" t="s">
        <v>327</v>
      </c>
      <c r="C1264" s="106" t="s">
        <v>473</v>
      </c>
      <c r="D1264" s="107" t="s">
        <v>3482</v>
      </c>
      <c r="E1264" s="109" t="s">
        <v>355</v>
      </c>
      <c r="F1264" s="109" t="s">
        <v>355</v>
      </c>
      <c r="G1264" s="55" t="s">
        <v>355</v>
      </c>
      <c r="H1264" s="108" t="s">
        <v>402</v>
      </c>
      <c r="I1264" s="111" t="s">
        <v>402</v>
      </c>
      <c r="J1264" s="111" t="s">
        <v>402</v>
      </c>
      <c r="K1264" s="106" t="s">
        <v>403</v>
      </c>
      <c r="L1264" s="55" t="s">
        <v>404</v>
      </c>
      <c r="M1264" s="55" t="s">
        <v>7634</v>
      </c>
    </row>
    <row r="1265" spans="1:13">
      <c r="A1265" s="408" t="s">
        <v>3483</v>
      </c>
      <c r="B1265" s="106" t="s">
        <v>327</v>
      </c>
      <c r="C1265" s="106" t="s">
        <v>473</v>
      </c>
      <c r="D1265" s="107" t="s">
        <v>3484</v>
      </c>
      <c r="E1265" s="109" t="s">
        <v>355</v>
      </c>
      <c r="F1265" s="109" t="s">
        <v>355</v>
      </c>
      <c r="G1265" s="55" t="s">
        <v>355</v>
      </c>
      <c r="H1265" s="108" t="s">
        <v>402</v>
      </c>
      <c r="I1265" s="111" t="s">
        <v>402</v>
      </c>
      <c r="J1265" s="111" t="s">
        <v>402</v>
      </c>
      <c r="K1265" s="106" t="s">
        <v>403</v>
      </c>
      <c r="L1265" s="55" t="s">
        <v>404</v>
      </c>
      <c r="M1265" s="55" t="s">
        <v>7634</v>
      </c>
    </row>
    <row r="1266" spans="1:13">
      <c r="A1266" s="408" t="s">
        <v>3485</v>
      </c>
      <c r="B1266" s="106" t="s">
        <v>327</v>
      </c>
      <c r="C1266" s="106" t="s">
        <v>473</v>
      </c>
      <c r="D1266" s="107" t="s">
        <v>3486</v>
      </c>
      <c r="E1266" s="109" t="s">
        <v>355</v>
      </c>
      <c r="F1266" s="109" t="s">
        <v>355</v>
      </c>
      <c r="G1266" s="55" t="s">
        <v>355</v>
      </c>
      <c r="H1266" s="108" t="s">
        <v>402</v>
      </c>
      <c r="I1266" s="111" t="s">
        <v>402</v>
      </c>
      <c r="J1266" s="111" t="s">
        <v>402</v>
      </c>
      <c r="K1266" s="106" t="s">
        <v>403</v>
      </c>
      <c r="L1266" s="55" t="s">
        <v>404</v>
      </c>
      <c r="M1266" s="55" t="s">
        <v>7634</v>
      </c>
    </row>
    <row r="1267" spans="1:13">
      <c r="A1267" s="408" t="s">
        <v>3487</v>
      </c>
      <c r="B1267" s="106" t="s">
        <v>327</v>
      </c>
      <c r="C1267" s="106" t="s">
        <v>473</v>
      </c>
      <c r="D1267" s="107" t="s">
        <v>3488</v>
      </c>
      <c r="E1267" s="109" t="s">
        <v>355</v>
      </c>
      <c r="F1267" s="109" t="s">
        <v>355</v>
      </c>
      <c r="G1267" s="55" t="s">
        <v>355</v>
      </c>
      <c r="H1267" s="108" t="s">
        <v>402</v>
      </c>
      <c r="I1267" s="111" t="s">
        <v>402</v>
      </c>
      <c r="J1267" s="111" t="s">
        <v>402</v>
      </c>
      <c r="K1267" s="106" t="s">
        <v>403</v>
      </c>
      <c r="L1267" s="55" t="s">
        <v>404</v>
      </c>
      <c r="M1267" s="55" t="s">
        <v>7634</v>
      </c>
    </row>
    <row r="1268" spans="1:13">
      <c r="A1268" s="408" t="s">
        <v>3489</v>
      </c>
      <c r="B1268" s="106" t="s">
        <v>327</v>
      </c>
      <c r="C1268" s="106" t="s">
        <v>473</v>
      </c>
      <c r="D1268" s="107" t="s">
        <v>3490</v>
      </c>
      <c r="E1268" s="109" t="s">
        <v>355</v>
      </c>
      <c r="F1268" s="109" t="s">
        <v>355</v>
      </c>
      <c r="G1268" s="55" t="s">
        <v>355</v>
      </c>
      <c r="H1268" s="108" t="s">
        <v>402</v>
      </c>
      <c r="I1268" s="111" t="s">
        <v>402</v>
      </c>
      <c r="J1268" s="111" t="s">
        <v>402</v>
      </c>
      <c r="K1268" s="106" t="s">
        <v>403</v>
      </c>
      <c r="L1268" s="55" t="s">
        <v>404</v>
      </c>
      <c r="M1268" s="55" t="s">
        <v>7634</v>
      </c>
    </row>
    <row r="1269" spans="1:13">
      <c r="A1269" s="408" t="s">
        <v>3491</v>
      </c>
      <c r="B1269" s="106" t="s">
        <v>327</v>
      </c>
      <c r="C1269" s="106" t="s">
        <v>473</v>
      </c>
      <c r="D1269" s="107" t="s">
        <v>3492</v>
      </c>
      <c r="E1269" s="107" t="s">
        <v>3493</v>
      </c>
      <c r="F1269" s="107" t="s">
        <v>3494</v>
      </c>
      <c r="G1269" s="114" t="s">
        <v>355</v>
      </c>
      <c r="H1269" s="108" t="s">
        <v>402</v>
      </c>
      <c r="I1269" s="111" t="s">
        <v>402</v>
      </c>
      <c r="J1269" s="111" t="s">
        <v>402</v>
      </c>
      <c r="K1269" s="106" t="s">
        <v>403</v>
      </c>
      <c r="L1269" s="55" t="s">
        <v>404</v>
      </c>
      <c r="M1269" s="55" t="s">
        <v>3326</v>
      </c>
    </row>
    <row r="1270" spans="1:13">
      <c r="A1270" s="408" t="s">
        <v>3495</v>
      </c>
      <c r="B1270" s="106" t="s">
        <v>327</v>
      </c>
      <c r="C1270" s="106" t="s">
        <v>473</v>
      </c>
      <c r="D1270" s="107" t="s">
        <v>3496</v>
      </c>
      <c r="E1270" s="109" t="s">
        <v>355</v>
      </c>
      <c r="F1270" s="109" t="s">
        <v>355</v>
      </c>
      <c r="G1270" s="55" t="s">
        <v>355</v>
      </c>
      <c r="H1270" s="108" t="s">
        <v>402</v>
      </c>
      <c r="I1270" s="111" t="s">
        <v>402</v>
      </c>
      <c r="J1270" s="111" t="s">
        <v>402</v>
      </c>
      <c r="K1270" s="106" t="s">
        <v>403</v>
      </c>
      <c r="L1270" s="55" t="s">
        <v>404</v>
      </c>
      <c r="M1270" s="55" t="s">
        <v>7634</v>
      </c>
    </row>
    <row r="1271" spans="1:13">
      <c r="A1271" s="401" t="s">
        <v>3497</v>
      </c>
      <c r="B1271" s="106" t="s">
        <v>327</v>
      </c>
      <c r="C1271" s="106" t="s">
        <v>473</v>
      </c>
      <c r="D1271" s="109" t="s">
        <v>3498</v>
      </c>
      <c r="E1271" s="109" t="s">
        <v>3499</v>
      </c>
      <c r="F1271" s="109" t="s">
        <v>3500</v>
      </c>
      <c r="G1271" s="117" t="s">
        <v>383</v>
      </c>
      <c r="H1271" s="115" t="s">
        <v>402</v>
      </c>
      <c r="I1271" s="111" t="s">
        <v>402</v>
      </c>
      <c r="J1271" s="111" t="s">
        <v>402</v>
      </c>
      <c r="K1271" s="115" t="s">
        <v>403</v>
      </c>
      <c r="L1271" s="55" t="s">
        <v>404</v>
      </c>
      <c r="M1271" s="113" t="s">
        <v>1173</v>
      </c>
    </row>
    <row r="1272" spans="1:13">
      <c r="A1272" s="408" t="s">
        <v>3501</v>
      </c>
      <c r="B1272" s="106" t="s">
        <v>327</v>
      </c>
      <c r="C1272" s="106" t="s">
        <v>473</v>
      </c>
      <c r="D1272" s="107" t="s">
        <v>3502</v>
      </c>
      <c r="E1272" s="109" t="s">
        <v>355</v>
      </c>
      <c r="F1272" s="109" t="s">
        <v>355</v>
      </c>
      <c r="G1272" s="55" t="s">
        <v>355</v>
      </c>
      <c r="H1272" s="108" t="s">
        <v>402</v>
      </c>
      <c r="I1272" s="111" t="s">
        <v>402</v>
      </c>
      <c r="J1272" s="111" t="s">
        <v>402</v>
      </c>
      <c r="K1272" s="106" t="s">
        <v>403</v>
      </c>
      <c r="L1272" s="55" t="s">
        <v>404</v>
      </c>
      <c r="M1272" s="55" t="s">
        <v>7634</v>
      </c>
    </row>
    <row r="1273" spans="1:13">
      <c r="A1273" s="408" t="s">
        <v>3503</v>
      </c>
      <c r="B1273" s="106" t="s">
        <v>327</v>
      </c>
      <c r="C1273" s="106" t="s">
        <v>473</v>
      </c>
      <c r="D1273" s="107" t="s">
        <v>3504</v>
      </c>
      <c r="E1273" s="109" t="s">
        <v>355</v>
      </c>
      <c r="F1273" s="109" t="s">
        <v>355</v>
      </c>
      <c r="G1273" s="55" t="s">
        <v>355</v>
      </c>
      <c r="H1273" s="108" t="s">
        <v>402</v>
      </c>
      <c r="I1273" s="111" t="s">
        <v>402</v>
      </c>
      <c r="J1273" s="111" t="s">
        <v>402</v>
      </c>
      <c r="K1273" s="106" t="s">
        <v>403</v>
      </c>
      <c r="L1273" s="55" t="s">
        <v>404</v>
      </c>
      <c r="M1273" s="55" t="s">
        <v>7634</v>
      </c>
    </row>
    <row r="1274" spans="1:13">
      <c r="A1274" s="408" t="s">
        <v>3505</v>
      </c>
      <c r="B1274" s="106" t="s">
        <v>327</v>
      </c>
      <c r="C1274" s="106" t="s">
        <v>473</v>
      </c>
      <c r="D1274" s="107" t="s">
        <v>3506</v>
      </c>
      <c r="E1274" s="109" t="s">
        <v>355</v>
      </c>
      <c r="F1274" s="109" t="s">
        <v>355</v>
      </c>
      <c r="G1274" s="55" t="s">
        <v>355</v>
      </c>
      <c r="H1274" s="108" t="s">
        <v>402</v>
      </c>
      <c r="I1274" s="111" t="s">
        <v>402</v>
      </c>
      <c r="J1274" s="111" t="s">
        <v>402</v>
      </c>
      <c r="K1274" s="106" t="s">
        <v>403</v>
      </c>
      <c r="L1274" s="55" t="s">
        <v>404</v>
      </c>
      <c r="M1274" s="55" t="s">
        <v>7634</v>
      </c>
    </row>
    <row r="1275" spans="1:13">
      <c r="A1275" s="408" t="s">
        <v>3507</v>
      </c>
      <c r="B1275" s="106" t="s">
        <v>327</v>
      </c>
      <c r="C1275" s="106" t="s">
        <v>473</v>
      </c>
      <c r="D1275" s="107" t="s">
        <v>3508</v>
      </c>
      <c r="E1275" s="107" t="s">
        <v>3509</v>
      </c>
      <c r="F1275" s="107" t="s">
        <v>3510</v>
      </c>
      <c r="G1275" s="114"/>
      <c r="H1275" s="108" t="s">
        <v>402</v>
      </c>
      <c r="I1275" s="111" t="s">
        <v>402</v>
      </c>
      <c r="J1275" s="111" t="s">
        <v>402</v>
      </c>
      <c r="K1275" s="106" t="s">
        <v>403</v>
      </c>
      <c r="L1275" s="55" t="s">
        <v>404</v>
      </c>
      <c r="M1275" s="55" t="s">
        <v>7634</v>
      </c>
    </row>
    <row r="1276" spans="1:13">
      <c r="A1276" s="408" t="s">
        <v>3511</v>
      </c>
      <c r="B1276" s="106" t="s">
        <v>327</v>
      </c>
      <c r="C1276" s="106" t="s">
        <v>473</v>
      </c>
      <c r="D1276" s="107" t="s">
        <v>3512</v>
      </c>
      <c r="E1276" s="107" t="s">
        <v>3513</v>
      </c>
      <c r="F1276" s="107" t="s">
        <v>3514</v>
      </c>
      <c r="G1276" s="114"/>
      <c r="H1276" s="108" t="s">
        <v>402</v>
      </c>
      <c r="I1276" s="111" t="s">
        <v>402</v>
      </c>
      <c r="J1276" s="111" t="s">
        <v>402</v>
      </c>
      <c r="K1276" s="106" t="s">
        <v>403</v>
      </c>
      <c r="L1276" s="55" t="s">
        <v>404</v>
      </c>
      <c r="M1276" s="55" t="s">
        <v>7634</v>
      </c>
    </row>
    <row r="1277" spans="1:13">
      <c r="A1277" s="408" t="s">
        <v>3515</v>
      </c>
      <c r="B1277" s="106" t="s">
        <v>327</v>
      </c>
      <c r="C1277" s="106" t="s">
        <v>473</v>
      </c>
      <c r="D1277" s="107" t="s">
        <v>3516</v>
      </c>
      <c r="E1277" s="109" t="s">
        <v>355</v>
      </c>
      <c r="F1277" s="109" t="s">
        <v>355</v>
      </c>
      <c r="G1277" s="55" t="s">
        <v>355</v>
      </c>
      <c r="H1277" s="108" t="s">
        <v>402</v>
      </c>
      <c r="I1277" s="111" t="s">
        <v>402</v>
      </c>
      <c r="J1277" s="111" t="s">
        <v>402</v>
      </c>
      <c r="K1277" s="106" t="s">
        <v>403</v>
      </c>
      <c r="L1277" s="55" t="s">
        <v>404</v>
      </c>
      <c r="M1277" s="55" t="s">
        <v>7634</v>
      </c>
    </row>
    <row r="1278" spans="1:13">
      <c r="A1278" s="408" t="s">
        <v>3517</v>
      </c>
      <c r="B1278" s="106" t="s">
        <v>327</v>
      </c>
      <c r="C1278" s="106" t="s">
        <v>473</v>
      </c>
      <c r="D1278" s="107" t="s">
        <v>3518</v>
      </c>
      <c r="E1278" s="586" t="s">
        <v>1225</v>
      </c>
      <c r="F1278" s="586" t="s">
        <v>3519</v>
      </c>
      <c r="G1278" s="114"/>
      <c r="H1278" s="108" t="s">
        <v>402</v>
      </c>
      <c r="I1278" s="111" t="s">
        <v>402</v>
      </c>
      <c r="J1278" s="111" t="s">
        <v>402</v>
      </c>
      <c r="K1278" s="106" t="s">
        <v>403</v>
      </c>
      <c r="L1278" s="55" t="s">
        <v>404</v>
      </c>
      <c r="M1278" s="55" t="s">
        <v>7634</v>
      </c>
    </row>
    <row r="1279" spans="1:13">
      <c r="A1279" s="408" t="s">
        <v>3520</v>
      </c>
      <c r="B1279" s="106" t="s">
        <v>327</v>
      </c>
      <c r="C1279" s="106" t="s">
        <v>473</v>
      </c>
      <c r="D1279" s="107" t="s">
        <v>3521</v>
      </c>
      <c r="E1279" s="109" t="s">
        <v>355</v>
      </c>
      <c r="F1279" s="109" t="s">
        <v>355</v>
      </c>
      <c r="G1279" s="55" t="s">
        <v>355</v>
      </c>
      <c r="H1279" s="108" t="s">
        <v>402</v>
      </c>
      <c r="I1279" s="111" t="s">
        <v>402</v>
      </c>
      <c r="J1279" s="111" t="s">
        <v>402</v>
      </c>
      <c r="K1279" s="106" t="s">
        <v>403</v>
      </c>
      <c r="L1279" s="55" t="s">
        <v>404</v>
      </c>
      <c r="M1279" s="55" t="s">
        <v>7634</v>
      </c>
    </row>
    <row r="1280" spans="1:13">
      <c r="A1280" s="408" t="s">
        <v>3522</v>
      </c>
      <c r="B1280" s="106" t="s">
        <v>327</v>
      </c>
      <c r="C1280" s="106" t="s">
        <v>473</v>
      </c>
      <c r="D1280" s="107" t="s">
        <v>2421</v>
      </c>
      <c r="E1280" s="109" t="s">
        <v>355</v>
      </c>
      <c r="F1280" s="109" t="s">
        <v>355</v>
      </c>
      <c r="G1280" s="55" t="s">
        <v>355</v>
      </c>
      <c r="H1280" s="108" t="s">
        <v>402</v>
      </c>
      <c r="I1280" s="111" t="s">
        <v>402</v>
      </c>
      <c r="J1280" s="111" t="s">
        <v>402</v>
      </c>
      <c r="K1280" s="106" t="s">
        <v>403</v>
      </c>
      <c r="L1280" s="55" t="s">
        <v>404</v>
      </c>
      <c r="M1280" s="55" t="s">
        <v>7634</v>
      </c>
    </row>
    <row r="1281" spans="1:13">
      <c r="A1281" s="408" t="s">
        <v>3523</v>
      </c>
      <c r="B1281" s="106" t="s">
        <v>327</v>
      </c>
      <c r="C1281" s="106" t="s">
        <v>473</v>
      </c>
      <c r="D1281" s="107" t="s">
        <v>3524</v>
      </c>
      <c r="E1281" s="109" t="s">
        <v>355</v>
      </c>
      <c r="F1281" s="109" t="s">
        <v>355</v>
      </c>
      <c r="G1281" s="55" t="s">
        <v>355</v>
      </c>
      <c r="H1281" s="108" t="s">
        <v>402</v>
      </c>
      <c r="I1281" s="111" t="s">
        <v>402</v>
      </c>
      <c r="J1281" s="111" t="s">
        <v>402</v>
      </c>
      <c r="K1281" s="106" t="s">
        <v>403</v>
      </c>
      <c r="L1281" s="55" t="s">
        <v>404</v>
      </c>
      <c r="M1281" s="55" t="s">
        <v>7634</v>
      </c>
    </row>
    <row r="1282" spans="1:13">
      <c r="A1282" s="408" t="s">
        <v>3525</v>
      </c>
      <c r="B1282" s="106" t="s">
        <v>327</v>
      </c>
      <c r="C1282" s="106" t="s">
        <v>473</v>
      </c>
      <c r="D1282" s="107" t="s">
        <v>3526</v>
      </c>
      <c r="E1282" s="109" t="s">
        <v>355</v>
      </c>
      <c r="F1282" s="109" t="s">
        <v>355</v>
      </c>
      <c r="G1282" s="55" t="s">
        <v>355</v>
      </c>
      <c r="H1282" s="108" t="s">
        <v>402</v>
      </c>
      <c r="I1282" s="111" t="s">
        <v>402</v>
      </c>
      <c r="J1282" s="111" t="s">
        <v>402</v>
      </c>
      <c r="K1282" s="106" t="s">
        <v>403</v>
      </c>
      <c r="L1282" s="55" t="s">
        <v>404</v>
      </c>
      <c r="M1282" s="55" t="s">
        <v>7634</v>
      </c>
    </row>
    <row r="1283" spans="1:13">
      <c r="A1283" s="408" t="s">
        <v>3527</v>
      </c>
      <c r="B1283" s="106" t="s">
        <v>327</v>
      </c>
      <c r="C1283" s="106" t="s">
        <v>473</v>
      </c>
      <c r="D1283" s="107" t="s">
        <v>2535</v>
      </c>
      <c r="E1283" s="109" t="s">
        <v>355</v>
      </c>
      <c r="F1283" s="109" t="s">
        <v>355</v>
      </c>
      <c r="G1283" s="55" t="s">
        <v>355</v>
      </c>
      <c r="H1283" s="108" t="s">
        <v>402</v>
      </c>
      <c r="I1283" s="111" t="s">
        <v>402</v>
      </c>
      <c r="J1283" s="111" t="s">
        <v>402</v>
      </c>
      <c r="K1283" s="106" t="s">
        <v>403</v>
      </c>
      <c r="L1283" s="55" t="s">
        <v>404</v>
      </c>
      <c r="M1283" s="55" t="s">
        <v>7634</v>
      </c>
    </row>
    <row r="1284" spans="1:13">
      <c r="A1284" s="408" t="s">
        <v>3528</v>
      </c>
      <c r="B1284" s="106" t="s">
        <v>327</v>
      </c>
      <c r="C1284" s="106" t="s">
        <v>473</v>
      </c>
      <c r="D1284" s="107" t="s">
        <v>3529</v>
      </c>
      <c r="E1284" s="109" t="s">
        <v>355</v>
      </c>
      <c r="F1284" s="109" t="s">
        <v>355</v>
      </c>
      <c r="G1284" s="55" t="s">
        <v>355</v>
      </c>
      <c r="H1284" s="108" t="s">
        <v>402</v>
      </c>
      <c r="I1284" s="111" t="s">
        <v>402</v>
      </c>
      <c r="J1284" s="111" t="s">
        <v>402</v>
      </c>
      <c r="K1284" s="106" t="s">
        <v>403</v>
      </c>
      <c r="L1284" s="55" t="s">
        <v>404</v>
      </c>
      <c r="M1284" s="55" t="s">
        <v>7634</v>
      </c>
    </row>
    <row r="1285" spans="1:13">
      <c r="A1285" s="401" t="s">
        <v>3530</v>
      </c>
      <c r="B1285" s="106" t="s">
        <v>327</v>
      </c>
      <c r="C1285" s="106" t="s">
        <v>473</v>
      </c>
      <c r="D1285" s="109" t="s">
        <v>3531</v>
      </c>
      <c r="E1285" s="109" t="s">
        <v>3532</v>
      </c>
      <c r="F1285" s="109" t="s">
        <v>3533</v>
      </c>
      <c r="G1285" s="117" t="s">
        <v>383</v>
      </c>
      <c r="H1285" s="115" t="s">
        <v>402</v>
      </c>
      <c r="I1285" s="111" t="s">
        <v>402</v>
      </c>
      <c r="J1285" s="111" t="s">
        <v>402</v>
      </c>
      <c r="K1285" s="115" t="s">
        <v>403</v>
      </c>
      <c r="L1285" s="55" t="s">
        <v>404</v>
      </c>
      <c r="M1285" s="113" t="s">
        <v>1173</v>
      </c>
    </row>
    <row r="1286" spans="1:13">
      <c r="A1286" s="408" t="s">
        <v>3534</v>
      </c>
      <c r="B1286" s="106" t="s">
        <v>327</v>
      </c>
      <c r="C1286" s="106" t="s">
        <v>473</v>
      </c>
      <c r="D1286" s="107" t="s">
        <v>3535</v>
      </c>
      <c r="E1286" s="109" t="s">
        <v>355</v>
      </c>
      <c r="F1286" s="109" t="s">
        <v>355</v>
      </c>
      <c r="G1286" s="55" t="s">
        <v>355</v>
      </c>
      <c r="H1286" s="108" t="s">
        <v>402</v>
      </c>
      <c r="I1286" s="111" t="s">
        <v>402</v>
      </c>
      <c r="J1286" s="111" t="s">
        <v>402</v>
      </c>
      <c r="K1286" s="106" t="s">
        <v>403</v>
      </c>
      <c r="L1286" s="55" t="s">
        <v>404</v>
      </c>
      <c r="M1286" s="55" t="s">
        <v>7634</v>
      </c>
    </row>
    <row r="1287" spans="1:13">
      <c r="A1287" s="408" t="s">
        <v>3536</v>
      </c>
      <c r="B1287" s="106" t="s">
        <v>327</v>
      </c>
      <c r="C1287" s="106" t="s">
        <v>473</v>
      </c>
      <c r="D1287" s="107" t="s">
        <v>3537</v>
      </c>
      <c r="E1287" s="109" t="s">
        <v>355</v>
      </c>
      <c r="F1287" s="109" t="s">
        <v>355</v>
      </c>
      <c r="G1287" s="55" t="s">
        <v>355</v>
      </c>
      <c r="H1287" s="108" t="s">
        <v>402</v>
      </c>
      <c r="I1287" s="111" t="s">
        <v>402</v>
      </c>
      <c r="J1287" s="111" t="s">
        <v>402</v>
      </c>
      <c r="K1287" s="106" t="s">
        <v>403</v>
      </c>
      <c r="L1287" s="55" t="s">
        <v>404</v>
      </c>
      <c r="M1287" s="55" t="s">
        <v>7634</v>
      </c>
    </row>
    <row r="1288" spans="1:13">
      <c r="A1288" s="408" t="s">
        <v>3538</v>
      </c>
      <c r="B1288" s="106" t="s">
        <v>327</v>
      </c>
      <c r="C1288" s="106" t="s">
        <v>473</v>
      </c>
      <c r="D1288" s="107" t="s">
        <v>3539</v>
      </c>
      <c r="E1288" s="109" t="s">
        <v>355</v>
      </c>
      <c r="F1288" s="109" t="s">
        <v>355</v>
      </c>
      <c r="G1288" s="55" t="s">
        <v>355</v>
      </c>
      <c r="H1288" s="108" t="s">
        <v>402</v>
      </c>
      <c r="I1288" s="111" t="s">
        <v>402</v>
      </c>
      <c r="J1288" s="111" t="s">
        <v>402</v>
      </c>
      <c r="K1288" s="106" t="s">
        <v>403</v>
      </c>
      <c r="L1288" s="55" t="s">
        <v>404</v>
      </c>
      <c r="M1288" s="55" t="s">
        <v>7634</v>
      </c>
    </row>
    <row r="1289" spans="1:13">
      <c r="A1289" s="408" t="s">
        <v>3540</v>
      </c>
      <c r="B1289" s="106" t="s">
        <v>327</v>
      </c>
      <c r="C1289" s="106" t="s">
        <v>473</v>
      </c>
      <c r="D1289" s="107" t="s">
        <v>3541</v>
      </c>
      <c r="E1289" s="109" t="s">
        <v>355</v>
      </c>
      <c r="F1289" s="109" t="s">
        <v>355</v>
      </c>
      <c r="G1289" s="55" t="s">
        <v>355</v>
      </c>
      <c r="H1289" s="108" t="s">
        <v>402</v>
      </c>
      <c r="I1289" s="111" t="s">
        <v>402</v>
      </c>
      <c r="J1289" s="111" t="s">
        <v>402</v>
      </c>
      <c r="K1289" s="106" t="s">
        <v>403</v>
      </c>
      <c r="L1289" s="55" t="s">
        <v>404</v>
      </c>
      <c r="M1289" s="55" t="s">
        <v>7634</v>
      </c>
    </row>
    <row r="1290" spans="1:13">
      <c r="A1290" s="408" t="s">
        <v>3542</v>
      </c>
      <c r="B1290" s="106" t="s">
        <v>327</v>
      </c>
      <c r="C1290" s="106" t="s">
        <v>473</v>
      </c>
      <c r="D1290" s="107" t="s">
        <v>3543</v>
      </c>
      <c r="E1290" s="109" t="s">
        <v>355</v>
      </c>
      <c r="F1290" s="109" t="s">
        <v>355</v>
      </c>
      <c r="G1290" s="55" t="s">
        <v>355</v>
      </c>
      <c r="H1290" s="108" t="s">
        <v>402</v>
      </c>
      <c r="I1290" s="111" t="s">
        <v>402</v>
      </c>
      <c r="J1290" s="111" t="s">
        <v>402</v>
      </c>
      <c r="K1290" s="106" t="s">
        <v>403</v>
      </c>
      <c r="L1290" s="55" t="s">
        <v>404</v>
      </c>
      <c r="M1290" s="55" t="s">
        <v>7634</v>
      </c>
    </row>
    <row r="1291" spans="1:13">
      <c r="A1291" s="401" t="s">
        <v>3544</v>
      </c>
      <c r="B1291" s="106" t="s">
        <v>327</v>
      </c>
      <c r="C1291" s="106" t="s">
        <v>473</v>
      </c>
      <c r="D1291" s="109" t="s">
        <v>3545</v>
      </c>
      <c r="E1291" s="110" t="s">
        <v>2303</v>
      </c>
      <c r="F1291" s="109" t="s">
        <v>3546</v>
      </c>
      <c r="G1291" s="117" t="s">
        <v>383</v>
      </c>
      <c r="H1291" s="115" t="s">
        <v>402</v>
      </c>
      <c r="I1291" s="111" t="s">
        <v>402</v>
      </c>
      <c r="J1291" s="111" t="s">
        <v>402</v>
      </c>
      <c r="K1291" s="115" t="s">
        <v>403</v>
      </c>
      <c r="L1291" s="55" t="s">
        <v>404</v>
      </c>
      <c r="M1291" s="113" t="s">
        <v>383</v>
      </c>
    </row>
    <row r="1292" spans="1:13">
      <c r="A1292" s="408" t="s">
        <v>3547</v>
      </c>
      <c r="B1292" s="106" t="s">
        <v>327</v>
      </c>
      <c r="C1292" s="106" t="s">
        <v>473</v>
      </c>
      <c r="D1292" s="107" t="s">
        <v>3548</v>
      </c>
      <c r="E1292" s="109" t="s">
        <v>355</v>
      </c>
      <c r="F1292" s="109" t="s">
        <v>355</v>
      </c>
      <c r="G1292" s="55" t="s">
        <v>355</v>
      </c>
      <c r="H1292" s="108" t="s">
        <v>402</v>
      </c>
      <c r="I1292" s="111" t="s">
        <v>402</v>
      </c>
      <c r="J1292" s="111" t="s">
        <v>402</v>
      </c>
      <c r="K1292" s="106" t="s">
        <v>403</v>
      </c>
      <c r="L1292" s="55" t="s">
        <v>404</v>
      </c>
      <c r="M1292" s="55" t="s">
        <v>7634</v>
      </c>
    </row>
    <row r="1293" spans="1:13">
      <c r="A1293" s="408" t="s">
        <v>3549</v>
      </c>
      <c r="B1293" s="106" t="s">
        <v>327</v>
      </c>
      <c r="C1293" s="106" t="s">
        <v>473</v>
      </c>
      <c r="D1293" s="107" t="s">
        <v>3550</v>
      </c>
      <c r="E1293" s="586" t="s">
        <v>3551</v>
      </c>
      <c r="F1293" s="586" t="s">
        <v>3552</v>
      </c>
      <c r="G1293" s="114"/>
      <c r="H1293" s="108" t="s">
        <v>402</v>
      </c>
      <c r="I1293" s="111" t="s">
        <v>402</v>
      </c>
      <c r="J1293" s="111" t="s">
        <v>402</v>
      </c>
      <c r="K1293" s="106" t="s">
        <v>403</v>
      </c>
      <c r="L1293" s="55" t="s">
        <v>404</v>
      </c>
      <c r="M1293" s="55" t="s">
        <v>7634</v>
      </c>
    </row>
    <row r="1294" spans="1:13">
      <c r="A1294" s="408" t="s">
        <v>3553</v>
      </c>
      <c r="B1294" s="106" t="s">
        <v>327</v>
      </c>
      <c r="C1294" s="106" t="s">
        <v>473</v>
      </c>
      <c r="D1294" s="107" t="s">
        <v>3554</v>
      </c>
      <c r="E1294" s="109" t="s">
        <v>355</v>
      </c>
      <c r="F1294" s="109" t="s">
        <v>355</v>
      </c>
      <c r="G1294" s="55" t="s">
        <v>355</v>
      </c>
      <c r="H1294" s="108" t="s">
        <v>402</v>
      </c>
      <c r="I1294" s="111" t="s">
        <v>402</v>
      </c>
      <c r="J1294" s="111" t="s">
        <v>402</v>
      </c>
      <c r="K1294" s="106" t="s">
        <v>403</v>
      </c>
      <c r="L1294" s="55" t="s">
        <v>404</v>
      </c>
      <c r="M1294" s="55" t="s">
        <v>7634</v>
      </c>
    </row>
    <row r="1295" spans="1:13">
      <c r="A1295" s="408" t="s">
        <v>3555</v>
      </c>
      <c r="B1295" s="106" t="s">
        <v>327</v>
      </c>
      <c r="C1295" s="106" t="s">
        <v>473</v>
      </c>
      <c r="D1295" s="107" t="s">
        <v>3556</v>
      </c>
      <c r="E1295" s="109" t="s">
        <v>355</v>
      </c>
      <c r="F1295" s="109" t="s">
        <v>355</v>
      </c>
      <c r="G1295" s="55" t="s">
        <v>355</v>
      </c>
      <c r="H1295" s="108" t="s">
        <v>402</v>
      </c>
      <c r="I1295" s="111" t="s">
        <v>402</v>
      </c>
      <c r="J1295" s="111" t="s">
        <v>402</v>
      </c>
      <c r="K1295" s="106" t="s">
        <v>403</v>
      </c>
      <c r="L1295" s="55" t="s">
        <v>404</v>
      </c>
      <c r="M1295" s="55" t="s">
        <v>7634</v>
      </c>
    </row>
    <row r="1296" spans="1:13">
      <c r="A1296" s="408" t="s">
        <v>3557</v>
      </c>
      <c r="B1296" s="106" t="s">
        <v>327</v>
      </c>
      <c r="C1296" s="106" t="s">
        <v>473</v>
      </c>
      <c r="D1296" s="107" t="s">
        <v>3558</v>
      </c>
      <c r="E1296" s="109" t="s">
        <v>355</v>
      </c>
      <c r="F1296" s="109" t="s">
        <v>355</v>
      </c>
      <c r="G1296" s="55" t="s">
        <v>355</v>
      </c>
      <c r="H1296" s="108" t="s">
        <v>402</v>
      </c>
      <c r="I1296" s="111" t="s">
        <v>402</v>
      </c>
      <c r="J1296" s="111" t="s">
        <v>402</v>
      </c>
      <c r="K1296" s="106" t="s">
        <v>403</v>
      </c>
      <c r="L1296" s="55" t="s">
        <v>404</v>
      </c>
      <c r="M1296" s="55" t="s">
        <v>7634</v>
      </c>
    </row>
    <row r="1297" spans="1:13">
      <c r="A1297" s="408" t="s">
        <v>3559</v>
      </c>
      <c r="B1297" s="106" t="s">
        <v>327</v>
      </c>
      <c r="C1297" s="106" t="s">
        <v>473</v>
      </c>
      <c r="D1297" s="107" t="s">
        <v>3560</v>
      </c>
      <c r="E1297" s="109" t="s">
        <v>355</v>
      </c>
      <c r="F1297" s="109" t="s">
        <v>355</v>
      </c>
      <c r="G1297" s="55" t="s">
        <v>355</v>
      </c>
      <c r="H1297" s="108" t="s">
        <v>402</v>
      </c>
      <c r="I1297" s="111" t="s">
        <v>402</v>
      </c>
      <c r="J1297" s="111" t="s">
        <v>402</v>
      </c>
      <c r="K1297" s="106" t="s">
        <v>403</v>
      </c>
      <c r="L1297" s="55" t="s">
        <v>404</v>
      </c>
      <c r="M1297" s="55" t="s">
        <v>7634</v>
      </c>
    </row>
    <row r="1298" spans="1:13">
      <c r="A1298" s="401" t="s">
        <v>3561</v>
      </c>
      <c r="B1298" s="106" t="s">
        <v>327</v>
      </c>
      <c r="C1298" s="106" t="s">
        <v>473</v>
      </c>
      <c r="D1298" s="109" t="s">
        <v>3562</v>
      </c>
      <c r="E1298" s="110" t="s">
        <v>383</v>
      </c>
      <c r="F1298" s="110" t="s">
        <v>383</v>
      </c>
      <c r="G1298" s="112" t="s">
        <v>3563</v>
      </c>
      <c r="H1298" s="115" t="s">
        <v>402</v>
      </c>
      <c r="I1298" s="111" t="s">
        <v>402</v>
      </c>
      <c r="J1298" s="111" t="s">
        <v>402</v>
      </c>
      <c r="K1298" s="115" t="s">
        <v>403</v>
      </c>
      <c r="L1298" s="55" t="s">
        <v>404</v>
      </c>
      <c r="M1298" s="113" t="s">
        <v>383</v>
      </c>
    </row>
    <row r="1299" spans="1:13">
      <c r="A1299" s="408" t="s">
        <v>3564</v>
      </c>
      <c r="B1299" s="106" t="s">
        <v>327</v>
      </c>
      <c r="C1299" s="106" t="s">
        <v>473</v>
      </c>
      <c r="D1299" s="107" t="s">
        <v>3565</v>
      </c>
      <c r="E1299" s="109" t="s">
        <v>355</v>
      </c>
      <c r="F1299" s="109" t="s">
        <v>355</v>
      </c>
      <c r="G1299" s="55" t="s">
        <v>355</v>
      </c>
      <c r="H1299" s="108" t="s">
        <v>402</v>
      </c>
      <c r="I1299" s="111" t="s">
        <v>402</v>
      </c>
      <c r="J1299" s="111" t="s">
        <v>402</v>
      </c>
      <c r="K1299" s="106" t="s">
        <v>403</v>
      </c>
      <c r="L1299" s="55" t="s">
        <v>404</v>
      </c>
      <c r="M1299" s="55" t="s">
        <v>7634</v>
      </c>
    </row>
    <row r="1300" spans="1:13">
      <c r="A1300" s="408" t="s">
        <v>3566</v>
      </c>
      <c r="B1300" s="106" t="s">
        <v>327</v>
      </c>
      <c r="C1300" s="106" t="s">
        <v>473</v>
      </c>
      <c r="D1300" s="107" t="s">
        <v>3567</v>
      </c>
      <c r="E1300" s="109" t="s">
        <v>355</v>
      </c>
      <c r="F1300" s="109" t="s">
        <v>355</v>
      </c>
      <c r="G1300" s="55" t="s">
        <v>355</v>
      </c>
      <c r="H1300" s="108" t="s">
        <v>402</v>
      </c>
      <c r="I1300" s="111" t="s">
        <v>402</v>
      </c>
      <c r="J1300" s="111" t="s">
        <v>402</v>
      </c>
      <c r="K1300" s="106" t="s">
        <v>403</v>
      </c>
      <c r="L1300" s="55" t="s">
        <v>404</v>
      </c>
      <c r="M1300" s="55" t="s">
        <v>7634</v>
      </c>
    </row>
    <row r="1301" spans="1:13">
      <c r="A1301" s="408" t="s">
        <v>3568</v>
      </c>
      <c r="B1301" s="106" t="s">
        <v>327</v>
      </c>
      <c r="C1301" s="106" t="s">
        <v>473</v>
      </c>
      <c r="D1301" s="107" t="s">
        <v>3569</v>
      </c>
      <c r="E1301" s="109" t="s">
        <v>355</v>
      </c>
      <c r="F1301" s="109" t="s">
        <v>355</v>
      </c>
      <c r="G1301" s="55" t="s">
        <v>355</v>
      </c>
      <c r="H1301" s="108" t="s">
        <v>402</v>
      </c>
      <c r="I1301" s="111" t="s">
        <v>402</v>
      </c>
      <c r="J1301" s="111" t="s">
        <v>402</v>
      </c>
      <c r="K1301" s="106" t="s">
        <v>403</v>
      </c>
      <c r="L1301" s="55" t="s">
        <v>404</v>
      </c>
      <c r="M1301" s="55" t="s">
        <v>7634</v>
      </c>
    </row>
    <row r="1302" spans="1:13">
      <c r="A1302" s="408" t="s">
        <v>3570</v>
      </c>
      <c r="B1302" s="106" t="s">
        <v>327</v>
      </c>
      <c r="C1302" s="106" t="s">
        <v>473</v>
      </c>
      <c r="D1302" s="107" t="s">
        <v>3571</v>
      </c>
      <c r="E1302" s="109" t="s">
        <v>355</v>
      </c>
      <c r="F1302" s="109" t="s">
        <v>355</v>
      </c>
      <c r="G1302" s="55" t="s">
        <v>355</v>
      </c>
      <c r="H1302" s="108" t="s">
        <v>402</v>
      </c>
      <c r="I1302" s="111" t="s">
        <v>402</v>
      </c>
      <c r="J1302" s="111" t="s">
        <v>402</v>
      </c>
      <c r="K1302" s="106" t="s">
        <v>403</v>
      </c>
      <c r="L1302" s="55" t="s">
        <v>404</v>
      </c>
      <c r="M1302" s="55" t="s">
        <v>7634</v>
      </c>
    </row>
    <row r="1303" spans="1:13">
      <c r="A1303" s="408" t="s">
        <v>3572</v>
      </c>
      <c r="B1303" s="106" t="s">
        <v>327</v>
      </c>
      <c r="C1303" s="106" t="s">
        <v>473</v>
      </c>
      <c r="D1303" s="107" t="s">
        <v>3573</v>
      </c>
      <c r="E1303" s="109" t="s">
        <v>355</v>
      </c>
      <c r="F1303" s="109" t="s">
        <v>355</v>
      </c>
      <c r="G1303" s="55" t="s">
        <v>355</v>
      </c>
      <c r="H1303" s="108" t="s">
        <v>402</v>
      </c>
      <c r="I1303" s="111" t="s">
        <v>402</v>
      </c>
      <c r="J1303" s="111" t="s">
        <v>402</v>
      </c>
      <c r="K1303" s="106" t="s">
        <v>403</v>
      </c>
      <c r="L1303" s="55" t="s">
        <v>404</v>
      </c>
      <c r="M1303" s="55" t="s">
        <v>7634</v>
      </c>
    </row>
    <row r="1304" spans="1:13">
      <c r="A1304" s="408" t="s">
        <v>3574</v>
      </c>
      <c r="B1304" s="106" t="s">
        <v>327</v>
      </c>
      <c r="C1304" s="106" t="s">
        <v>473</v>
      </c>
      <c r="D1304" s="107" t="s">
        <v>3575</v>
      </c>
      <c r="E1304" s="109" t="s">
        <v>355</v>
      </c>
      <c r="F1304" s="109" t="s">
        <v>355</v>
      </c>
      <c r="G1304" s="55" t="s">
        <v>355</v>
      </c>
      <c r="H1304" s="108" t="s">
        <v>402</v>
      </c>
      <c r="I1304" s="111" t="s">
        <v>402</v>
      </c>
      <c r="J1304" s="111" t="s">
        <v>402</v>
      </c>
      <c r="K1304" s="106" t="s">
        <v>403</v>
      </c>
      <c r="L1304" s="55" t="s">
        <v>404</v>
      </c>
      <c r="M1304" s="55" t="s">
        <v>7634</v>
      </c>
    </row>
    <row r="1305" spans="1:13">
      <c r="A1305" s="401" t="s">
        <v>3576</v>
      </c>
      <c r="B1305" s="106" t="s">
        <v>327</v>
      </c>
      <c r="C1305" s="106" t="s">
        <v>473</v>
      </c>
      <c r="D1305" s="109" t="s">
        <v>3577</v>
      </c>
      <c r="E1305" s="109" t="s">
        <v>2303</v>
      </c>
      <c r="F1305" s="109" t="s">
        <v>3578</v>
      </c>
      <c r="G1305" s="114"/>
      <c r="H1305" s="115" t="s">
        <v>402</v>
      </c>
      <c r="I1305" s="111" t="s">
        <v>402</v>
      </c>
      <c r="J1305" s="111" t="s">
        <v>402</v>
      </c>
      <c r="K1305" s="115" t="s">
        <v>403</v>
      </c>
      <c r="L1305" s="55" t="s">
        <v>404</v>
      </c>
      <c r="M1305" s="113" t="s">
        <v>1173</v>
      </c>
    </row>
    <row r="1306" spans="1:13">
      <c r="A1306" s="401" t="s">
        <v>3579</v>
      </c>
      <c r="B1306" s="106" t="s">
        <v>327</v>
      </c>
      <c r="C1306" s="106" t="s">
        <v>473</v>
      </c>
      <c r="D1306" s="109" t="s">
        <v>3580</v>
      </c>
      <c r="E1306" s="109" t="s">
        <v>3581</v>
      </c>
      <c r="F1306" s="109" t="s">
        <v>3582</v>
      </c>
      <c r="G1306" s="117" t="s">
        <v>383</v>
      </c>
      <c r="H1306" s="115" t="s">
        <v>402</v>
      </c>
      <c r="I1306" s="111" t="s">
        <v>402</v>
      </c>
      <c r="J1306" s="111" t="s">
        <v>402</v>
      </c>
      <c r="K1306" s="106" t="s">
        <v>403</v>
      </c>
      <c r="L1306" s="55" t="s">
        <v>404</v>
      </c>
      <c r="M1306" s="55" t="s">
        <v>1173</v>
      </c>
    </row>
    <row r="1307" spans="1:13">
      <c r="A1307" s="401" t="s">
        <v>3583</v>
      </c>
      <c r="B1307" s="106" t="s">
        <v>327</v>
      </c>
      <c r="C1307" s="106" t="s">
        <v>473</v>
      </c>
      <c r="D1307" s="109" t="s">
        <v>2615</v>
      </c>
      <c r="E1307" s="109" t="s">
        <v>3584</v>
      </c>
      <c r="F1307" s="110" t="s">
        <v>3585</v>
      </c>
      <c r="G1307" s="114" t="s">
        <v>383</v>
      </c>
      <c r="H1307" s="115" t="s">
        <v>402</v>
      </c>
      <c r="I1307" s="111" t="s">
        <v>402</v>
      </c>
      <c r="J1307" s="111" t="s">
        <v>402</v>
      </c>
      <c r="K1307" s="106" t="s">
        <v>403</v>
      </c>
      <c r="L1307" s="55" t="s">
        <v>404</v>
      </c>
      <c r="M1307" s="113" t="s">
        <v>1173</v>
      </c>
    </row>
    <row r="1308" spans="1:13">
      <c r="A1308" s="401" t="s">
        <v>3586</v>
      </c>
      <c r="B1308" s="106" t="s">
        <v>327</v>
      </c>
      <c r="C1308" s="106" t="s">
        <v>473</v>
      </c>
      <c r="D1308" s="109" t="s">
        <v>3587</v>
      </c>
      <c r="E1308" s="109" t="s">
        <v>3588</v>
      </c>
      <c r="F1308" s="109" t="s">
        <v>3589</v>
      </c>
      <c r="G1308" s="117" t="s">
        <v>383</v>
      </c>
      <c r="H1308" s="115" t="s">
        <v>402</v>
      </c>
      <c r="I1308" s="111" t="s">
        <v>402</v>
      </c>
      <c r="J1308" s="111" t="s">
        <v>402</v>
      </c>
      <c r="K1308" s="115" t="s">
        <v>403</v>
      </c>
      <c r="L1308" s="55" t="s">
        <v>404</v>
      </c>
      <c r="M1308" s="55" t="s">
        <v>1173</v>
      </c>
    </row>
    <row r="1309" spans="1:13">
      <c r="A1309" s="408" t="s">
        <v>3590</v>
      </c>
      <c r="B1309" s="106" t="s">
        <v>327</v>
      </c>
      <c r="C1309" s="106" t="s">
        <v>473</v>
      </c>
      <c r="D1309" s="107" t="s">
        <v>3591</v>
      </c>
      <c r="E1309" s="107" t="s">
        <v>3592</v>
      </c>
      <c r="F1309" s="107" t="s">
        <v>3593</v>
      </c>
      <c r="G1309" s="114"/>
      <c r="H1309" s="108" t="s">
        <v>402</v>
      </c>
      <c r="I1309" s="111" t="s">
        <v>402</v>
      </c>
      <c r="J1309" s="111" t="s">
        <v>402</v>
      </c>
      <c r="K1309" s="106" t="s">
        <v>403</v>
      </c>
      <c r="L1309" s="55" t="s">
        <v>404</v>
      </c>
      <c r="M1309" s="55" t="s">
        <v>7634</v>
      </c>
    </row>
    <row r="1310" spans="1:13">
      <c r="A1310" s="408" t="s">
        <v>3594</v>
      </c>
      <c r="B1310" s="106" t="s">
        <v>327</v>
      </c>
      <c r="C1310" s="106" t="s">
        <v>473</v>
      </c>
      <c r="D1310" s="107" t="s">
        <v>3595</v>
      </c>
      <c r="E1310" s="109" t="s">
        <v>355</v>
      </c>
      <c r="F1310" s="109" t="s">
        <v>355</v>
      </c>
      <c r="G1310" s="55" t="s">
        <v>355</v>
      </c>
      <c r="H1310" s="108" t="s">
        <v>402</v>
      </c>
      <c r="I1310" s="111" t="s">
        <v>402</v>
      </c>
      <c r="J1310" s="111" t="s">
        <v>402</v>
      </c>
      <c r="K1310" s="106" t="s">
        <v>403</v>
      </c>
      <c r="L1310" s="55" t="s">
        <v>404</v>
      </c>
      <c r="M1310" s="55" t="s">
        <v>7634</v>
      </c>
    </row>
    <row r="1311" spans="1:13">
      <c r="A1311" s="408" t="s">
        <v>3596</v>
      </c>
      <c r="B1311" s="106" t="s">
        <v>327</v>
      </c>
      <c r="C1311" s="106" t="s">
        <v>473</v>
      </c>
      <c r="D1311" s="107" t="s">
        <v>3597</v>
      </c>
      <c r="E1311" s="109" t="s">
        <v>355</v>
      </c>
      <c r="F1311" s="109" t="s">
        <v>355</v>
      </c>
      <c r="G1311" s="55" t="s">
        <v>355</v>
      </c>
      <c r="H1311" s="108" t="s">
        <v>402</v>
      </c>
      <c r="I1311" s="111" t="s">
        <v>402</v>
      </c>
      <c r="J1311" s="111" t="s">
        <v>402</v>
      </c>
      <c r="K1311" s="106" t="s">
        <v>403</v>
      </c>
      <c r="L1311" s="55" t="s">
        <v>404</v>
      </c>
      <c r="M1311" s="55" t="s">
        <v>7634</v>
      </c>
    </row>
    <row r="1312" spans="1:13">
      <c r="A1312" s="408" t="s">
        <v>3598</v>
      </c>
      <c r="B1312" s="106" t="s">
        <v>327</v>
      </c>
      <c r="C1312" s="106" t="s">
        <v>473</v>
      </c>
      <c r="D1312" s="107" t="s">
        <v>3599</v>
      </c>
      <c r="E1312" s="109" t="s">
        <v>355</v>
      </c>
      <c r="F1312" s="109" t="s">
        <v>355</v>
      </c>
      <c r="G1312" s="55" t="s">
        <v>355</v>
      </c>
      <c r="H1312" s="108" t="s">
        <v>402</v>
      </c>
      <c r="I1312" s="111" t="s">
        <v>402</v>
      </c>
      <c r="J1312" s="111" t="s">
        <v>402</v>
      </c>
      <c r="K1312" s="106" t="s">
        <v>403</v>
      </c>
      <c r="L1312" s="55" t="s">
        <v>404</v>
      </c>
      <c r="M1312" s="55" t="s">
        <v>7634</v>
      </c>
    </row>
    <row r="1313" spans="1:13">
      <c r="A1313" s="401" t="s">
        <v>3600</v>
      </c>
      <c r="B1313" s="106" t="s">
        <v>327</v>
      </c>
      <c r="C1313" s="106" t="s">
        <v>473</v>
      </c>
      <c r="D1313" s="109" t="s">
        <v>3601</v>
      </c>
      <c r="E1313" s="109" t="s">
        <v>3602</v>
      </c>
      <c r="F1313" s="109" t="s">
        <v>3603</v>
      </c>
      <c r="G1313" s="117" t="s">
        <v>383</v>
      </c>
      <c r="H1313" s="115" t="s">
        <v>402</v>
      </c>
      <c r="I1313" s="111" t="s">
        <v>402</v>
      </c>
      <c r="J1313" s="111" t="s">
        <v>402</v>
      </c>
      <c r="K1313" s="115" t="s">
        <v>403</v>
      </c>
      <c r="L1313" s="55" t="s">
        <v>404</v>
      </c>
      <c r="M1313" s="113" t="s">
        <v>1173</v>
      </c>
    </row>
    <row r="1314" spans="1:13">
      <c r="A1314" s="401" t="s">
        <v>3604</v>
      </c>
      <c r="B1314" s="106" t="s">
        <v>327</v>
      </c>
      <c r="C1314" s="106" t="s">
        <v>473</v>
      </c>
      <c r="D1314" s="109" t="s">
        <v>3605</v>
      </c>
      <c r="E1314" s="109" t="s">
        <v>3606</v>
      </c>
      <c r="F1314" s="109" t="s">
        <v>3607</v>
      </c>
      <c r="G1314" s="112" t="s">
        <v>3608</v>
      </c>
      <c r="H1314" s="115" t="s">
        <v>402</v>
      </c>
      <c r="I1314" s="111" t="s">
        <v>402</v>
      </c>
      <c r="J1314" s="111" t="s">
        <v>402</v>
      </c>
      <c r="K1314" s="106" t="s">
        <v>403</v>
      </c>
      <c r="L1314" s="55" t="s">
        <v>404</v>
      </c>
      <c r="M1314" s="55" t="s">
        <v>7634</v>
      </c>
    </row>
    <row r="1315" spans="1:13">
      <c r="A1315" s="408" t="s">
        <v>3609</v>
      </c>
      <c r="B1315" s="106" t="s">
        <v>327</v>
      </c>
      <c r="C1315" s="106" t="s">
        <v>473</v>
      </c>
      <c r="D1315" s="107" t="s">
        <v>3610</v>
      </c>
      <c r="E1315" s="109" t="s">
        <v>355</v>
      </c>
      <c r="F1315" s="109" t="s">
        <v>355</v>
      </c>
      <c r="G1315" s="55" t="s">
        <v>355</v>
      </c>
      <c r="H1315" s="108" t="s">
        <v>402</v>
      </c>
      <c r="I1315" s="111" t="s">
        <v>402</v>
      </c>
      <c r="J1315" s="111" t="s">
        <v>402</v>
      </c>
      <c r="K1315" s="106" t="s">
        <v>403</v>
      </c>
      <c r="L1315" s="55" t="s">
        <v>404</v>
      </c>
      <c r="M1315" s="55" t="s">
        <v>7634</v>
      </c>
    </row>
    <row r="1316" spans="1:13">
      <c r="A1316" s="408" t="s">
        <v>3611</v>
      </c>
      <c r="B1316" s="106" t="s">
        <v>327</v>
      </c>
      <c r="C1316" s="106" t="s">
        <v>473</v>
      </c>
      <c r="D1316" s="107" t="s">
        <v>3612</v>
      </c>
      <c r="E1316" s="109" t="s">
        <v>355</v>
      </c>
      <c r="F1316" s="109" t="s">
        <v>355</v>
      </c>
      <c r="G1316" s="55" t="s">
        <v>355</v>
      </c>
      <c r="H1316" s="108" t="s">
        <v>402</v>
      </c>
      <c r="I1316" s="111" t="s">
        <v>402</v>
      </c>
      <c r="J1316" s="111" t="s">
        <v>402</v>
      </c>
      <c r="K1316" s="106" t="s">
        <v>403</v>
      </c>
      <c r="L1316" s="55" t="s">
        <v>404</v>
      </c>
      <c r="M1316" s="55" t="s">
        <v>7634</v>
      </c>
    </row>
    <row r="1317" spans="1:13">
      <c r="A1317" s="408" t="s">
        <v>3613</v>
      </c>
      <c r="B1317" s="106" t="s">
        <v>327</v>
      </c>
      <c r="C1317" s="106" t="s">
        <v>473</v>
      </c>
      <c r="D1317" s="107" t="s">
        <v>3612</v>
      </c>
      <c r="E1317" s="109" t="s">
        <v>355</v>
      </c>
      <c r="F1317" s="109" t="s">
        <v>355</v>
      </c>
      <c r="G1317" s="55" t="s">
        <v>355</v>
      </c>
      <c r="H1317" s="108" t="s">
        <v>402</v>
      </c>
      <c r="I1317" s="111" t="s">
        <v>402</v>
      </c>
      <c r="J1317" s="111" t="s">
        <v>402</v>
      </c>
      <c r="K1317" s="106" t="s">
        <v>403</v>
      </c>
      <c r="L1317" s="55" t="s">
        <v>404</v>
      </c>
      <c r="M1317" s="55" t="s">
        <v>7634</v>
      </c>
    </row>
    <row r="1318" spans="1:13">
      <c r="A1318" s="401" t="s">
        <v>3614</v>
      </c>
      <c r="B1318" s="106" t="s">
        <v>327</v>
      </c>
      <c r="C1318" s="106" t="s">
        <v>473</v>
      </c>
      <c r="D1318" s="109" t="s">
        <v>3615</v>
      </c>
      <c r="E1318" s="109" t="s">
        <v>3616</v>
      </c>
      <c r="F1318" s="109" t="s">
        <v>3617</v>
      </c>
      <c r="G1318" s="117" t="s">
        <v>383</v>
      </c>
      <c r="H1318" s="115" t="s">
        <v>402</v>
      </c>
      <c r="I1318" s="111" t="s">
        <v>402</v>
      </c>
      <c r="J1318" s="111" t="s">
        <v>402</v>
      </c>
      <c r="K1318" s="106" t="s">
        <v>403</v>
      </c>
      <c r="L1318" s="55" t="s">
        <v>404</v>
      </c>
      <c r="M1318" s="55" t="s">
        <v>1173</v>
      </c>
    </row>
    <row r="1319" spans="1:13">
      <c r="A1319" s="408" t="s">
        <v>3618</v>
      </c>
      <c r="B1319" s="106" t="s">
        <v>327</v>
      </c>
      <c r="C1319" s="106" t="s">
        <v>473</v>
      </c>
      <c r="D1319" s="107" t="s">
        <v>3619</v>
      </c>
      <c r="E1319" s="109" t="s">
        <v>355</v>
      </c>
      <c r="F1319" s="109" t="s">
        <v>355</v>
      </c>
      <c r="G1319" s="55" t="s">
        <v>355</v>
      </c>
      <c r="H1319" s="108" t="s">
        <v>402</v>
      </c>
      <c r="I1319" s="111" t="s">
        <v>402</v>
      </c>
      <c r="J1319" s="111" t="s">
        <v>402</v>
      </c>
      <c r="K1319" s="106" t="s">
        <v>403</v>
      </c>
      <c r="L1319" s="55" t="s">
        <v>404</v>
      </c>
      <c r="M1319" s="55" t="s">
        <v>7634</v>
      </c>
    </row>
    <row r="1320" spans="1:13">
      <c r="A1320" s="401" t="s">
        <v>3620</v>
      </c>
      <c r="B1320" s="106" t="s">
        <v>327</v>
      </c>
      <c r="C1320" s="106" t="s">
        <v>473</v>
      </c>
      <c r="D1320" s="109" t="s">
        <v>3621</v>
      </c>
      <c r="E1320" s="109" t="s">
        <v>3622</v>
      </c>
      <c r="F1320" s="109" t="s">
        <v>3623</v>
      </c>
      <c r="G1320" s="117" t="s">
        <v>383</v>
      </c>
      <c r="H1320" s="115" t="s">
        <v>402</v>
      </c>
      <c r="I1320" s="111" t="s">
        <v>402</v>
      </c>
      <c r="J1320" s="111" t="s">
        <v>402</v>
      </c>
      <c r="K1320" s="106" t="s">
        <v>403</v>
      </c>
      <c r="L1320" s="55" t="s">
        <v>404</v>
      </c>
      <c r="M1320" s="55" t="s">
        <v>1173</v>
      </c>
    </row>
    <row r="1321" spans="1:13">
      <c r="A1321" s="408" t="s">
        <v>3624</v>
      </c>
      <c r="B1321" s="106" t="s">
        <v>327</v>
      </c>
      <c r="C1321" s="106" t="s">
        <v>473</v>
      </c>
      <c r="D1321" s="107" t="s">
        <v>3625</v>
      </c>
      <c r="E1321" s="109" t="s">
        <v>355</v>
      </c>
      <c r="F1321" s="109" t="s">
        <v>355</v>
      </c>
      <c r="G1321" s="55" t="s">
        <v>355</v>
      </c>
      <c r="H1321" s="108" t="s">
        <v>402</v>
      </c>
      <c r="I1321" s="111" t="s">
        <v>402</v>
      </c>
      <c r="J1321" s="111" t="s">
        <v>402</v>
      </c>
      <c r="K1321" s="106" t="s">
        <v>403</v>
      </c>
      <c r="L1321" s="55" t="s">
        <v>404</v>
      </c>
      <c r="M1321" s="55" t="s">
        <v>7634</v>
      </c>
    </row>
    <row r="1322" spans="1:13">
      <c r="A1322" s="408" t="s">
        <v>3626</v>
      </c>
      <c r="B1322" s="106" t="s">
        <v>327</v>
      </c>
      <c r="C1322" s="106" t="s">
        <v>473</v>
      </c>
      <c r="D1322" s="107" t="s">
        <v>3627</v>
      </c>
      <c r="E1322" s="109" t="s">
        <v>355</v>
      </c>
      <c r="F1322" s="109" t="s">
        <v>355</v>
      </c>
      <c r="G1322" s="55" t="s">
        <v>355</v>
      </c>
      <c r="H1322" s="108" t="s">
        <v>402</v>
      </c>
      <c r="I1322" s="111" t="s">
        <v>402</v>
      </c>
      <c r="J1322" s="111" t="s">
        <v>402</v>
      </c>
      <c r="K1322" s="106" t="s">
        <v>403</v>
      </c>
      <c r="L1322" s="55" t="s">
        <v>404</v>
      </c>
      <c r="M1322" s="55" t="s">
        <v>7634</v>
      </c>
    </row>
    <row r="1323" spans="1:13">
      <c r="A1323" s="578" t="s">
        <v>3628</v>
      </c>
      <c r="B1323" s="586" t="s">
        <v>473</v>
      </c>
      <c r="C1323" s="586" t="s">
        <v>473</v>
      </c>
      <c r="D1323" s="586" t="s">
        <v>3629</v>
      </c>
      <c r="E1323" s="586" t="s">
        <v>3630</v>
      </c>
      <c r="F1323" s="586" t="s">
        <v>3631</v>
      </c>
      <c r="G1323" s="55" t="s">
        <v>355</v>
      </c>
      <c r="H1323" s="586" t="s">
        <v>359</v>
      </c>
      <c r="I1323" s="587" t="s">
        <v>359</v>
      </c>
      <c r="J1323" s="586"/>
      <c r="K1323" s="586" t="s">
        <v>360</v>
      </c>
      <c r="L1323" s="586" t="s">
        <v>361</v>
      </c>
      <c r="M1323" s="55" t="s">
        <v>7634</v>
      </c>
    </row>
    <row r="1324" spans="1:13">
      <c r="A1324" s="408" t="s">
        <v>3632</v>
      </c>
      <c r="B1324" s="106" t="s">
        <v>327</v>
      </c>
      <c r="C1324" s="106" t="s">
        <v>473</v>
      </c>
      <c r="D1324" s="107" t="s">
        <v>3633</v>
      </c>
      <c r="E1324" s="109" t="s">
        <v>355</v>
      </c>
      <c r="F1324" s="109" t="s">
        <v>355</v>
      </c>
      <c r="G1324" s="55" t="s">
        <v>355</v>
      </c>
      <c r="H1324" s="108" t="s">
        <v>402</v>
      </c>
      <c r="I1324" s="111" t="s">
        <v>402</v>
      </c>
      <c r="J1324" s="111" t="s">
        <v>402</v>
      </c>
      <c r="K1324" s="106" t="s">
        <v>403</v>
      </c>
      <c r="L1324" s="55" t="s">
        <v>404</v>
      </c>
      <c r="M1324" s="55" t="s">
        <v>7634</v>
      </c>
    </row>
    <row r="1325" spans="1:13">
      <c r="A1325" s="401" t="s">
        <v>3634</v>
      </c>
      <c r="B1325" s="106" t="s">
        <v>327</v>
      </c>
      <c r="C1325" s="106" t="s">
        <v>473</v>
      </c>
      <c r="D1325" s="109" t="s">
        <v>3635</v>
      </c>
      <c r="E1325" s="109" t="s">
        <v>3636</v>
      </c>
      <c r="F1325" s="109" t="s">
        <v>3637</v>
      </c>
      <c r="G1325" s="117" t="s">
        <v>383</v>
      </c>
      <c r="H1325" s="115" t="s">
        <v>402</v>
      </c>
      <c r="I1325" s="111" t="s">
        <v>402</v>
      </c>
      <c r="J1325" s="111" t="s">
        <v>402</v>
      </c>
      <c r="K1325" s="115" t="s">
        <v>403</v>
      </c>
      <c r="L1325" s="55" t="s">
        <v>404</v>
      </c>
      <c r="M1325" s="113" t="s">
        <v>383</v>
      </c>
    </row>
    <row r="1326" spans="1:13">
      <c r="A1326" s="408" t="s">
        <v>3638</v>
      </c>
      <c r="B1326" s="106" t="s">
        <v>327</v>
      </c>
      <c r="C1326" s="106" t="s">
        <v>473</v>
      </c>
      <c r="D1326" s="107" t="s">
        <v>3639</v>
      </c>
      <c r="E1326" s="109" t="s">
        <v>355</v>
      </c>
      <c r="F1326" s="109" t="s">
        <v>355</v>
      </c>
      <c r="G1326" s="55" t="s">
        <v>355</v>
      </c>
      <c r="H1326" s="108" t="s">
        <v>402</v>
      </c>
      <c r="I1326" s="111" t="s">
        <v>402</v>
      </c>
      <c r="J1326" s="111" t="s">
        <v>402</v>
      </c>
      <c r="K1326" s="106" t="s">
        <v>403</v>
      </c>
      <c r="L1326" s="55" t="s">
        <v>404</v>
      </c>
      <c r="M1326" s="55" t="s">
        <v>7634</v>
      </c>
    </row>
    <row r="1327" spans="1:13">
      <c r="A1327" s="408" t="s">
        <v>3640</v>
      </c>
      <c r="B1327" s="106" t="s">
        <v>327</v>
      </c>
      <c r="C1327" s="106" t="s">
        <v>473</v>
      </c>
      <c r="D1327" s="107" t="s">
        <v>3641</v>
      </c>
      <c r="E1327" s="109" t="s">
        <v>355</v>
      </c>
      <c r="F1327" s="109" t="s">
        <v>355</v>
      </c>
      <c r="G1327" s="55" t="s">
        <v>355</v>
      </c>
      <c r="H1327" s="108" t="s">
        <v>402</v>
      </c>
      <c r="I1327" s="111" t="s">
        <v>402</v>
      </c>
      <c r="J1327" s="111" t="s">
        <v>402</v>
      </c>
      <c r="K1327" s="106" t="s">
        <v>403</v>
      </c>
      <c r="L1327" s="55" t="s">
        <v>404</v>
      </c>
      <c r="M1327" s="55" t="s">
        <v>7634</v>
      </c>
    </row>
    <row r="1328" spans="1:13">
      <c r="A1328" s="408" t="s">
        <v>3642</v>
      </c>
      <c r="B1328" s="106" t="s">
        <v>327</v>
      </c>
      <c r="C1328" s="106" t="s">
        <v>473</v>
      </c>
      <c r="D1328" s="107" t="s">
        <v>3643</v>
      </c>
      <c r="E1328" s="109" t="s">
        <v>355</v>
      </c>
      <c r="F1328" s="109" t="s">
        <v>355</v>
      </c>
      <c r="G1328" s="55" t="s">
        <v>355</v>
      </c>
      <c r="H1328" s="108" t="s">
        <v>402</v>
      </c>
      <c r="I1328" s="111" t="s">
        <v>402</v>
      </c>
      <c r="J1328" s="111" t="s">
        <v>402</v>
      </c>
      <c r="K1328" s="106" t="s">
        <v>403</v>
      </c>
      <c r="L1328" s="55" t="s">
        <v>404</v>
      </c>
      <c r="M1328" s="55" t="s">
        <v>7634</v>
      </c>
    </row>
    <row r="1329" spans="1:13">
      <c r="A1329" s="401" t="s">
        <v>3644</v>
      </c>
      <c r="B1329" s="106" t="s">
        <v>327</v>
      </c>
      <c r="C1329" s="106" t="s">
        <v>473</v>
      </c>
      <c r="D1329" s="109" t="s">
        <v>3645</v>
      </c>
      <c r="E1329" s="109" t="s">
        <v>3646</v>
      </c>
      <c r="F1329" s="110" t="s">
        <v>3647</v>
      </c>
      <c r="G1329" s="114" t="s">
        <v>383</v>
      </c>
      <c r="H1329" s="115" t="s">
        <v>402</v>
      </c>
      <c r="I1329" s="111" t="s">
        <v>402</v>
      </c>
      <c r="J1329" s="111" t="s">
        <v>402</v>
      </c>
      <c r="K1329" s="106" t="s">
        <v>403</v>
      </c>
      <c r="L1329" s="55" t="s">
        <v>404</v>
      </c>
      <c r="M1329" s="55" t="s">
        <v>1173</v>
      </c>
    </row>
    <row r="1330" spans="1:13">
      <c r="A1330" s="408" t="s">
        <v>3648</v>
      </c>
      <c r="B1330" s="106" t="s">
        <v>327</v>
      </c>
      <c r="C1330" s="106" t="s">
        <v>473</v>
      </c>
      <c r="D1330" s="107" t="s">
        <v>3649</v>
      </c>
      <c r="E1330" s="109" t="s">
        <v>355</v>
      </c>
      <c r="F1330" s="109" t="s">
        <v>355</v>
      </c>
      <c r="G1330" s="55" t="s">
        <v>355</v>
      </c>
      <c r="H1330" s="108" t="s">
        <v>402</v>
      </c>
      <c r="I1330" s="111" t="s">
        <v>402</v>
      </c>
      <c r="J1330" s="111" t="s">
        <v>402</v>
      </c>
      <c r="K1330" s="106" t="s">
        <v>403</v>
      </c>
      <c r="L1330" s="55" t="s">
        <v>404</v>
      </c>
      <c r="M1330" s="55" t="s">
        <v>7634</v>
      </c>
    </row>
    <row r="1331" spans="1:13">
      <c r="A1331" s="408" t="s">
        <v>3650</v>
      </c>
      <c r="B1331" s="106" t="s">
        <v>327</v>
      </c>
      <c r="C1331" s="106" t="s">
        <v>473</v>
      </c>
      <c r="D1331" s="107" t="s">
        <v>3651</v>
      </c>
      <c r="E1331" s="109" t="s">
        <v>355</v>
      </c>
      <c r="F1331" s="109" t="s">
        <v>355</v>
      </c>
      <c r="G1331" s="55" t="s">
        <v>355</v>
      </c>
      <c r="H1331" s="108" t="s">
        <v>402</v>
      </c>
      <c r="I1331" s="111" t="s">
        <v>402</v>
      </c>
      <c r="J1331" s="111" t="s">
        <v>402</v>
      </c>
      <c r="K1331" s="106" t="s">
        <v>403</v>
      </c>
      <c r="L1331" s="55" t="s">
        <v>404</v>
      </c>
      <c r="M1331" s="55" t="s">
        <v>7634</v>
      </c>
    </row>
    <row r="1332" spans="1:13">
      <c r="A1332" s="404" t="s">
        <v>3652</v>
      </c>
      <c r="B1332" s="106" t="s">
        <v>327</v>
      </c>
      <c r="C1332" s="106" t="s">
        <v>473</v>
      </c>
      <c r="D1332" s="128" t="s">
        <v>3653</v>
      </c>
      <c r="E1332" s="109" t="s">
        <v>3654</v>
      </c>
      <c r="F1332" s="109" t="s">
        <v>3655</v>
      </c>
      <c r="G1332" s="117" t="s">
        <v>383</v>
      </c>
      <c r="H1332" s="115" t="s">
        <v>402</v>
      </c>
      <c r="I1332" s="111" t="s">
        <v>402</v>
      </c>
      <c r="J1332" s="111" t="s">
        <v>402</v>
      </c>
      <c r="K1332" s="115" t="s">
        <v>403</v>
      </c>
      <c r="L1332" s="55" t="s">
        <v>404</v>
      </c>
      <c r="M1332" s="113" t="s">
        <v>1173</v>
      </c>
    </row>
    <row r="1333" spans="1:13">
      <c r="A1333" s="408" t="s">
        <v>3656</v>
      </c>
      <c r="B1333" s="106" t="s">
        <v>327</v>
      </c>
      <c r="C1333" s="106" t="s">
        <v>473</v>
      </c>
      <c r="D1333" s="107" t="s">
        <v>3657</v>
      </c>
      <c r="E1333" s="109" t="s">
        <v>355</v>
      </c>
      <c r="F1333" s="109" t="s">
        <v>355</v>
      </c>
      <c r="G1333" s="55" t="s">
        <v>355</v>
      </c>
      <c r="H1333" s="108" t="s">
        <v>402</v>
      </c>
      <c r="I1333" s="111" t="s">
        <v>402</v>
      </c>
      <c r="J1333" s="111" t="s">
        <v>402</v>
      </c>
      <c r="K1333" s="106" t="s">
        <v>403</v>
      </c>
      <c r="L1333" s="55" t="s">
        <v>404</v>
      </c>
      <c r="M1333" s="55" t="s">
        <v>7634</v>
      </c>
    </row>
    <row r="1334" spans="1:13">
      <c r="A1334" s="401" t="s">
        <v>3658</v>
      </c>
      <c r="B1334" s="106" t="s">
        <v>327</v>
      </c>
      <c r="C1334" s="106" t="s">
        <v>473</v>
      </c>
      <c r="D1334" s="109" t="s">
        <v>3659</v>
      </c>
      <c r="E1334" s="109" t="s">
        <v>3660</v>
      </c>
      <c r="F1334" s="109" t="s">
        <v>3661</v>
      </c>
      <c r="G1334" s="117" t="s">
        <v>383</v>
      </c>
      <c r="H1334" s="115" t="s">
        <v>402</v>
      </c>
      <c r="I1334" s="111" t="s">
        <v>402</v>
      </c>
      <c r="J1334" s="111" t="s">
        <v>402</v>
      </c>
      <c r="K1334" s="115" t="s">
        <v>403</v>
      </c>
      <c r="L1334" s="55" t="s">
        <v>404</v>
      </c>
      <c r="M1334" s="55" t="s">
        <v>1173</v>
      </c>
    </row>
    <row r="1335" spans="1:13">
      <c r="A1335" s="401" t="s">
        <v>3662</v>
      </c>
      <c r="B1335" s="106" t="s">
        <v>327</v>
      </c>
      <c r="C1335" s="106" t="s">
        <v>473</v>
      </c>
      <c r="D1335" s="109" t="s">
        <v>3663</v>
      </c>
      <c r="E1335" s="109" t="s">
        <v>3664</v>
      </c>
      <c r="F1335" s="109" t="s">
        <v>3665</v>
      </c>
      <c r="G1335" s="117" t="s">
        <v>383</v>
      </c>
      <c r="H1335" s="115" t="s">
        <v>402</v>
      </c>
      <c r="I1335" s="111" t="s">
        <v>402</v>
      </c>
      <c r="J1335" s="111" t="s">
        <v>402</v>
      </c>
      <c r="K1335" s="106" t="s">
        <v>403</v>
      </c>
      <c r="L1335" s="55" t="s">
        <v>404</v>
      </c>
      <c r="M1335" s="55" t="s">
        <v>1173</v>
      </c>
    </row>
    <row r="1336" spans="1:13">
      <c r="A1336" s="408" t="s">
        <v>3666</v>
      </c>
      <c r="B1336" s="106" t="s">
        <v>327</v>
      </c>
      <c r="C1336" s="106" t="s">
        <v>473</v>
      </c>
      <c r="D1336" s="107" t="s">
        <v>3667</v>
      </c>
      <c r="E1336" s="107" t="s">
        <v>355</v>
      </c>
      <c r="F1336" s="107" t="s">
        <v>355</v>
      </c>
      <c r="G1336" s="591" t="s">
        <v>3668</v>
      </c>
      <c r="H1336" s="108" t="s">
        <v>402</v>
      </c>
      <c r="I1336" s="111" t="s">
        <v>402</v>
      </c>
      <c r="J1336" s="111" t="s">
        <v>402</v>
      </c>
      <c r="K1336" s="106" t="s">
        <v>403</v>
      </c>
      <c r="L1336" s="55" t="s">
        <v>404</v>
      </c>
      <c r="M1336" s="55" t="s">
        <v>355</v>
      </c>
    </row>
    <row r="1337" spans="1:13">
      <c r="A1337" s="408" t="s">
        <v>3669</v>
      </c>
      <c r="B1337" s="106" t="s">
        <v>327</v>
      </c>
      <c r="C1337" s="106" t="s">
        <v>473</v>
      </c>
      <c r="D1337" s="107" t="s">
        <v>3670</v>
      </c>
      <c r="E1337" s="109" t="s">
        <v>355</v>
      </c>
      <c r="F1337" s="109" t="s">
        <v>355</v>
      </c>
      <c r="G1337" s="55" t="s">
        <v>355</v>
      </c>
      <c r="H1337" s="108" t="s">
        <v>402</v>
      </c>
      <c r="I1337" s="111" t="s">
        <v>402</v>
      </c>
      <c r="J1337" s="111" t="s">
        <v>402</v>
      </c>
      <c r="K1337" s="106" t="s">
        <v>403</v>
      </c>
      <c r="L1337" s="55" t="s">
        <v>404</v>
      </c>
      <c r="M1337" s="55" t="s">
        <v>7634</v>
      </c>
    </row>
    <row r="1338" spans="1:13">
      <c r="A1338" s="408" t="s">
        <v>3671</v>
      </c>
      <c r="B1338" s="106" t="s">
        <v>327</v>
      </c>
      <c r="C1338" s="106" t="s">
        <v>473</v>
      </c>
      <c r="D1338" s="107" t="s">
        <v>3672</v>
      </c>
      <c r="E1338" s="109" t="s">
        <v>355</v>
      </c>
      <c r="F1338" s="109" t="s">
        <v>355</v>
      </c>
      <c r="G1338" s="55" t="s">
        <v>355</v>
      </c>
      <c r="H1338" s="108" t="s">
        <v>402</v>
      </c>
      <c r="I1338" s="111" t="s">
        <v>402</v>
      </c>
      <c r="J1338" s="111" t="s">
        <v>402</v>
      </c>
      <c r="K1338" s="106" t="s">
        <v>403</v>
      </c>
      <c r="L1338" s="55" t="s">
        <v>404</v>
      </c>
      <c r="M1338" s="55" t="s">
        <v>7634</v>
      </c>
    </row>
    <row r="1339" spans="1:13">
      <c r="A1339" s="408" t="s">
        <v>3673</v>
      </c>
      <c r="B1339" s="106" t="s">
        <v>327</v>
      </c>
      <c r="C1339" s="106" t="s">
        <v>473</v>
      </c>
      <c r="D1339" s="107" t="s">
        <v>3674</v>
      </c>
      <c r="E1339" s="109" t="s">
        <v>355</v>
      </c>
      <c r="F1339" s="109" t="s">
        <v>355</v>
      </c>
      <c r="G1339" s="55" t="s">
        <v>355</v>
      </c>
      <c r="H1339" s="108" t="s">
        <v>402</v>
      </c>
      <c r="I1339" s="111" t="s">
        <v>402</v>
      </c>
      <c r="J1339" s="111" t="s">
        <v>402</v>
      </c>
      <c r="K1339" s="106" t="s">
        <v>403</v>
      </c>
      <c r="L1339" s="55" t="s">
        <v>404</v>
      </c>
      <c r="M1339" s="55" t="s">
        <v>7634</v>
      </c>
    </row>
    <row r="1340" spans="1:13">
      <c r="A1340" s="408" t="s">
        <v>3675</v>
      </c>
      <c r="B1340" s="106" t="s">
        <v>327</v>
      </c>
      <c r="C1340" s="106" t="s">
        <v>473</v>
      </c>
      <c r="D1340" s="107" t="s">
        <v>3676</v>
      </c>
      <c r="E1340" s="109" t="s">
        <v>355</v>
      </c>
      <c r="F1340" s="109" t="s">
        <v>355</v>
      </c>
      <c r="G1340" s="55" t="s">
        <v>355</v>
      </c>
      <c r="H1340" s="108" t="s">
        <v>402</v>
      </c>
      <c r="I1340" s="111" t="s">
        <v>402</v>
      </c>
      <c r="J1340" s="111" t="s">
        <v>402</v>
      </c>
      <c r="K1340" s="106" t="s">
        <v>403</v>
      </c>
      <c r="L1340" s="55" t="s">
        <v>404</v>
      </c>
      <c r="M1340" s="55" t="s">
        <v>7634</v>
      </c>
    </row>
    <row r="1341" spans="1:13">
      <c r="A1341" s="578" t="s">
        <v>3677</v>
      </c>
      <c r="B1341" s="586" t="s">
        <v>373</v>
      </c>
      <c r="C1341" s="586" t="s">
        <v>473</v>
      </c>
      <c r="D1341" s="586" t="s">
        <v>3678</v>
      </c>
      <c r="E1341" s="586" t="s">
        <v>3679</v>
      </c>
      <c r="F1341" s="586" t="s">
        <v>3680</v>
      </c>
      <c r="G1341" s="586" t="s">
        <v>377</v>
      </c>
      <c r="H1341" s="586" t="s">
        <v>359</v>
      </c>
      <c r="I1341" s="587" t="s">
        <v>359</v>
      </c>
      <c r="J1341" s="586"/>
      <c r="K1341" s="586" t="s">
        <v>360</v>
      </c>
      <c r="L1341" s="586" t="s">
        <v>361</v>
      </c>
      <c r="M1341" s="586" t="s">
        <v>377</v>
      </c>
    </row>
    <row r="1342" spans="1:13">
      <c r="A1342" s="408" t="s">
        <v>3681</v>
      </c>
      <c r="B1342" s="106" t="s">
        <v>327</v>
      </c>
      <c r="C1342" s="106" t="s">
        <v>473</v>
      </c>
      <c r="D1342" s="107" t="s">
        <v>3682</v>
      </c>
      <c r="E1342" s="109" t="s">
        <v>355</v>
      </c>
      <c r="F1342" s="109" t="s">
        <v>355</v>
      </c>
      <c r="G1342" s="55" t="s">
        <v>355</v>
      </c>
      <c r="H1342" s="108" t="s">
        <v>402</v>
      </c>
      <c r="I1342" s="111" t="s">
        <v>402</v>
      </c>
      <c r="J1342" s="111" t="s">
        <v>402</v>
      </c>
      <c r="K1342" s="106" t="s">
        <v>403</v>
      </c>
      <c r="L1342" s="55" t="s">
        <v>404</v>
      </c>
      <c r="M1342" s="55" t="s">
        <v>7634</v>
      </c>
    </row>
    <row r="1343" spans="1:13">
      <c r="A1343" s="578" t="s">
        <v>3683</v>
      </c>
      <c r="B1343" s="586" t="s">
        <v>473</v>
      </c>
      <c r="C1343" s="586" t="s">
        <v>473</v>
      </c>
      <c r="D1343" s="586" t="s">
        <v>3684</v>
      </c>
      <c r="E1343" s="586" t="s">
        <v>1225</v>
      </c>
      <c r="F1343" s="586" t="s">
        <v>3685</v>
      </c>
      <c r="G1343" s="586" t="s">
        <v>377</v>
      </c>
      <c r="H1343" s="586" t="s">
        <v>359</v>
      </c>
      <c r="I1343" s="587" t="s">
        <v>359</v>
      </c>
      <c r="J1343" s="586"/>
      <c r="K1343" s="586" t="s">
        <v>360</v>
      </c>
      <c r="L1343" s="586" t="s">
        <v>361</v>
      </c>
      <c r="M1343" s="55" t="s">
        <v>7634</v>
      </c>
    </row>
    <row r="1344" spans="1:13">
      <c r="A1344" s="408" t="s">
        <v>3686</v>
      </c>
      <c r="B1344" s="106" t="s">
        <v>327</v>
      </c>
      <c r="C1344" s="106" t="s">
        <v>473</v>
      </c>
      <c r="D1344" s="107" t="s">
        <v>3687</v>
      </c>
      <c r="E1344" s="107" t="s">
        <v>3688</v>
      </c>
      <c r="F1344" s="107" t="s">
        <v>3689</v>
      </c>
      <c r="G1344" s="114"/>
      <c r="H1344" s="108" t="s">
        <v>402</v>
      </c>
      <c r="I1344" s="111" t="s">
        <v>402</v>
      </c>
      <c r="J1344" s="111" t="s">
        <v>402</v>
      </c>
      <c r="K1344" s="106" t="s">
        <v>403</v>
      </c>
      <c r="L1344" s="55" t="s">
        <v>404</v>
      </c>
      <c r="M1344" s="55" t="s">
        <v>7634</v>
      </c>
    </row>
    <row r="1345" spans="1:13">
      <c r="A1345" s="401" t="s">
        <v>3690</v>
      </c>
      <c r="B1345" s="106" t="s">
        <v>327</v>
      </c>
      <c r="C1345" s="106" t="s">
        <v>473</v>
      </c>
      <c r="D1345" s="109" t="s">
        <v>3691</v>
      </c>
      <c r="E1345" s="109" t="s">
        <v>3692</v>
      </c>
      <c r="F1345" s="110" t="s">
        <v>3693</v>
      </c>
      <c r="G1345" s="590" t="s">
        <v>3694</v>
      </c>
      <c r="H1345" s="115" t="s">
        <v>402</v>
      </c>
      <c r="I1345" s="111" t="s">
        <v>402</v>
      </c>
      <c r="J1345" s="111" t="s">
        <v>402</v>
      </c>
      <c r="K1345" s="106" t="s">
        <v>403</v>
      </c>
      <c r="L1345" s="55" t="s">
        <v>404</v>
      </c>
      <c r="M1345" s="113" t="s">
        <v>383</v>
      </c>
    </row>
    <row r="1346" spans="1:13">
      <c r="A1346" s="578" t="s">
        <v>3695</v>
      </c>
      <c r="B1346" s="586" t="s">
        <v>473</v>
      </c>
      <c r="C1346" s="586" t="s">
        <v>473</v>
      </c>
      <c r="D1346" s="586" t="s">
        <v>3696</v>
      </c>
      <c r="E1346" s="586" t="s">
        <v>3697</v>
      </c>
      <c r="F1346" s="586" t="s">
        <v>3698</v>
      </c>
      <c r="G1346" s="586" t="s">
        <v>377</v>
      </c>
      <c r="H1346" s="586" t="s">
        <v>359</v>
      </c>
      <c r="I1346" s="587" t="s">
        <v>359</v>
      </c>
      <c r="J1346" s="586"/>
      <c r="K1346" s="586" t="s">
        <v>360</v>
      </c>
      <c r="L1346" s="586" t="s">
        <v>361</v>
      </c>
      <c r="M1346" s="55" t="s">
        <v>7634</v>
      </c>
    </row>
    <row r="1347" spans="1:13">
      <c r="A1347" s="401" t="s">
        <v>3699</v>
      </c>
      <c r="B1347" s="106" t="s">
        <v>327</v>
      </c>
      <c r="C1347" s="106" t="s">
        <v>473</v>
      </c>
      <c r="D1347" s="109" t="s">
        <v>3700</v>
      </c>
      <c r="E1347" s="109" t="s">
        <v>3701</v>
      </c>
      <c r="F1347" s="109" t="s">
        <v>3702</v>
      </c>
      <c r="G1347" s="117" t="s">
        <v>383</v>
      </c>
      <c r="H1347" s="115" t="s">
        <v>402</v>
      </c>
      <c r="I1347" s="111" t="s">
        <v>402</v>
      </c>
      <c r="J1347" s="111" t="s">
        <v>402</v>
      </c>
      <c r="K1347" s="106" t="s">
        <v>403</v>
      </c>
      <c r="L1347" s="55" t="s">
        <v>404</v>
      </c>
      <c r="M1347" s="55" t="s">
        <v>1173</v>
      </c>
    </row>
    <row r="1348" spans="1:13">
      <c r="A1348" s="401" t="s">
        <v>3703</v>
      </c>
      <c r="B1348" s="106" t="s">
        <v>984</v>
      </c>
      <c r="C1348" s="106" t="s">
        <v>473</v>
      </c>
      <c r="D1348" s="109" t="s">
        <v>3704</v>
      </c>
      <c r="E1348" s="109" t="s">
        <v>1886</v>
      </c>
      <c r="F1348" s="109" t="s">
        <v>3705</v>
      </c>
      <c r="G1348" s="117" t="s">
        <v>383</v>
      </c>
      <c r="H1348" s="115" t="s">
        <v>402</v>
      </c>
      <c r="I1348" s="111" t="s">
        <v>402</v>
      </c>
      <c r="J1348" s="111" t="s">
        <v>402</v>
      </c>
      <c r="K1348" s="115" t="s">
        <v>403</v>
      </c>
      <c r="L1348" s="55" t="s">
        <v>404</v>
      </c>
      <c r="M1348" s="113" t="s">
        <v>1173</v>
      </c>
    </row>
    <row r="1349" spans="1:13">
      <c r="A1349" s="408" t="s">
        <v>3706</v>
      </c>
      <c r="B1349" s="106" t="s">
        <v>327</v>
      </c>
      <c r="C1349" s="106" t="s">
        <v>473</v>
      </c>
      <c r="D1349" s="107" t="s">
        <v>3707</v>
      </c>
      <c r="E1349" s="109" t="s">
        <v>355</v>
      </c>
      <c r="F1349" s="109" t="s">
        <v>355</v>
      </c>
      <c r="G1349" s="55" t="s">
        <v>355</v>
      </c>
      <c r="H1349" s="108" t="s">
        <v>402</v>
      </c>
      <c r="I1349" s="111" t="s">
        <v>402</v>
      </c>
      <c r="J1349" s="111" t="s">
        <v>402</v>
      </c>
      <c r="K1349" s="106" t="s">
        <v>403</v>
      </c>
      <c r="L1349" s="55" t="s">
        <v>404</v>
      </c>
      <c r="M1349" s="55" t="s">
        <v>7634</v>
      </c>
    </row>
    <row r="1350" spans="1:13">
      <c r="A1350" s="408" t="s">
        <v>3708</v>
      </c>
      <c r="B1350" s="106" t="s">
        <v>327</v>
      </c>
      <c r="C1350" s="106" t="s">
        <v>473</v>
      </c>
      <c r="D1350" s="107" t="s">
        <v>3709</v>
      </c>
      <c r="E1350" s="109" t="s">
        <v>355</v>
      </c>
      <c r="F1350" s="109" t="s">
        <v>355</v>
      </c>
      <c r="G1350" s="55" t="s">
        <v>355</v>
      </c>
      <c r="H1350" s="108" t="s">
        <v>402</v>
      </c>
      <c r="I1350" s="111" t="s">
        <v>402</v>
      </c>
      <c r="J1350" s="111" t="s">
        <v>402</v>
      </c>
      <c r="K1350" s="106" t="s">
        <v>403</v>
      </c>
      <c r="L1350" s="55" t="s">
        <v>404</v>
      </c>
      <c r="M1350" s="55" t="s">
        <v>7634</v>
      </c>
    </row>
    <row r="1351" spans="1:13">
      <c r="A1351" s="401" t="s">
        <v>3710</v>
      </c>
      <c r="B1351" s="106" t="s">
        <v>327</v>
      </c>
      <c r="C1351" s="106" t="s">
        <v>473</v>
      </c>
      <c r="D1351" s="109" t="s">
        <v>3711</v>
      </c>
      <c r="E1351" s="109" t="s">
        <v>3712</v>
      </c>
      <c r="F1351" s="110" t="s">
        <v>383</v>
      </c>
      <c r="G1351" s="590" t="s">
        <v>3713</v>
      </c>
      <c r="H1351" s="115" t="s">
        <v>402</v>
      </c>
      <c r="I1351" s="111" t="s">
        <v>402</v>
      </c>
      <c r="J1351" s="111" t="s">
        <v>402</v>
      </c>
      <c r="K1351" s="106" t="s">
        <v>403</v>
      </c>
      <c r="L1351" s="55" t="s">
        <v>404</v>
      </c>
      <c r="M1351" s="113" t="s">
        <v>383</v>
      </c>
    </row>
    <row r="1352" spans="1:13">
      <c r="A1352" s="401" t="s">
        <v>3714</v>
      </c>
      <c r="B1352" s="106" t="s">
        <v>327</v>
      </c>
      <c r="C1352" s="106" t="s">
        <v>473</v>
      </c>
      <c r="D1352" s="109" t="s">
        <v>3715</v>
      </c>
      <c r="E1352" s="109" t="s">
        <v>3716</v>
      </c>
      <c r="F1352" s="109" t="s">
        <v>3717</v>
      </c>
      <c r="G1352" s="117" t="s">
        <v>383</v>
      </c>
      <c r="H1352" s="115" t="s">
        <v>402</v>
      </c>
      <c r="I1352" s="111" t="s">
        <v>402</v>
      </c>
      <c r="J1352" s="111" t="s">
        <v>402</v>
      </c>
      <c r="K1352" s="106" t="s">
        <v>403</v>
      </c>
      <c r="L1352" s="55" t="s">
        <v>404</v>
      </c>
      <c r="M1352" s="55" t="s">
        <v>1173</v>
      </c>
    </row>
    <row r="1353" spans="1:13">
      <c r="A1353" s="401" t="s">
        <v>3718</v>
      </c>
      <c r="B1353" s="106" t="s">
        <v>984</v>
      </c>
      <c r="C1353" s="106" t="s">
        <v>473</v>
      </c>
      <c r="D1353" s="109"/>
      <c r="E1353" s="109" t="s">
        <v>3602</v>
      </c>
      <c r="F1353" s="109"/>
      <c r="G1353" s="117" t="s">
        <v>383</v>
      </c>
      <c r="H1353" s="115" t="s">
        <v>402</v>
      </c>
      <c r="I1353" s="111" t="s">
        <v>402</v>
      </c>
      <c r="J1353" s="111" t="s">
        <v>402</v>
      </c>
      <c r="K1353" s="115" t="s">
        <v>403</v>
      </c>
      <c r="L1353" s="55" t="s">
        <v>404</v>
      </c>
      <c r="M1353" s="113" t="s">
        <v>1173</v>
      </c>
    </row>
    <row r="1354" spans="1:13">
      <c r="A1354" s="408" t="s">
        <v>3719</v>
      </c>
      <c r="B1354" s="106" t="s">
        <v>327</v>
      </c>
      <c r="C1354" s="106" t="s">
        <v>473</v>
      </c>
      <c r="D1354" s="107" t="s">
        <v>3720</v>
      </c>
      <c r="E1354" s="109" t="s">
        <v>355</v>
      </c>
      <c r="F1354" s="109" t="s">
        <v>355</v>
      </c>
      <c r="G1354" s="55" t="s">
        <v>355</v>
      </c>
      <c r="H1354" s="108" t="s">
        <v>402</v>
      </c>
      <c r="I1354" s="111" t="s">
        <v>402</v>
      </c>
      <c r="J1354" s="111" t="s">
        <v>402</v>
      </c>
      <c r="K1354" s="106" t="s">
        <v>403</v>
      </c>
      <c r="L1354" s="55" t="s">
        <v>404</v>
      </c>
      <c r="M1354" s="55" t="s">
        <v>7634</v>
      </c>
    </row>
    <row r="1355" spans="1:13">
      <c r="A1355" s="408" t="s">
        <v>3721</v>
      </c>
      <c r="B1355" s="106" t="s">
        <v>327</v>
      </c>
      <c r="C1355" s="106" t="s">
        <v>473</v>
      </c>
      <c r="D1355" s="107" t="s">
        <v>3722</v>
      </c>
      <c r="E1355" s="109" t="s">
        <v>355</v>
      </c>
      <c r="F1355" s="109" t="s">
        <v>355</v>
      </c>
      <c r="G1355" s="55" t="s">
        <v>355</v>
      </c>
      <c r="H1355" s="108" t="s">
        <v>402</v>
      </c>
      <c r="I1355" s="111" t="s">
        <v>402</v>
      </c>
      <c r="J1355" s="111" t="s">
        <v>402</v>
      </c>
      <c r="K1355" s="106" t="s">
        <v>403</v>
      </c>
      <c r="L1355" s="55" t="s">
        <v>404</v>
      </c>
      <c r="M1355" s="55" t="s">
        <v>7634</v>
      </c>
    </row>
    <row r="1356" spans="1:13">
      <c r="A1356" s="401" t="s">
        <v>3723</v>
      </c>
      <c r="B1356" s="106" t="s">
        <v>327</v>
      </c>
      <c r="C1356" s="106" t="s">
        <v>473</v>
      </c>
      <c r="D1356" s="109" t="s">
        <v>3724</v>
      </c>
      <c r="E1356" s="109" t="s">
        <v>3725</v>
      </c>
      <c r="F1356" s="109" t="s">
        <v>3726</v>
      </c>
      <c r="G1356" s="112" t="s">
        <v>3727</v>
      </c>
      <c r="H1356" s="115" t="s">
        <v>402</v>
      </c>
      <c r="I1356" s="111" t="s">
        <v>402</v>
      </c>
      <c r="J1356" s="111" t="s">
        <v>402</v>
      </c>
      <c r="K1356" s="115" t="s">
        <v>403</v>
      </c>
      <c r="L1356" s="55" t="s">
        <v>404</v>
      </c>
      <c r="M1356" s="55" t="s">
        <v>1173</v>
      </c>
    </row>
    <row r="1357" spans="1:13">
      <c r="A1357" s="408" t="s">
        <v>3728</v>
      </c>
      <c r="B1357" s="106" t="s">
        <v>327</v>
      </c>
      <c r="C1357" s="106" t="s">
        <v>473</v>
      </c>
      <c r="D1357" s="107" t="s">
        <v>3729</v>
      </c>
      <c r="E1357" s="109" t="s">
        <v>355</v>
      </c>
      <c r="F1357" s="109" t="s">
        <v>355</v>
      </c>
      <c r="G1357" s="55" t="s">
        <v>355</v>
      </c>
      <c r="H1357" s="108" t="s">
        <v>402</v>
      </c>
      <c r="I1357" s="111" t="s">
        <v>402</v>
      </c>
      <c r="J1357" s="111" t="s">
        <v>402</v>
      </c>
      <c r="K1357" s="106" t="s">
        <v>403</v>
      </c>
      <c r="L1357" s="55" t="s">
        <v>404</v>
      </c>
      <c r="M1357" s="55" t="s">
        <v>7634</v>
      </c>
    </row>
    <row r="1358" spans="1:13">
      <c r="A1358" s="408" t="s">
        <v>3730</v>
      </c>
      <c r="B1358" s="106" t="s">
        <v>327</v>
      </c>
      <c r="C1358" s="106" t="s">
        <v>473</v>
      </c>
      <c r="D1358" s="107" t="s">
        <v>3731</v>
      </c>
      <c r="E1358" s="109" t="s">
        <v>355</v>
      </c>
      <c r="F1358" s="109" t="s">
        <v>355</v>
      </c>
      <c r="G1358" s="55" t="s">
        <v>355</v>
      </c>
      <c r="H1358" s="108" t="s">
        <v>402</v>
      </c>
      <c r="I1358" s="111" t="s">
        <v>402</v>
      </c>
      <c r="J1358" s="111" t="s">
        <v>402</v>
      </c>
      <c r="K1358" s="106" t="s">
        <v>403</v>
      </c>
      <c r="L1358" s="55" t="s">
        <v>404</v>
      </c>
      <c r="M1358" s="55" t="s">
        <v>7634</v>
      </c>
    </row>
    <row r="1359" spans="1:13">
      <c r="A1359" s="408" t="s">
        <v>3732</v>
      </c>
      <c r="B1359" s="106" t="s">
        <v>327</v>
      </c>
      <c r="C1359" s="106" t="s">
        <v>473</v>
      </c>
      <c r="D1359" s="107" t="s">
        <v>3733</v>
      </c>
      <c r="E1359" s="109" t="s">
        <v>355</v>
      </c>
      <c r="F1359" s="109" t="s">
        <v>355</v>
      </c>
      <c r="G1359" s="55" t="s">
        <v>355</v>
      </c>
      <c r="H1359" s="108" t="s">
        <v>402</v>
      </c>
      <c r="I1359" s="111" t="s">
        <v>402</v>
      </c>
      <c r="J1359" s="111" t="s">
        <v>402</v>
      </c>
      <c r="K1359" s="106" t="s">
        <v>403</v>
      </c>
      <c r="L1359" s="55" t="s">
        <v>404</v>
      </c>
      <c r="M1359" s="55" t="s">
        <v>7634</v>
      </c>
    </row>
    <row r="1360" spans="1:13">
      <c r="A1360" s="408" t="s">
        <v>3734</v>
      </c>
      <c r="B1360" s="106" t="s">
        <v>327</v>
      </c>
      <c r="C1360" s="106" t="s">
        <v>473</v>
      </c>
      <c r="D1360" s="107" t="s">
        <v>3735</v>
      </c>
      <c r="E1360" s="109" t="s">
        <v>355</v>
      </c>
      <c r="F1360" s="109" t="s">
        <v>355</v>
      </c>
      <c r="G1360" s="55" t="s">
        <v>355</v>
      </c>
      <c r="H1360" s="108" t="s">
        <v>402</v>
      </c>
      <c r="I1360" s="111" t="s">
        <v>402</v>
      </c>
      <c r="J1360" s="111" t="s">
        <v>402</v>
      </c>
      <c r="K1360" s="106" t="s">
        <v>403</v>
      </c>
      <c r="L1360" s="55" t="s">
        <v>404</v>
      </c>
      <c r="M1360" s="55" t="s">
        <v>7634</v>
      </c>
    </row>
    <row r="1361" spans="1:13">
      <c r="A1361" s="408" t="s">
        <v>3736</v>
      </c>
      <c r="B1361" s="106" t="s">
        <v>327</v>
      </c>
      <c r="C1361" s="106" t="s">
        <v>473</v>
      </c>
      <c r="D1361" s="107" t="s">
        <v>3737</v>
      </c>
      <c r="E1361" s="109" t="s">
        <v>355</v>
      </c>
      <c r="F1361" s="109" t="s">
        <v>355</v>
      </c>
      <c r="G1361" s="55" t="s">
        <v>355</v>
      </c>
      <c r="H1361" s="108" t="s">
        <v>402</v>
      </c>
      <c r="I1361" s="111" t="s">
        <v>402</v>
      </c>
      <c r="J1361" s="111" t="s">
        <v>402</v>
      </c>
      <c r="K1361" s="106" t="s">
        <v>403</v>
      </c>
      <c r="L1361" s="55" t="s">
        <v>404</v>
      </c>
      <c r="M1361" s="55" t="s">
        <v>7634</v>
      </c>
    </row>
    <row r="1362" spans="1:13">
      <c r="A1362" s="401" t="s">
        <v>3738</v>
      </c>
      <c r="B1362" s="106" t="s">
        <v>327</v>
      </c>
      <c r="C1362" s="106" t="s">
        <v>473</v>
      </c>
      <c r="D1362" s="120" t="s">
        <v>3739</v>
      </c>
      <c r="E1362" s="107" t="s">
        <v>3740</v>
      </c>
      <c r="F1362" s="107" t="s">
        <v>3741</v>
      </c>
      <c r="G1362" s="114" t="s">
        <v>355</v>
      </c>
      <c r="H1362" s="115" t="s">
        <v>402</v>
      </c>
      <c r="I1362" s="111" t="s">
        <v>402</v>
      </c>
      <c r="J1362" s="111" t="s">
        <v>402</v>
      </c>
      <c r="K1362" s="106" t="s">
        <v>403</v>
      </c>
      <c r="L1362" s="55" t="s">
        <v>404</v>
      </c>
      <c r="M1362" s="55" t="s">
        <v>355</v>
      </c>
    </row>
    <row r="1363" spans="1:13">
      <c r="A1363" s="408" t="s">
        <v>3742</v>
      </c>
      <c r="B1363" s="106" t="s">
        <v>327</v>
      </c>
      <c r="C1363" s="106" t="s">
        <v>473</v>
      </c>
      <c r="D1363" s="107" t="s">
        <v>3743</v>
      </c>
      <c r="E1363" s="109" t="s">
        <v>355</v>
      </c>
      <c r="F1363" s="109" t="s">
        <v>355</v>
      </c>
      <c r="G1363" s="55" t="s">
        <v>355</v>
      </c>
      <c r="H1363" s="108" t="s">
        <v>402</v>
      </c>
      <c r="I1363" s="111" t="s">
        <v>402</v>
      </c>
      <c r="J1363" s="111" t="s">
        <v>402</v>
      </c>
      <c r="K1363" s="106" t="s">
        <v>403</v>
      </c>
      <c r="L1363" s="55" t="s">
        <v>404</v>
      </c>
      <c r="M1363" s="55" t="s">
        <v>7634</v>
      </c>
    </row>
    <row r="1364" spans="1:13">
      <c r="A1364" s="408" t="s">
        <v>3744</v>
      </c>
      <c r="B1364" s="106" t="s">
        <v>327</v>
      </c>
      <c r="C1364" s="106" t="s">
        <v>473</v>
      </c>
      <c r="D1364" s="107" t="s">
        <v>3745</v>
      </c>
      <c r="E1364" s="109" t="s">
        <v>355</v>
      </c>
      <c r="F1364" s="109" t="s">
        <v>355</v>
      </c>
      <c r="G1364" s="55" t="s">
        <v>355</v>
      </c>
      <c r="H1364" s="108" t="s">
        <v>402</v>
      </c>
      <c r="I1364" s="111" t="s">
        <v>402</v>
      </c>
      <c r="J1364" s="111" t="s">
        <v>402</v>
      </c>
      <c r="K1364" s="106" t="s">
        <v>403</v>
      </c>
      <c r="L1364" s="55" t="s">
        <v>404</v>
      </c>
      <c r="M1364" s="55" t="s">
        <v>7634</v>
      </c>
    </row>
    <row r="1365" spans="1:13">
      <c r="A1365" s="408" t="s">
        <v>3746</v>
      </c>
      <c r="B1365" s="106" t="s">
        <v>327</v>
      </c>
      <c r="C1365" s="106" t="s">
        <v>473</v>
      </c>
      <c r="D1365" s="107" t="s">
        <v>3747</v>
      </c>
      <c r="E1365" s="109" t="s">
        <v>355</v>
      </c>
      <c r="F1365" s="109" t="s">
        <v>355</v>
      </c>
      <c r="G1365" s="55" t="s">
        <v>355</v>
      </c>
      <c r="H1365" s="108" t="s">
        <v>402</v>
      </c>
      <c r="I1365" s="111" t="s">
        <v>402</v>
      </c>
      <c r="J1365" s="111" t="s">
        <v>402</v>
      </c>
      <c r="K1365" s="106" t="s">
        <v>403</v>
      </c>
      <c r="L1365" s="55" t="s">
        <v>404</v>
      </c>
      <c r="M1365" s="55" t="s">
        <v>7634</v>
      </c>
    </row>
    <row r="1366" spans="1:13">
      <c r="A1366" s="408" t="s">
        <v>3748</v>
      </c>
      <c r="B1366" s="106" t="s">
        <v>327</v>
      </c>
      <c r="C1366" s="106" t="s">
        <v>473</v>
      </c>
      <c r="D1366" s="107" t="s">
        <v>2903</v>
      </c>
      <c r="E1366" s="109" t="s">
        <v>355</v>
      </c>
      <c r="F1366" s="109" t="s">
        <v>355</v>
      </c>
      <c r="G1366" s="55" t="s">
        <v>355</v>
      </c>
      <c r="H1366" s="108" t="s">
        <v>402</v>
      </c>
      <c r="I1366" s="111" t="s">
        <v>402</v>
      </c>
      <c r="J1366" s="111" t="s">
        <v>402</v>
      </c>
      <c r="K1366" s="106" t="s">
        <v>403</v>
      </c>
      <c r="L1366" s="55" t="s">
        <v>404</v>
      </c>
      <c r="M1366" s="55" t="s">
        <v>7634</v>
      </c>
    </row>
    <row r="1367" spans="1:13">
      <c r="A1367" s="408" t="s">
        <v>3749</v>
      </c>
      <c r="B1367" s="106" t="s">
        <v>327</v>
      </c>
      <c r="C1367" s="106" t="s">
        <v>473</v>
      </c>
      <c r="D1367" s="107" t="s">
        <v>3750</v>
      </c>
      <c r="E1367" s="109" t="s">
        <v>355</v>
      </c>
      <c r="F1367" s="109" t="s">
        <v>355</v>
      </c>
      <c r="G1367" s="55" t="s">
        <v>355</v>
      </c>
      <c r="H1367" s="108" t="s">
        <v>402</v>
      </c>
      <c r="I1367" s="111" t="s">
        <v>402</v>
      </c>
      <c r="J1367" s="111" t="s">
        <v>402</v>
      </c>
      <c r="K1367" s="106" t="s">
        <v>403</v>
      </c>
      <c r="L1367" s="55" t="s">
        <v>404</v>
      </c>
      <c r="M1367" s="55" t="s">
        <v>7634</v>
      </c>
    </row>
    <row r="1368" spans="1:13">
      <c r="A1368" s="401" t="s">
        <v>3751</v>
      </c>
      <c r="B1368" s="106" t="s">
        <v>327</v>
      </c>
      <c r="C1368" s="106" t="s">
        <v>473</v>
      </c>
      <c r="D1368" s="109" t="s">
        <v>3752</v>
      </c>
      <c r="E1368" s="109" t="s">
        <v>3753</v>
      </c>
      <c r="F1368" s="109" t="s">
        <v>3754</v>
      </c>
      <c r="G1368" s="117" t="s">
        <v>383</v>
      </c>
      <c r="H1368" s="115" t="s">
        <v>402</v>
      </c>
      <c r="I1368" s="111" t="s">
        <v>402</v>
      </c>
      <c r="J1368" s="111" t="s">
        <v>402</v>
      </c>
      <c r="K1368" s="115" t="s">
        <v>403</v>
      </c>
      <c r="L1368" s="55" t="s">
        <v>404</v>
      </c>
      <c r="M1368" s="55" t="s">
        <v>1173</v>
      </c>
    </row>
    <row r="1369" spans="1:13">
      <c r="A1369" s="401" t="s">
        <v>3755</v>
      </c>
      <c r="B1369" s="106" t="s">
        <v>327</v>
      </c>
      <c r="C1369" s="106" t="s">
        <v>473</v>
      </c>
      <c r="D1369" s="109" t="s">
        <v>3756</v>
      </c>
      <c r="E1369" s="109" t="s">
        <v>3757</v>
      </c>
      <c r="F1369" s="109" t="s">
        <v>3758</v>
      </c>
      <c r="G1369" s="117" t="s">
        <v>383</v>
      </c>
      <c r="H1369" s="115" t="s">
        <v>402</v>
      </c>
      <c r="I1369" s="111" t="s">
        <v>402</v>
      </c>
      <c r="J1369" s="111" t="s">
        <v>402</v>
      </c>
      <c r="K1369" s="115" t="s">
        <v>403</v>
      </c>
      <c r="L1369" s="55" t="s">
        <v>404</v>
      </c>
      <c r="M1369" s="113" t="s">
        <v>1173</v>
      </c>
    </row>
    <row r="1370" spans="1:13">
      <c r="A1370" s="408" t="s">
        <v>3759</v>
      </c>
      <c r="B1370" s="106" t="s">
        <v>327</v>
      </c>
      <c r="C1370" s="106" t="s">
        <v>473</v>
      </c>
      <c r="D1370" s="107" t="s">
        <v>3760</v>
      </c>
      <c r="E1370" s="109" t="s">
        <v>355</v>
      </c>
      <c r="F1370" s="109" t="s">
        <v>355</v>
      </c>
      <c r="G1370" s="55" t="s">
        <v>355</v>
      </c>
      <c r="H1370" s="108" t="s">
        <v>402</v>
      </c>
      <c r="I1370" s="111" t="s">
        <v>402</v>
      </c>
      <c r="J1370" s="111" t="s">
        <v>402</v>
      </c>
      <c r="K1370" s="106" t="s">
        <v>403</v>
      </c>
      <c r="L1370" s="55" t="s">
        <v>404</v>
      </c>
      <c r="M1370" s="55" t="s">
        <v>7634</v>
      </c>
    </row>
    <row r="1371" spans="1:13">
      <c r="A1371" s="401" t="s">
        <v>3761</v>
      </c>
      <c r="B1371" s="106" t="s">
        <v>327</v>
      </c>
      <c r="C1371" s="106" t="s">
        <v>473</v>
      </c>
      <c r="D1371" s="109" t="s">
        <v>3762</v>
      </c>
      <c r="E1371" s="109" t="s">
        <v>3763</v>
      </c>
      <c r="F1371" s="109" t="s">
        <v>3764</v>
      </c>
      <c r="G1371" s="117" t="s">
        <v>383</v>
      </c>
      <c r="H1371" s="115" t="s">
        <v>402</v>
      </c>
      <c r="I1371" s="111" t="s">
        <v>402</v>
      </c>
      <c r="J1371" s="111" t="s">
        <v>402</v>
      </c>
      <c r="K1371" s="106" t="s">
        <v>403</v>
      </c>
      <c r="L1371" s="55" t="s">
        <v>404</v>
      </c>
      <c r="M1371" s="55" t="s">
        <v>1173</v>
      </c>
    </row>
    <row r="1372" spans="1:13">
      <c r="A1372" s="408" t="s">
        <v>3765</v>
      </c>
      <c r="B1372" s="106" t="s">
        <v>327</v>
      </c>
      <c r="C1372" s="106" t="s">
        <v>473</v>
      </c>
      <c r="D1372" s="107" t="s">
        <v>3766</v>
      </c>
      <c r="E1372" s="109" t="s">
        <v>355</v>
      </c>
      <c r="F1372" s="109" t="s">
        <v>355</v>
      </c>
      <c r="G1372" s="55" t="s">
        <v>355</v>
      </c>
      <c r="H1372" s="108" t="s">
        <v>402</v>
      </c>
      <c r="I1372" s="111" t="s">
        <v>402</v>
      </c>
      <c r="J1372" s="111" t="s">
        <v>402</v>
      </c>
      <c r="K1372" s="106" t="s">
        <v>403</v>
      </c>
      <c r="L1372" s="55" t="s">
        <v>404</v>
      </c>
      <c r="M1372" s="55" t="s">
        <v>7634</v>
      </c>
    </row>
    <row r="1373" spans="1:13">
      <c r="A1373" s="408" t="s">
        <v>3767</v>
      </c>
      <c r="B1373" s="106" t="s">
        <v>327</v>
      </c>
      <c r="C1373" s="106" t="s">
        <v>473</v>
      </c>
      <c r="D1373" s="107" t="s">
        <v>3768</v>
      </c>
      <c r="E1373" s="109" t="s">
        <v>355</v>
      </c>
      <c r="F1373" s="109" t="s">
        <v>355</v>
      </c>
      <c r="G1373" s="55" t="s">
        <v>355</v>
      </c>
      <c r="H1373" s="108" t="s">
        <v>402</v>
      </c>
      <c r="I1373" s="111" t="s">
        <v>402</v>
      </c>
      <c r="J1373" s="111" t="s">
        <v>402</v>
      </c>
      <c r="K1373" s="106" t="s">
        <v>403</v>
      </c>
      <c r="L1373" s="55" t="s">
        <v>404</v>
      </c>
      <c r="M1373" s="55" t="s">
        <v>7634</v>
      </c>
    </row>
    <row r="1374" spans="1:13">
      <c r="A1374" s="408" t="s">
        <v>3769</v>
      </c>
      <c r="B1374" s="106" t="s">
        <v>327</v>
      </c>
      <c r="C1374" s="106" t="s">
        <v>473</v>
      </c>
      <c r="D1374" s="107" t="s">
        <v>3770</v>
      </c>
      <c r="E1374" s="109" t="s">
        <v>355</v>
      </c>
      <c r="F1374" s="109" t="s">
        <v>355</v>
      </c>
      <c r="G1374" s="55" t="s">
        <v>355</v>
      </c>
      <c r="H1374" s="108" t="s">
        <v>402</v>
      </c>
      <c r="I1374" s="111" t="s">
        <v>402</v>
      </c>
      <c r="J1374" s="111" t="s">
        <v>402</v>
      </c>
      <c r="K1374" s="106" t="s">
        <v>403</v>
      </c>
      <c r="L1374" s="55" t="s">
        <v>404</v>
      </c>
      <c r="M1374" s="55" t="s">
        <v>7634</v>
      </c>
    </row>
    <row r="1375" spans="1:13">
      <c r="A1375" s="408" t="s">
        <v>3771</v>
      </c>
      <c r="B1375" s="106" t="s">
        <v>327</v>
      </c>
      <c r="C1375" s="106" t="s">
        <v>473</v>
      </c>
      <c r="D1375" s="107" t="s">
        <v>3772</v>
      </c>
      <c r="E1375" s="109" t="s">
        <v>355</v>
      </c>
      <c r="F1375" s="109" t="s">
        <v>355</v>
      </c>
      <c r="G1375" s="55" t="s">
        <v>355</v>
      </c>
      <c r="H1375" s="108" t="s">
        <v>402</v>
      </c>
      <c r="I1375" s="111" t="s">
        <v>402</v>
      </c>
      <c r="J1375" s="111" t="s">
        <v>402</v>
      </c>
      <c r="K1375" s="106" t="s">
        <v>403</v>
      </c>
      <c r="L1375" s="55" t="s">
        <v>404</v>
      </c>
      <c r="M1375" s="55" t="s">
        <v>7634</v>
      </c>
    </row>
    <row r="1376" spans="1:13">
      <c r="A1376" s="408" t="s">
        <v>3773</v>
      </c>
      <c r="B1376" s="106" t="s">
        <v>327</v>
      </c>
      <c r="C1376" s="106" t="s">
        <v>473</v>
      </c>
      <c r="D1376" s="107" t="s">
        <v>3774</v>
      </c>
      <c r="E1376" s="109" t="s">
        <v>355</v>
      </c>
      <c r="F1376" s="109" t="s">
        <v>355</v>
      </c>
      <c r="G1376" s="55" t="s">
        <v>355</v>
      </c>
      <c r="H1376" s="108" t="s">
        <v>402</v>
      </c>
      <c r="I1376" s="111" t="s">
        <v>402</v>
      </c>
      <c r="J1376" s="111" t="s">
        <v>402</v>
      </c>
      <c r="K1376" s="106" t="s">
        <v>403</v>
      </c>
      <c r="L1376" s="55" t="s">
        <v>404</v>
      </c>
      <c r="M1376" s="55" t="s">
        <v>7634</v>
      </c>
    </row>
    <row r="1377" spans="1:13">
      <c r="A1377" s="408" t="s">
        <v>3775</v>
      </c>
      <c r="B1377" s="106" t="s">
        <v>327</v>
      </c>
      <c r="C1377" s="106" t="s">
        <v>473</v>
      </c>
      <c r="D1377" s="107" t="s">
        <v>3776</v>
      </c>
      <c r="E1377" s="109" t="s">
        <v>355</v>
      </c>
      <c r="F1377" s="109" t="s">
        <v>355</v>
      </c>
      <c r="G1377" s="55" t="s">
        <v>355</v>
      </c>
      <c r="H1377" s="108" t="s">
        <v>402</v>
      </c>
      <c r="I1377" s="111" t="s">
        <v>402</v>
      </c>
      <c r="J1377" s="111" t="s">
        <v>402</v>
      </c>
      <c r="K1377" s="106" t="s">
        <v>403</v>
      </c>
      <c r="L1377" s="55" t="s">
        <v>404</v>
      </c>
      <c r="M1377" s="55" t="s">
        <v>7634</v>
      </c>
    </row>
    <row r="1378" spans="1:13">
      <c r="A1378" s="408" t="s">
        <v>3777</v>
      </c>
      <c r="B1378" s="106" t="s">
        <v>327</v>
      </c>
      <c r="C1378" s="106" t="s">
        <v>473</v>
      </c>
      <c r="D1378" s="107" t="s">
        <v>3778</v>
      </c>
      <c r="E1378" s="109" t="s">
        <v>355</v>
      </c>
      <c r="F1378" s="109" t="s">
        <v>355</v>
      </c>
      <c r="G1378" s="55" t="s">
        <v>355</v>
      </c>
      <c r="H1378" s="108" t="s">
        <v>402</v>
      </c>
      <c r="I1378" s="111" t="s">
        <v>402</v>
      </c>
      <c r="J1378" s="111" t="s">
        <v>402</v>
      </c>
      <c r="K1378" s="106" t="s">
        <v>403</v>
      </c>
      <c r="L1378" s="55" t="s">
        <v>404</v>
      </c>
      <c r="M1378" s="55" t="s">
        <v>7634</v>
      </c>
    </row>
    <row r="1379" spans="1:13">
      <c r="A1379" s="401" t="s">
        <v>3779</v>
      </c>
      <c r="B1379" s="106" t="s">
        <v>327</v>
      </c>
      <c r="C1379" s="106" t="s">
        <v>473</v>
      </c>
      <c r="D1379" s="109" t="s">
        <v>3780</v>
      </c>
      <c r="E1379" s="109" t="s">
        <v>3781</v>
      </c>
      <c r="F1379" s="109" t="s">
        <v>3782</v>
      </c>
      <c r="G1379" s="117" t="s">
        <v>383</v>
      </c>
      <c r="H1379" s="115" t="s">
        <v>402</v>
      </c>
      <c r="I1379" s="111" t="s">
        <v>402</v>
      </c>
      <c r="J1379" s="111" t="s">
        <v>402</v>
      </c>
      <c r="K1379" s="115" t="s">
        <v>403</v>
      </c>
      <c r="L1379" s="55" t="s">
        <v>404</v>
      </c>
      <c r="M1379" s="55" t="s">
        <v>1173</v>
      </c>
    </row>
    <row r="1380" spans="1:13">
      <c r="A1380" s="408" t="s">
        <v>3783</v>
      </c>
      <c r="B1380" s="106" t="s">
        <v>327</v>
      </c>
      <c r="C1380" s="106" t="s">
        <v>473</v>
      </c>
      <c r="D1380" s="107" t="s">
        <v>3784</v>
      </c>
      <c r="E1380" s="109" t="s">
        <v>355</v>
      </c>
      <c r="F1380" s="109" t="s">
        <v>355</v>
      </c>
      <c r="G1380" s="55" t="s">
        <v>355</v>
      </c>
      <c r="H1380" s="108" t="s">
        <v>402</v>
      </c>
      <c r="I1380" s="111" t="s">
        <v>402</v>
      </c>
      <c r="J1380" s="111" t="s">
        <v>402</v>
      </c>
      <c r="K1380" s="106" t="s">
        <v>403</v>
      </c>
      <c r="L1380" s="55" t="s">
        <v>404</v>
      </c>
      <c r="M1380" s="55" t="s">
        <v>7634</v>
      </c>
    </row>
    <row r="1381" spans="1:13">
      <c r="A1381" s="408" t="s">
        <v>3785</v>
      </c>
      <c r="B1381" s="106" t="s">
        <v>327</v>
      </c>
      <c r="C1381" s="106" t="s">
        <v>473</v>
      </c>
      <c r="D1381" s="107" t="s">
        <v>3786</v>
      </c>
      <c r="E1381" s="109" t="s">
        <v>3787</v>
      </c>
      <c r="F1381" s="109" t="s">
        <v>3788</v>
      </c>
      <c r="G1381" s="55" t="s">
        <v>355</v>
      </c>
      <c r="H1381" s="108" t="s">
        <v>402</v>
      </c>
      <c r="I1381" s="111" t="s">
        <v>402</v>
      </c>
      <c r="J1381" s="111" t="s">
        <v>402</v>
      </c>
      <c r="K1381" s="106" t="s">
        <v>403</v>
      </c>
      <c r="L1381" s="55" t="s">
        <v>404</v>
      </c>
      <c r="M1381" s="55" t="s">
        <v>7634</v>
      </c>
    </row>
    <row r="1382" spans="1:13">
      <c r="A1382" s="408" t="s">
        <v>3789</v>
      </c>
      <c r="B1382" s="106" t="s">
        <v>327</v>
      </c>
      <c r="C1382" s="106" t="s">
        <v>473</v>
      </c>
      <c r="D1382" s="107" t="s">
        <v>3790</v>
      </c>
      <c r="E1382" s="109" t="s">
        <v>355</v>
      </c>
      <c r="F1382" s="109" t="s">
        <v>355</v>
      </c>
      <c r="G1382" s="55" t="s">
        <v>355</v>
      </c>
      <c r="H1382" s="108" t="s">
        <v>402</v>
      </c>
      <c r="I1382" s="111" t="s">
        <v>402</v>
      </c>
      <c r="J1382" s="111" t="s">
        <v>402</v>
      </c>
      <c r="K1382" s="106" t="s">
        <v>403</v>
      </c>
      <c r="L1382" s="55" t="s">
        <v>404</v>
      </c>
      <c r="M1382" s="55" t="s">
        <v>7634</v>
      </c>
    </row>
    <row r="1383" spans="1:13">
      <c r="A1383" s="401" t="s">
        <v>3791</v>
      </c>
      <c r="B1383" s="106" t="s">
        <v>327</v>
      </c>
      <c r="C1383" s="106" t="s">
        <v>473</v>
      </c>
      <c r="D1383" s="109" t="s">
        <v>3792</v>
      </c>
      <c r="E1383" s="109" t="s">
        <v>2303</v>
      </c>
      <c r="F1383" s="109" t="s">
        <v>3793</v>
      </c>
      <c r="G1383" s="117" t="s">
        <v>383</v>
      </c>
      <c r="H1383" s="115" t="s">
        <v>402</v>
      </c>
      <c r="I1383" s="111" t="s">
        <v>402</v>
      </c>
      <c r="J1383" s="111" t="s">
        <v>402</v>
      </c>
      <c r="K1383" s="115" t="s">
        <v>403</v>
      </c>
      <c r="L1383" s="55" t="s">
        <v>404</v>
      </c>
      <c r="M1383" s="113" t="s">
        <v>1173</v>
      </c>
    </row>
    <row r="1384" spans="1:13">
      <c r="A1384" s="408" t="s">
        <v>3794</v>
      </c>
      <c r="B1384" s="106" t="s">
        <v>327</v>
      </c>
      <c r="C1384" s="106" t="s">
        <v>473</v>
      </c>
      <c r="D1384" s="107" t="s">
        <v>3795</v>
      </c>
      <c r="E1384" s="109" t="s">
        <v>355</v>
      </c>
      <c r="F1384" s="109" t="s">
        <v>355</v>
      </c>
      <c r="G1384" s="55" t="s">
        <v>355</v>
      </c>
      <c r="H1384" s="108" t="s">
        <v>402</v>
      </c>
      <c r="I1384" s="111" t="s">
        <v>402</v>
      </c>
      <c r="J1384" s="111" t="s">
        <v>402</v>
      </c>
      <c r="K1384" s="106" t="s">
        <v>403</v>
      </c>
      <c r="L1384" s="55" t="s">
        <v>404</v>
      </c>
      <c r="M1384" s="55" t="s">
        <v>7634</v>
      </c>
    </row>
    <row r="1385" spans="1:13">
      <c r="A1385" s="408" t="s">
        <v>3796</v>
      </c>
      <c r="B1385" s="106" t="s">
        <v>327</v>
      </c>
      <c r="C1385" s="106" t="s">
        <v>473</v>
      </c>
      <c r="D1385" s="107" t="s">
        <v>3797</v>
      </c>
      <c r="E1385" s="109" t="s">
        <v>355</v>
      </c>
      <c r="F1385" s="109" t="s">
        <v>355</v>
      </c>
      <c r="G1385" s="55" t="s">
        <v>355</v>
      </c>
      <c r="H1385" s="108" t="s">
        <v>402</v>
      </c>
      <c r="I1385" s="111" t="s">
        <v>402</v>
      </c>
      <c r="J1385" s="111" t="s">
        <v>402</v>
      </c>
      <c r="K1385" s="106" t="s">
        <v>403</v>
      </c>
      <c r="L1385" s="55" t="s">
        <v>404</v>
      </c>
      <c r="M1385" s="55" t="s">
        <v>7634</v>
      </c>
    </row>
    <row r="1386" spans="1:13">
      <c r="A1386" s="408" t="s">
        <v>3798</v>
      </c>
      <c r="B1386" s="106" t="s">
        <v>327</v>
      </c>
      <c r="C1386" s="106" t="s">
        <v>473</v>
      </c>
      <c r="D1386" s="107" t="s">
        <v>3799</v>
      </c>
      <c r="E1386" s="109" t="s">
        <v>355</v>
      </c>
      <c r="F1386" s="109" t="s">
        <v>355</v>
      </c>
      <c r="G1386" s="55" t="s">
        <v>355</v>
      </c>
      <c r="H1386" s="108" t="s">
        <v>402</v>
      </c>
      <c r="I1386" s="111" t="s">
        <v>402</v>
      </c>
      <c r="J1386" s="111" t="s">
        <v>402</v>
      </c>
      <c r="K1386" s="106" t="s">
        <v>403</v>
      </c>
      <c r="L1386" s="55" t="s">
        <v>404</v>
      </c>
      <c r="M1386" s="55" t="s">
        <v>7634</v>
      </c>
    </row>
    <row r="1387" spans="1:13">
      <c r="A1387" s="401" t="s">
        <v>3800</v>
      </c>
      <c r="B1387" s="106" t="s">
        <v>327</v>
      </c>
      <c r="C1387" s="106" t="s">
        <v>473</v>
      </c>
      <c r="D1387" s="109" t="s">
        <v>3801</v>
      </c>
      <c r="E1387" s="109" t="s">
        <v>3802</v>
      </c>
      <c r="F1387" s="109" t="s">
        <v>3803</v>
      </c>
      <c r="G1387" s="117" t="s">
        <v>383</v>
      </c>
      <c r="H1387" s="115" t="s">
        <v>402</v>
      </c>
      <c r="I1387" s="111" t="s">
        <v>402</v>
      </c>
      <c r="J1387" s="111" t="s">
        <v>402</v>
      </c>
      <c r="K1387" s="106" t="s">
        <v>403</v>
      </c>
      <c r="L1387" s="55" t="s">
        <v>404</v>
      </c>
      <c r="M1387" s="55" t="s">
        <v>1173</v>
      </c>
    </row>
    <row r="1388" spans="1:13">
      <c r="A1388" s="408" t="s">
        <v>3804</v>
      </c>
      <c r="B1388" s="106" t="s">
        <v>327</v>
      </c>
      <c r="C1388" s="106" t="s">
        <v>473</v>
      </c>
      <c r="D1388" s="107" t="s">
        <v>3805</v>
      </c>
      <c r="E1388" s="109" t="s">
        <v>355</v>
      </c>
      <c r="F1388" s="109" t="s">
        <v>355</v>
      </c>
      <c r="G1388" s="55" t="s">
        <v>355</v>
      </c>
      <c r="H1388" s="108" t="s">
        <v>402</v>
      </c>
      <c r="I1388" s="111" t="s">
        <v>402</v>
      </c>
      <c r="J1388" s="111" t="s">
        <v>402</v>
      </c>
      <c r="K1388" s="106" t="s">
        <v>403</v>
      </c>
      <c r="L1388" s="55" t="s">
        <v>404</v>
      </c>
      <c r="M1388" s="55" t="s">
        <v>7634</v>
      </c>
    </row>
    <row r="1389" spans="1:13">
      <c r="A1389" s="408" t="s">
        <v>3806</v>
      </c>
      <c r="B1389" s="106" t="s">
        <v>327</v>
      </c>
      <c r="C1389" s="106" t="s">
        <v>473</v>
      </c>
      <c r="D1389" s="107" t="s">
        <v>3807</v>
      </c>
      <c r="E1389" s="109" t="s">
        <v>355</v>
      </c>
      <c r="F1389" s="109" t="s">
        <v>355</v>
      </c>
      <c r="G1389" s="55" t="s">
        <v>355</v>
      </c>
      <c r="H1389" s="108" t="s">
        <v>402</v>
      </c>
      <c r="I1389" s="111" t="s">
        <v>402</v>
      </c>
      <c r="J1389" s="111" t="s">
        <v>402</v>
      </c>
      <c r="K1389" s="106" t="s">
        <v>403</v>
      </c>
      <c r="L1389" s="55" t="s">
        <v>404</v>
      </c>
      <c r="M1389" s="55" t="s">
        <v>7634</v>
      </c>
    </row>
    <row r="1390" spans="1:13">
      <c r="A1390" s="401" t="s">
        <v>3808</v>
      </c>
      <c r="B1390" s="106" t="s">
        <v>327</v>
      </c>
      <c r="C1390" s="106" t="s">
        <v>473</v>
      </c>
      <c r="D1390" s="109" t="s">
        <v>3809</v>
      </c>
      <c r="E1390" s="109" t="s">
        <v>3810</v>
      </c>
      <c r="F1390" s="109" t="s">
        <v>3811</v>
      </c>
      <c r="G1390" s="117" t="s">
        <v>383</v>
      </c>
      <c r="H1390" s="115" t="s">
        <v>402</v>
      </c>
      <c r="I1390" s="111" t="s">
        <v>402</v>
      </c>
      <c r="J1390" s="111" t="s">
        <v>402</v>
      </c>
      <c r="K1390" s="115" t="s">
        <v>403</v>
      </c>
      <c r="L1390" s="55" t="s">
        <v>404</v>
      </c>
      <c r="M1390" s="113" t="s">
        <v>1173</v>
      </c>
    </row>
    <row r="1391" spans="1:13">
      <c r="A1391" s="408" t="s">
        <v>3812</v>
      </c>
      <c r="B1391" s="106" t="s">
        <v>327</v>
      </c>
      <c r="C1391" s="106" t="s">
        <v>473</v>
      </c>
      <c r="D1391" s="107" t="s">
        <v>3813</v>
      </c>
      <c r="E1391" s="109" t="s">
        <v>355</v>
      </c>
      <c r="F1391" s="109" t="s">
        <v>355</v>
      </c>
      <c r="G1391" s="55" t="s">
        <v>355</v>
      </c>
      <c r="H1391" s="108" t="s">
        <v>402</v>
      </c>
      <c r="I1391" s="111" t="s">
        <v>402</v>
      </c>
      <c r="J1391" s="111" t="s">
        <v>402</v>
      </c>
      <c r="K1391" s="106" t="s">
        <v>403</v>
      </c>
      <c r="L1391" s="55" t="s">
        <v>404</v>
      </c>
      <c r="M1391" s="55" t="s">
        <v>7634</v>
      </c>
    </row>
    <row r="1392" spans="1:13">
      <c r="A1392" s="408" t="s">
        <v>3814</v>
      </c>
      <c r="B1392" s="106" t="s">
        <v>327</v>
      </c>
      <c r="C1392" s="106" t="s">
        <v>473</v>
      </c>
      <c r="D1392" s="107" t="s">
        <v>3815</v>
      </c>
      <c r="E1392" s="109" t="s">
        <v>355</v>
      </c>
      <c r="F1392" s="109" t="s">
        <v>355</v>
      </c>
      <c r="G1392" s="55" t="s">
        <v>355</v>
      </c>
      <c r="H1392" s="108" t="s">
        <v>402</v>
      </c>
      <c r="I1392" s="111" t="s">
        <v>402</v>
      </c>
      <c r="J1392" s="111" t="s">
        <v>402</v>
      </c>
      <c r="K1392" s="106" t="s">
        <v>403</v>
      </c>
      <c r="L1392" s="55" t="s">
        <v>404</v>
      </c>
      <c r="M1392" s="55" t="s">
        <v>7634</v>
      </c>
    </row>
    <row r="1393" spans="1:13">
      <c r="A1393" s="408" t="s">
        <v>3816</v>
      </c>
      <c r="B1393" s="106" t="s">
        <v>327</v>
      </c>
      <c r="C1393" s="106" t="s">
        <v>473</v>
      </c>
      <c r="D1393" s="107" t="s">
        <v>3817</v>
      </c>
      <c r="E1393" s="109" t="s">
        <v>355</v>
      </c>
      <c r="F1393" s="109" t="s">
        <v>355</v>
      </c>
      <c r="G1393" s="55" t="s">
        <v>355</v>
      </c>
      <c r="H1393" s="108" t="s">
        <v>402</v>
      </c>
      <c r="I1393" s="111" t="s">
        <v>402</v>
      </c>
      <c r="J1393" s="111" t="s">
        <v>402</v>
      </c>
      <c r="K1393" s="106" t="s">
        <v>403</v>
      </c>
      <c r="L1393" s="55" t="s">
        <v>404</v>
      </c>
      <c r="M1393" s="55" t="s">
        <v>7634</v>
      </c>
    </row>
    <row r="1394" spans="1:13">
      <c r="A1394" s="408" t="s">
        <v>3818</v>
      </c>
      <c r="B1394" s="106" t="s">
        <v>327</v>
      </c>
      <c r="C1394" s="106" t="s">
        <v>473</v>
      </c>
      <c r="D1394" s="107" t="s">
        <v>3819</v>
      </c>
      <c r="E1394" s="109" t="s">
        <v>355</v>
      </c>
      <c r="F1394" s="109" t="s">
        <v>355</v>
      </c>
      <c r="G1394" s="55" t="s">
        <v>355</v>
      </c>
      <c r="H1394" s="108" t="s">
        <v>402</v>
      </c>
      <c r="I1394" s="111" t="s">
        <v>402</v>
      </c>
      <c r="J1394" s="111" t="s">
        <v>402</v>
      </c>
      <c r="K1394" s="106" t="s">
        <v>403</v>
      </c>
      <c r="L1394" s="55" t="s">
        <v>404</v>
      </c>
      <c r="M1394" s="55" t="s">
        <v>7634</v>
      </c>
    </row>
    <row r="1395" spans="1:13">
      <c r="A1395" s="408" t="s">
        <v>3820</v>
      </c>
      <c r="B1395" s="106" t="s">
        <v>327</v>
      </c>
      <c r="C1395" s="106" t="s">
        <v>473</v>
      </c>
      <c r="D1395" s="107" t="s">
        <v>3821</v>
      </c>
      <c r="E1395" s="109" t="s">
        <v>355</v>
      </c>
      <c r="F1395" s="109" t="s">
        <v>355</v>
      </c>
      <c r="G1395" s="55" t="s">
        <v>355</v>
      </c>
      <c r="H1395" s="108" t="s">
        <v>402</v>
      </c>
      <c r="I1395" s="111" t="s">
        <v>402</v>
      </c>
      <c r="J1395" s="111" t="s">
        <v>402</v>
      </c>
      <c r="K1395" s="106" t="s">
        <v>403</v>
      </c>
      <c r="L1395" s="55" t="s">
        <v>404</v>
      </c>
      <c r="M1395" s="55" t="s">
        <v>7634</v>
      </c>
    </row>
    <row r="1396" spans="1:13">
      <c r="A1396" s="401" t="s">
        <v>3822</v>
      </c>
      <c r="B1396" s="106" t="s">
        <v>327</v>
      </c>
      <c r="C1396" s="106" t="s">
        <v>473</v>
      </c>
      <c r="D1396" s="109" t="s">
        <v>3823</v>
      </c>
      <c r="E1396" s="109" t="s">
        <v>3824</v>
      </c>
      <c r="F1396" s="110" t="s">
        <v>3825</v>
      </c>
      <c r="G1396" s="114" t="s">
        <v>383</v>
      </c>
      <c r="H1396" s="115" t="s">
        <v>402</v>
      </c>
      <c r="I1396" s="111" t="s">
        <v>402</v>
      </c>
      <c r="J1396" s="111" t="s">
        <v>402</v>
      </c>
      <c r="K1396" s="106" t="s">
        <v>403</v>
      </c>
      <c r="L1396" s="55" t="s">
        <v>404</v>
      </c>
      <c r="M1396" s="55" t="s">
        <v>1173</v>
      </c>
    </row>
    <row r="1397" spans="1:13">
      <c r="A1397" s="408" t="s">
        <v>3826</v>
      </c>
      <c r="B1397" s="106" t="s">
        <v>327</v>
      </c>
      <c r="C1397" s="106" t="s">
        <v>473</v>
      </c>
      <c r="D1397" s="107" t="s">
        <v>3827</v>
      </c>
      <c r="E1397" s="109" t="s">
        <v>355</v>
      </c>
      <c r="F1397" s="109" t="s">
        <v>355</v>
      </c>
      <c r="G1397" s="55" t="s">
        <v>355</v>
      </c>
      <c r="H1397" s="108" t="s">
        <v>402</v>
      </c>
      <c r="I1397" s="111" t="s">
        <v>402</v>
      </c>
      <c r="J1397" s="111" t="s">
        <v>402</v>
      </c>
      <c r="K1397" s="106" t="s">
        <v>403</v>
      </c>
      <c r="L1397" s="55" t="s">
        <v>404</v>
      </c>
      <c r="M1397" s="55" t="s">
        <v>7634</v>
      </c>
    </row>
    <row r="1398" spans="1:13">
      <c r="A1398" s="408" t="s">
        <v>3828</v>
      </c>
      <c r="B1398" s="106" t="s">
        <v>327</v>
      </c>
      <c r="C1398" s="106" t="s">
        <v>473</v>
      </c>
      <c r="D1398" s="107" t="s">
        <v>3829</v>
      </c>
      <c r="E1398" s="109" t="s">
        <v>355</v>
      </c>
      <c r="F1398" s="109" t="s">
        <v>355</v>
      </c>
      <c r="G1398" s="55" t="s">
        <v>355</v>
      </c>
      <c r="H1398" s="108" t="s">
        <v>402</v>
      </c>
      <c r="I1398" s="111" t="s">
        <v>402</v>
      </c>
      <c r="J1398" s="111" t="s">
        <v>402</v>
      </c>
      <c r="K1398" s="106" t="s">
        <v>403</v>
      </c>
      <c r="L1398" s="55" t="s">
        <v>404</v>
      </c>
      <c r="M1398" s="55" t="s">
        <v>7634</v>
      </c>
    </row>
    <row r="1399" spans="1:13">
      <c r="A1399" s="408" t="s">
        <v>3830</v>
      </c>
      <c r="B1399" s="106" t="s">
        <v>327</v>
      </c>
      <c r="C1399" s="106" t="s">
        <v>473</v>
      </c>
      <c r="D1399" s="107" t="s">
        <v>3831</v>
      </c>
      <c r="E1399" s="109" t="s">
        <v>355</v>
      </c>
      <c r="F1399" s="109" t="s">
        <v>355</v>
      </c>
      <c r="G1399" s="55" t="s">
        <v>355</v>
      </c>
      <c r="H1399" s="108" t="s">
        <v>402</v>
      </c>
      <c r="I1399" s="111" t="s">
        <v>402</v>
      </c>
      <c r="J1399" s="111" t="s">
        <v>402</v>
      </c>
      <c r="K1399" s="106" t="s">
        <v>403</v>
      </c>
      <c r="L1399" s="55" t="s">
        <v>404</v>
      </c>
      <c r="M1399" s="55" t="s">
        <v>7634</v>
      </c>
    </row>
    <row r="1400" spans="1:13">
      <c r="A1400" s="408" t="s">
        <v>3832</v>
      </c>
      <c r="B1400" s="106" t="s">
        <v>327</v>
      </c>
      <c r="C1400" s="106" t="s">
        <v>473</v>
      </c>
      <c r="D1400" s="107" t="s">
        <v>3833</v>
      </c>
      <c r="E1400" s="109" t="s">
        <v>355</v>
      </c>
      <c r="F1400" s="109" t="s">
        <v>355</v>
      </c>
      <c r="G1400" s="55" t="s">
        <v>355</v>
      </c>
      <c r="H1400" s="108" t="s">
        <v>402</v>
      </c>
      <c r="I1400" s="111" t="s">
        <v>402</v>
      </c>
      <c r="J1400" s="111" t="s">
        <v>402</v>
      </c>
      <c r="K1400" s="106" t="s">
        <v>403</v>
      </c>
      <c r="L1400" s="55" t="s">
        <v>404</v>
      </c>
      <c r="M1400" s="55" t="s">
        <v>7634</v>
      </c>
    </row>
    <row r="1401" spans="1:13">
      <c r="A1401" s="408" t="s">
        <v>3834</v>
      </c>
      <c r="B1401" s="106" t="s">
        <v>327</v>
      </c>
      <c r="C1401" s="106" t="s">
        <v>473</v>
      </c>
      <c r="D1401" s="107" t="s">
        <v>3835</v>
      </c>
      <c r="E1401" s="109" t="s">
        <v>355</v>
      </c>
      <c r="F1401" s="109" t="s">
        <v>355</v>
      </c>
      <c r="G1401" s="55" t="s">
        <v>355</v>
      </c>
      <c r="H1401" s="108" t="s">
        <v>402</v>
      </c>
      <c r="I1401" s="111" t="s">
        <v>402</v>
      </c>
      <c r="J1401" s="111" t="s">
        <v>402</v>
      </c>
      <c r="K1401" s="106" t="s">
        <v>403</v>
      </c>
      <c r="L1401" s="55" t="s">
        <v>404</v>
      </c>
      <c r="M1401" s="55" t="s">
        <v>7634</v>
      </c>
    </row>
    <row r="1402" spans="1:13">
      <c r="A1402" s="408" t="s">
        <v>3836</v>
      </c>
      <c r="B1402" s="106" t="s">
        <v>327</v>
      </c>
      <c r="C1402" s="106" t="s">
        <v>473</v>
      </c>
      <c r="D1402" s="107" t="s">
        <v>3837</v>
      </c>
      <c r="E1402" s="109" t="s">
        <v>355</v>
      </c>
      <c r="F1402" s="109" t="s">
        <v>355</v>
      </c>
      <c r="G1402" s="55" t="s">
        <v>355</v>
      </c>
      <c r="H1402" s="108" t="s">
        <v>402</v>
      </c>
      <c r="I1402" s="111" t="s">
        <v>402</v>
      </c>
      <c r="J1402" s="111" t="s">
        <v>402</v>
      </c>
      <c r="K1402" s="106" t="s">
        <v>403</v>
      </c>
      <c r="L1402" s="55" t="s">
        <v>404</v>
      </c>
      <c r="M1402" s="55" t="s">
        <v>7634</v>
      </c>
    </row>
    <row r="1403" spans="1:13">
      <c r="A1403" s="408" t="s">
        <v>3838</v>
      </c>
      <c r="B1403" s="106" t="s">
        <v>327</v>
      </c>
      <c r="C1403" s="106" t="s">
        <v>473</v>
      </c>
      <c r="D1403" s="107" t="s">
        <v>3839</v>
      </c>
      <c r="E1403" s="109" t="s">
        <v>355</v>
      </c>
      <c r="F1403" s="109" t="s">
        <v>355</v>
      </c>
      <c r="G1403" s="55" t="s">
        <v>355</v>
      </c>
      <c r="H1403" s="108" t="s">
        <v>402</v>
      </c>
      <c r="I1403" s="111" t="s">
        <v>402</v>
      </c>
      <c r="J1403" s="111" t="s">
        <v>402</v>
      </c>
      <c r="K1403" s="106" t="s">
        <v>403</v>
      </c>
      <c r="L1403" s="55" t="s">
        <v>404</v>
      </c>
      <c r="M1403" s="55" t="s">
        <v>7634</v>
      </c>
    </row>
    <row r="1404" spans="1:13">
      <c r="A1404" s="408" t="s">
        <v>3840</v>
      </c>
      <c r="B1404" s="106" t="s">
        <v>327</v>
      </c>
      <c r="C1404" s="106" t="s">
        <v>473</v>
      </c>
      <c r="D1404" s="107" t="s">
        <v>3841</v>
      </c>
      <c r="E1404" s="109" t="s">
        <v>355</v>
      </c>
      <c r="F1404" s="109" t="s">
        <v>355</v>
      </c>
      <c r="G1404" s="55" t="s">
        <v>355</v>
      </c>
      <c r="H1404" s="108" t="s">
        <v>402</v>
      </c>
      <c r="I1404" s="111" t="s">
        <v>402</v>
      </c>
      <c r="J1404" s="111" t="s">
        <v>402</v>
      </c>
      <c r="K1404" s="106" t="s">
        <v>403</v>
      </c>
      <c r="L1404" s="55" t="s">
        <v>404</v>
      </c>
      <c r="M1404" s="55" t="s">
        <v>7634</v>
      </c>
    </row>
    <row r="1405" spans="1:13">
      <c r="A1405" s="408" t="s">
        <v>3842</v>
      </c>
      <c r="B1405" s="106" t="s">
        <v>327</v>
      </c>
      <c r="C1405" s="106" t="s">
        <v>473</v>
      </c>
      <c r="D1405" s="107" t="s">
        <v>3843</v>
      </c>
      <c r="E1405" s="109" t="s">
        <v>355</v>
      </c>
      <c r="F1405" s="109" t="s">
        <v>355</v>
      </c>
      <c r="G1405" s="55" t="s">
        <v>355</v>
      </c>
      <c r="H1405" s="108" t="s">
        <v>402</v>
      </c>
      <c r="I1405" s="111" t="s">
        <v>402</v>
      </c>
      <c r="J1405" s="111" t="s">
        <v>402</v>
      </c>
      <c r="K1405" s="106" t="s">
        <v>403</v>
      </c>
      <c r="L1405" s="55" t="s">
        <v>404</v>
      </c>
      <c r="M1405" s="55" t="s">
        <v>7634</v>
      </c>
    </row>
    <row r="1406" spans="1:13">
      <c r="A1406" s="408" t="s">
        <v>3844</v>
      </c>
      <c r="B1406" s="106" t="s">
        <v>327</v>
      </c>
      <c r="C1406" s="106" t="s">
        <v>473</v>
      </c>
      <c r="D1406" s="107" t="s">
        <v>3845</v>
      </c>
      <c r="E1406" s="109" t="s">
        <v>355</v>
      </c>
      <c r="F1406" s="109" t="s">
        <v>355</v>
      </c>
      <c r="G1406" s="55" t="s">
        <v>355</v>
      </c>
      <c r="H1406" s="108" t="s">
        <v>402</v>
      </c>
      <c r="I1406" s="111" t="s">
        <v>402</v>
      </c>
      <c r="J1406" s="111" t="s">
        <v>402</v>
      </c>
      <c r="K1406" s="106" t="s">
        <v>403</v>
      </c>
      <c r="L1406" s="55" t="s">
        <v>404</v>
      </c>
      <c r="M1406" s="55" t="s">
        <v>7634</v>
      </c>
    </row>
    <row r="1407" spans="1:13">
      <c r="A1407" s="408" t="s">
        <v>3846</v>
      </c>
      <c r="B1407" s="106" t="s">
        <v>327</v>
      </c>
      <c r="C1407" s="106" t="s">
        <v>473</v>
      </c>
      <c r="D1407" s="107" t="s">
        <v>3847</v>
      </c>
      <c r="E1407" s="109" t="s">
        <v>355</v>
      </c>
      <c r="F1407" s="109" t="s">
        <v>355</v>
      </c>
      <c r="G1407" s="55" t="s">
        <v>355</v>
      </c>
      <c r="H1407" s="108" t="s">
        <v>402</v>
      </c>
      <c r="I1407" s="111" t="s">
        <v>402</v>
      </c>
      <c r="J1407" s="111" t="s">
        <v>402</v>
      </c>
      <c r="K1407" s="106" t="s">
        <v>403</v>
      </c>
      <c r="L1407" s="55" t="s">
        <v>404</v>
      </c>
      <c r="M1407" s="55" t="s">
        <v>7634</v>
      </c>
    </row>
    <row r="1408" spans="1:13">
      <c r="A1408" s="401" t="s">
        <v>3848</v>
      </c>
      <c r="B1408" s="106" t="s">
        <v>327</v>
      </c>
      <c r="C1408" s="106" t="s">
        <v>473</v>
      </c>
      <c r="D1408" s="109" t="s">
        <v>3849</v>
      </c>
      <c r="E1408" s="109" t="s">
        <v>3850</v>
      </c>
      <c r="F1408" s="110" t="s">
        <v>383</v>
      </c>
      <c r="G1408" s="112" t="s">
        <v>3851</v>
      </c>
      <c r="H1408" s="115" t="s">
        <v>402</v>
      </c>
      <c r="I1408" s="111" t="s">
        <v>402</v>
      </c>
      <c r="J1408" s="111" t="s">
        <v>402</v>
      </c>
      <c r="K1408" s="115" t="s">
        <v>403</v>
      </c>
      <c r="L1408" s="55" t="s">
        <v>404</v>
      </c>
      <c r="M1408" s="113" t="s">
        <v>1173</v>
      </c>
    </row>
    <row r="1409" spans="1:13">
      <c r="A1409" s="401" t="s">
        <v>3852</v>
      </c>
      <c r="B1409" s="106" t="s">
        <v>327</v>
      </c>
      <c r="C1409" s="106" t="s">
        <v>473</v>
      </c>
      <c r="D1409" s="109" t="s">
        <v>3853</v>
      </c>
      <c r="E1409" s="109" t="s">
        <v>3854</v>
      </c>
      <c r="F1409" s="109" t="s">
        <v>3855</v>
      </c>
      <c r="G1409" s="117" t="s">
        <v>383</v>
      </c>
      <c r="H1409" s="115" t="s">
        <v>402</v>
      </c>
      <c r="I1409" s="111" t="s">
        <v>402</v>
      </c>
      <c r="J1409" s="111" t="s">
        <v>402</v>
      </c>
      <c r="K1409" s="115" t="s">
        <v>403</v>
      </c>
      <c r="L1409" s="55" t="s">
        <v>404</v>
      </c>
      <c r="M1409" s="113" t="s">
        <v>1173</v>
      </c>
    </row>
    <row r="1410" spans="1:13">
      <c r="A1410" s="408" t="s">
        <v>3856</v>
      </c>
      <c r="B1410" s="106" t="s">
        <v>327</v>
      </c>
      <c r="C1410" s="106" t="s">
        <v>473</v>
      </c>
      <c r="D1410" s="107" t="s">
        <v>3857</v>
      </c>
      <c r="E1410" s="109" t="s">
        <v>355</v>
      </c>
      <c r="F1410" s="109" t="s">
        <v>355</v>
      </c>
      <c r="G1410" s="55" t="s">
        <v>355</v>
      </c>
      <c r="H1410" s="108" t="s">
        <v>402</v>
      </c>
      <c r="I1410" s="111" t="s">
        <v>402</v>
      </c>
      <c r="J1410" s="111" t="s">
        <v>402</v>
      </c>
      <c r="K1410" s="106" t="s">
        <v>403</v>
      </c>
      <c r="L1410" s="55" t="s">
        <v>404</v>
      </c>
      <c r="M1410" s="55" t="s">
        <v>7634</v>
      </c>
    </row>
    <row r="1411" spans="1:13">
      <c r="A1411" s="408" t="s">
        <v>3858</v>
      </c>
      <c r="B1411" s="106" t="s">
        <v>327</v>
      </c>
      <c r="C1411" s="106" t="s">
        <v>473</v>
      </c>
      <c r="D1411" s="107" t="s">
        <v>3859</v>
      </c>
      <c r="E1411" s="109" t="s">
        <v>355</v>
      </c>
      <c r="F1411" s="109" t="s">
        <v>355</v>
      </c>
      <c r="G1411" s="55" t="s">
        <v>355</v>
      </c>
      <c r="H1411" s="108" t="s">
        <v>402</v>
      </c>
      <c r="I1411" s="111" t="s">
        <v>402</v>
      </c>
      <c r="J1411" s="111" t="s">
        <v>402</v>
      </c>
      <c r="K1411" s="106" t="s">
        <v>403</v>
      </c>
      <c r="L1411" s="55" t="s">
        <v>404</v>
      </c>
      <c r="M1411" s="55" t="s">
        <v>7634</v>
      </c>
    </row>
    <row r="1412" spans="1:13">
      <c r="A1412" s="408" t="s">
        <v>3860</v>
      </c>
      <c r="B1412" s="106" t="s">
        <v>327</v>
      </c>
      <c r="C1412" s="106" t="s">
        <v>473</v>
      </c>
      <c r="D1412" s="107" t="s">
        <v>3861</v>
      </c>
      <c r="E1412" s="109" t="s">
        <v>355</v>
      </c>
      <c r="F1412" s="109" t="s">
        <v>355</v>
      </c>
      <c r="G1412" s="55" t="s">
        <v>355</v>
      </c>
      <c r="H1412" s="108" t="s">
        <v>402</v>
      </c>
      <c r="I1412" s="111" t="s">
        <v>402</v>
      </c>
      <c r="J1412" s="111" t="s">
        <v>402</v>
      </c>
      <c r="K1412" s="106" t="s">
        <v>403</v>
      </c>
      <c r="L1412" s="55" t="s">
        <v>404</v>
      </c>
      <c r="M1412" s="55" t="s">
        <v>7634</v>
      </c>
    </row>
    <row r="1413" spans="1:13">
      <c r="A1413" s="401" t="s">
        <v>3862</v>
      </c>
      <c r="B1413" s="106" t="s">
        <v>327</v>
      </c>
      <c r="C1413" s="106" t="s">
        <v>473</v>
      </c>
      <c r="D1413" s="109" t="s">
        <v>3863</v>
      </c>
      <c r="E1413" s="109" t="s">
        <v>3864</v>
      </c>
      <c r="F1413" s="110" t="s">
        <v>3865</v>
      </c>
      <c r="G1413" s="114" t="s">
        <v>383</v>
      </c>
      <c r="H1413" s="115" t="s">
        <v>402</v>
      </c>
      <c r="I1413" s="111" t="s">
        <v>402</v>
      </c>
      <c r="J1413" s="111" t="s">
        <v>402</v>
      </c>
      <c r="K1413" s="106" t="s">
        <v>403</v>
      </c>
      <c r="L1413" s="55" t="s">
        <v>404</v>
      </c>
      <c r="M1413" s="113" t="s">
        <v>1173</v>
      </c>
    </row>
    <row r="1414" spans="1:13">
      <c r="A1414" s="408" t="s">
        <v>3866</v>
      </c>
      <c r="B1414" s="106" t="s">
        <v>327</v>
      </c>
      <c r="C1414" s="106" t="s">
        <v>473</v>
      </c>
      <c r="D1414" s="107" t="s">
        <v>3867</v>
      </c>
      <c r="E1414" s="109" t="s">
        <v>355</v>
      </c>
      <c r="F1414" s="109" t="s">
        <v>355</v>
      </c>
      <c r="G1414" s="55" t="s">
        <v>355</v>
      </c>
      <c r="H1414" s="108" t="s">
        <v>402</v>
      </c>
      <c r="I1414" s="111" t="s">
        <v>402</v>
      </c>
      <c r="J1414" s="111" t="s">
        <v>402</v>
      </c>
      <c r="K1414" s="106" t="s">
        <v>403</v>
      </c>
      <c r="L1414" s="55" t="s">
        <v>404</v>
      </c>
      <c r="M1414" s="55" t="s">
        <v>7634</v>
      </c>
    </row>
    <row r="1415" spans="1:13">
      <c r="A1415" s="578" t="s">
        <v>3868</v>
      </c>
      <c r="B1415" s="586" t="s">
        <v>473</v>
      </c>
      <c r="C1415" s="586" t="s">
        <v>473</v>
      </c>
      <c r="D1415" s="586" t="s">
        <v>3869</v>
      </c>
      <c r="E1415" s="586" t="s">
        <v>3060</v>
      </c>
      <c r="F1415" s="586" t="s">
        <v>3870</v>
      </c>
      <c r="G1415" s="586" t="s">
        <v>377</v>
      </c>
      <c r="H1415" s="586" t="s">
        <v>359</v>
      </c>
      <c r="I1415" s="587" t="s">
        <v>359</v>
      </c>
      <c r="J1415" s="586"/>
      <c r="K1415" s="586" t="s">
        <v>360</v>
      </c>
      <c r="L1415" s="586" t="s">
        <v>361</v>
      </c>
      <c r="M1415" s="55" t="s">
        <v>7634</v>
      </c>
    </row>
    <row r="1416" spans="1:13">
      <c r="A1416" s="408" t="s">
        <v>3871</v>
      </c>
      <c r="B1416" s="106" t="s">
        <v>327</v>
      </c>
      <c r="C1416" s="106" t="s">
        <v>473</v>
      </c>
      <c r="D1416" s="107" t="s">
        <v>3872</v>
      </c>
      <c r="E1416" s="109" t="s">
        <v>355</v>
      </c>
      <c r="F1416" s="109" t="s">
        <v>355</v>
      </c>
      <c r="G1416" s="55" t="s">
        <v>355</v>
      </c>
      <c r="H1416" s="108" t="s">
        <v>402</v>
      </c>
      <c r="I1416" s="111" t="s">
        <v>402</v>
      </c>
      <c r="J1416" s="111" t="s">
        <v>402</v>
      </c>
      <c r="K1416" s="106" t="s">
        <v>403</v>
      </c>
      <c r="L1416" s="55" t="s">
        <v>404</v>
      </c>
      <c r="M1416" s="55" t="s">
        <v>7634</v>
      </c>
    </row>
    <row r="1417" spans="1:13">
      <c r="A1417" s="408" t="s">
        <v>3873</v>
      </c>
      <c r="B1417" s="106" t="s">
        <v>327</v>
      </c>
      <c r="C1417" s="106" t="s">
        <v>473</v>
      </c>
      <c r="D1417" s="107" t="s">
        <v>3874</v>
      </c>
      <c r="E1417" s="107" t="s">
        <v>3875</v>
      </c>
      <c r="F1417" s="107" t="s">
        <v>3876</v>
      </c>
      <c r="G1417" s="114"/>
      <c r="H1417" s="108" t="s">
        <v>402</v>
      </c>
      <c r="I1417" s="111" t="s">
        <v>402</v>
      </c>
      <c r="J1417" s="111" t="s">
        <v>402</v>
      </c>
      <c r="K1417" s="106" t="s">
        <v>403</v>
      </c>
      <c r="L1417" s="55" t="s">
        <v>404</v>
      </c>
      <c r="M1417" s="55" t="s">
        <v>7634</v>
      </c>
    </row>
    <row r="1418" spans="1:13">
      <c r="A1418" s="408" t="s">
        <v>3877</v>
      </c>
      <c r="B1418" s="106" t="s">
        <v>327</v>
      </c>
      <c r="C1418" s="106" t="s">
        <v>473</v>
      </c>
      <c r="D1418" s="107" t="s">
        <v>3878</v>
      </c>
      <c r="E1418" s="109" t="s">
        <v>355</v>
      </c>
      <c r="F1418" s="109" t="s">
        <v>355</v>
      </c>
      <c r="G1418" s="55" t="s">
        <v>355</v>
      </c>
      <c r="H1418" s="108" t="s">
        <v>402</v>
      </c>
      <c r="I1418" s="111" t="s">
        <v>402</v>
      </c>
      <c r="J1418" s="111" t="s">
        <v>402</v>
      </c>
      <c r="K1418" s="106" t="s">
        <v>403</v>
      </c>
      <c r="L1418" s="55" t="s">
        <v>404</v>
      </c>
      <c r="M1418" s="55" t="s">
        <v>7634</v>
      </c>
    </row>
    <row r="1419" spans="1:13">
      <c r="A1419" s="408" t="s">
        <v>3879</v>
      </c>
      <c r="B1419" s="106" t="s">
        <v>327</v>
      </c>
      <c r="C1419" s="106" t="s">
        <v>473</v>
      </c>
      <c r="D1419" s="107" t="s">
        <v>3880</v>
      </c>
      <c r="E1419" s="107" t="s">
        <v>3881</v>
      </c>
      <c r="F1419" s="107" t="s">
        <v>3882</v>
      </c>
      <c r="G1419" s="114" t="s">
        <v>355</v>
      </c>
      <c r="H1419" s="108" t="s">
        <v>402</v>
      </c>
      <c r="I1419" s="111" t="s">
        <v>402</v>
      </c>
      <c r="J1419" s="111" t="s">
        <v>402</v>
      </c>
      <c r="K1419" s="106" t="s">
        <v>403</v>
      </c>
      <c r="L1419" s="55" t="s">
        <v>404</v>
      </c>
      <c r="M1419" s="55" t="s">
        <v>7634</v>
      </c>
    </row>
    <row r="1420" spans="1:13">
      <c r="A1420" s="408" t="s">
        <v>3883</v>
      </c>
      <c r="B1420" s="106" t="s">
        <v>327</v>
      </c>
      <c r="C1420" s="106" t="s">
        <v>473</v>
      </c>
      <c r="D1420" s="107" t="s">
        <v>3884</v>
      </c>
      <c r="E1420" s="109" t="s">
        <v>355</v>
      </c>
      <c r="F1420" s="109" t="s">
        <v>355</v>
      </c>
      <c r="G1420" s="55" t="s">
        <v>355</v>
      </c>
      <c r="H1420" s="108" t="s">
        <v>402</v>
      </c>
      <c r="I1420" s="111" t="s">
        <v>402</v>
      </c>
      <c r="J1420" s="111" t="s">
        <v>402</v>
      </c>
      <c r="K1420" s="106" t="s">
        <v>403</v>
      </c>
      <c r="L1420" s="55" t="s">
        <v>404</v>
      </c>
      <c r="M1420" s="55" t="s">
        <v>7634</v>
      </c>
    </row>
    <row r="1421" spans="1:13">
      <c r="A1421" s="408" t="s">
        <v>3885</v>
      </c>
      <c r="B1421" s="106" t="s">
        <v>327</v>
      </c>
      <c r="C1421" s="106" t="s">
        <v>473</v>
      </c>
      <c r="D1421" s="107" t="s">
        <v>3886</v>
      </c>
      <c r="E1421" s="109" t="s">
        <v>355</v>
      </c>
      <c r="F1421" s="109" t="s">
        <v>355</v>
      </c>
      <c r="G1421" s="55" t="s">
        <v>355</v>
      </c>
      <c r="H1421" s="108" t="s">
        <v>402</v>
      </c>
      <c r="I1421" s="111" t="s">
        <v>402</v>
      </c>
      <c r="J1421" s="111" t="s">
        <v>402</v>
      </c>
      <c r="K1421" s="106" t="s">
        <v>403</v>
      </c>
      <c r="L1421" s="55" t="s">
        <v>404</v>
      </c>
      <c r="M1421" s="55" t="s">
        <v>7634</v>
      </c>
    </row>
    <row r="1422" spans="1:13">
      <c r="A1422" s="408" t="s">
        <v>3887</v>
      </c>
      <c r="B1422" s="106" t="s">
        <v>327</v>
      </c>
      <c r="C1422" s="106" t="s">
        <v>473</v>
      </c>
      <c r="D1422" s="107" t="s">
        <v>3888</v>
      </c>
      <c r="E1422" s="109" t="s">
        <v>355</v>
      </c>
      <c r="F1422" s="109" t="s">
        <v>355</v>
      </c>
      <c r="G1422" s="55" t="s">
        <v>355</v>
      </c>
      <c r="H1422" s="108" t="s">
        <v>402</v>
      </c>
      <c r="I1422" s="111" t="s">
        <v>402</v>
      </c>
      <c r="J1422" s="111" t="s">
        <v>402</v>
      </c>
      <c r="K1422" s="106" t="s">
        <v>403</v>
      </c>
      <c r="L1422" s="55" t="s">
        <v>404</v>
      </c>
      <c r="M1422" s="55" t="s">
        <v>7634</v>
      </c>
    </row>
    <row r="1423" spans="1:13">
      <c r="A1423" s="408" t="s">
        <v>3889</v>
      </c>
      <c r="B1423" s="106" t="s">
        <v>327</v>
      </c>
      <c r="C1423" s="106" t="s">
        <v>473</v>
      </c>
      <c r="D1423" s="107" t="s">
        <v>3890</v>
      </c>
      <c r="E1423" s="109" t="s">
        <v>355</v>
      </c>
      <c r="F1423" s="109" t="s">
        <v>355</v>
      </c>
      <c r="G1423" s="55" t="s">
        <v>355</v>
      </c>
      <c r="H1423" s="108" t="s">
        <v>402</v>
      </c>
      <c r="I1423" s="111" t="s">
        <v>402</v>
      </c>
      <c r="J1423" s="111" t="s">
        <v>402</v>
      </c>
      <c r="K1423" s="106" t="s">
        <v>403</v>
      </c>
      <c r="L1423" s="55" t="s">
        <v>404</v>
      </c>
      <c r="M1423" s="55" t="s">
        <v>7634</v>
      </c>
    </row>
    <row r="1424" spans="1:13">
      <c r="A1424" s="401" t="s">
        <v>3891</v>
      </c>
      <c r="B1424" s="106" t="s">
        <v>327</v>
      </c>
      <c r="C1424" s="106" t="s">
        <v>473</v>
      </c>
      <c r="D1424" s="109" t="s">
        <v>3892</v>
      </c>
      <c r="E1424" s="109" t="s">
        <v>3893</v>
      </c>
      <c r="F1424" s="109" t="s">
        <v>3894</v>
      </c>
      <c r="G1424" s="114"/>
      <c r="H1424" s="115" t="s">
        <v>402</v>
      </c>
      <c r="I1424" s="111" t="s">
        <v>402</v>
      </c>
      <c r="J1424" s="111" t="s">
        <v>402</v>
      </c>
      <c r="K1424" s="106" t="s">
        <v>403</v>
      </c>
      <c r="L1424" s="55" t="s">
        <v>1200</v>
      </c>
      <c r="M1424" s="113" t="s">
        <v>1173</v>
      </c>
    </row>
    <row r="1425" spans="1:13">
      <c r="A1425" s="401" t="s">
        <v>3895</v>
      </c>
      <c r="B1425" s="106" t="s">
        <v>327</v>
      </c>
      <c r="C1425" s="106" t="s">
        <v>473</v>
      </c>
      <c r="D1425" s="109" t="s">
        <v>3896</v>
      </c>
      <c r="E1425" s="109" t="s">
        <v>3897</v>
      </c>
      <c r="F1425" s="109" t="s">
        <v>3898</v>
      </c>
      <c r="G1425" s="117" t="s">
        <v>383</v>
      </c>
      <c r="H1425" s="115" t="s">
        <v>402</v>
      </c>
      <c r="I1425" s="111" t="s">
        <v>402</v>
      </c>
      <c r="J1425" s="111" t="s">
        <v>402</v>
      </c>
      <c r="K1425" s="115" t="s">
        <v>403</v>
      </c>
      <c r="L1425" s="55" t="s">
        <v>404</v>
      </c>
      <c r="M1425" s="113" t="s">
        <v>1173</v>
      </c>
    </row>
    <row r="1426" spans="1:13">
      <c r="A1426" s="408" t="s">
        <v>3899</v>
      </c>
      <c r="B1426" s="106" t="s">
        <v>327</v>
      </c>
      <c r="C1426" s="106" t="s">
        <v>473</v>
      </c>
      <c r="D1426" s="107" t="s">
        <v>3900</v>
      </c>
      <c r="E1426" s="109" t="s">
        <v>355</v>
      </c>
      <c r="F1426" s="109" t="s">
        <v>355</v>
      </c>
      <c r="G1426" s="55" t="s">
        <v>355</v>
      </c>
      <c r="H1426" s="108" t="s">
        <v>402</v>
      </c>
      <c r="I1426" s="111" t="s">
        <v>402</v>
      </c>
      <c r="J1426" s="111" t="s">
        <v>402</v>
      </c>
      <c r="K1426" s="106" t="s">
        <v>403</v>
      </c>
      <c r="L1426" s="55" t="s">
        <v>404</v>
      </c>
      <c r="M1426" s="55" t="s">
        <v>7634</v>
      </c>
    </row>
    <row r="1427" spans="1:13">
      <c r="A1427" s="408" t="s">
        <v>3901</v>
      </c>
      <c r="B1427" s="106" t="s">
        <v>327</v>
      </c>
      <c r="C1427" s="106" t="s">
        <v>473</v>
      </c>
      <c r="D1427" s="107" t="s">
        <v>3902</v>
      </c>
      <c r="E1427" s="109" t="s">
        <v>355</v>
      </c>
      <c r="F1427" s="109" t="s">
        <v>355</v>
      </c>
      <c r="G1427" s="55" t="s">
        <v>355</v>
      </c>
      <c r="H1427" s="108" t="s">
        <v>402</v>
      </c>
      <c r="I1427" s="111" t="s">
        <v>402</v>
      </c>
      <c r="J1427" s="111" t="s">
        <v>402</v>
      </c>
      <c r="K1427" s="106" t="s">
        <v>403</v>
      </c>
      <c r="L1427" s="55" t="s">
        <v>404</v>
      </c>
      <c r="M1427" s="55" t="s">
        <v>7634</v>
      </c>
    </row>
    <row r="1428" spans="1:13">
      <c r="A1428" s="401" t="s">
        <v>3903</v>
      </c>
      <c r="B1428" s="106" t="s">
        <v>327</v>
      </c>
      <c r="C1428" s="106" t="s">
        <v>473</v>
      </c>
      <c r="D1428" s="109" t="s">
        <v>3904</v>
      </c>
      <c r="E1428" s="109" t="s">
        <v>3905</v>
      </c>
      <c r="F1428" s="110" t="s">
        <v>383</v>
      </c>
      <c r="G1428" s="590" t="s">
        <v>3906</v>
      </c>
      <c r="H1428" s="115" t="s">
        <v>402</v>
      </c>
      <c r="I1428" s="111" t="s">
        <v>402</v>
      </c>
      <c r="J1428" s="111" t="s">
        <v>402</v>
      </c>
      <c r="K1428" s="106" t="s">
        <v>403</v>
      </c>
      <c r="L1428" s="55" t="s">
        <v>404</v>
      </c>
      <c r="M1428" s="113" t="s">
        <v>383</v>
      </c>
    </row>
    <row r="1429" spans="1:13">
      <c r="A1429" s="408" t="s">
        <v>3907</v>
      </c>
      <c r="B1429" s="106" t="s">
        <v>327</v>
      </c>
      <c r="C1429" s="106" t="s">
        <v>473</v>
      </c>
      <c r="D1429" s="107" t="s">
        <v>3908</v>
      </c>
      <c r="E1429" s="109" t="s">
        <v>355</v>
      </c>
      <c r="F1429" s="109" t="s">
        <v>355</v>
      </c>
      <c r="G1429" s="55" t="s">
        <v>355</v>
      </c>
      <c r="H1429" s="108" t="s">
        <v>402</v>
      </c>
      <c r="I1429" s="111" t="s">
        <v>402</v>
      </c>
      <c r="J1429" s="111" t="s">
        <v>402</v>
      </c>
      <c r="K1429" s="106" t="s">
        <v>403</v>
      </c>
      <c r="L1429" s="55" t="s">
        <v>404</v>
      </c>
      <c r="M1429" s="55" t="s">
        <v>7634</v>
      </c>
    </row>
    <row r="1430" spans="1:13">
      <c r="A1430" s="408" t="s">
        <v>3909</v>
      </c>
      <c r="B1430" s="106" t="s">
        <v>327</v>
      </c>
      <c r="C1430" s="106" t="s">
        <v>473</v>
      </c>
      <c r="D1430" s="107" t="s">
        <v>3910</v>
      </c>
      <c r="E1430" s="109" t="s">
        <v>355</v>
      </c>
      <c r="F1430" s="109" t="s">
        <v>355</v>
      </c>
      <c r="G1430" s="55" t="s">
        <v>355</v>
      </c>
      <c r="H1430" s="108" t="s">
        <v>402</v>
      </c>
      <c r="I1430" s="111" t="s">
        <v>402</v>
      </c>
      <c r="J1430" s="111" t="s">
        <v>402</v>
      </c>
      <c r="K1430" s="106" t="s">
        <v>403</v>
      </c>
      <c r="L1430" s="55" t="s">
        <v>404</v>
      </c>
      <c r="M1430" s="55" t="s">
        <v>7634</v>
      </c>
    </row>
    <row r="1431" spans="1:13">
      <c r="A1431" s="401" t="s">
        <v>3911</v>
      </c>
      <c r="B1431" s="106" t="s">
        <v>327</v>
      </c>
      <c r="C1431" s="106" t="s">
        <v>473</v>
      </c>
      <c r="D1431" s="109" t="s">
        <v>3912</v>
      </c>
      <c r="E1431" s="109" t="s">
        <v>3079</v>
      </c>
      <c r="F1431" s="109" t="s">
        <v>3080</v>
      </c>
      <c r="G1431" s="117" t="s">
        <v>383</v>
      </c>
      <c r="H1431" s="115" t="s">
        <v>402</v>
      </c>
      <c r="I1431" s="111" t="s">
        <v>402</v>
      </c>
      <c r="J1431" s="111" t="s">
        <v>402</v>
      </c>
      <c r="K1431" s="106" t="s">
        <v>403</v>
      </c>
      <c r="L1431" s="55" t="s">
        <v>404</v>
      </c>
      <c r="M1431" s="55" t="s">
        <v>1173</v>
      </c>
    </row>
    <row r="1432" spans="1:13">
      <c r="A1432" s="408" t="s">
        <v>3913</v>
      </c>
      <c r="B1432" s="106" t="s">
        <v>327</v>
      </c>
      <c r="C1432" s="106" t="s">
        <v>473</v>
      </c>
      <c r="D1432" s="107" t="s">
        <v>3914</v>
      </c>
      <c r="E1432" s="109" t="s">
        <v>355</v>
      </c>
      <c r="F1432" s="109" t="s">
        <v>355</v>
      </c>
      <c r="G1432" s="55" t="s">
        <v>355</v>
      </c>
      <c r="H1432" s="108" t="s">
        <v>402</v>
      </c>
      <c r="I1432" s="111" t="s">
        <v>402</v>
      </c>
      <c r="J1432" s="111" t="s">
        <v>402</v>
      </c>
      <c r="K1432" s="106" t="s">
        <v>403</v>
      </c>
      <c r="L1432" s="55" t="s">
        <v>404</v>
      </c>
      <c r="M1432" s="55" t="s">
        <v>7634</v>
      </c>
    </row>
    <row r="1433" spans="1:13">
      <c r="A1433" s="401" t="s">
        <v>3915</v>
      </c>
      <c r="B1433" s="106" t="s">
        <v>327</v>
      </c>
      <c r="C1433" s="106" t="s">
        <v>473</v>
      </c>
      <c r="D1433" s="109" t="s">
        <v>3916</v>
      </c>
      <c r="E1433" s="109" t="s">
        <v>3917</v>
      </c>
      <c r="F1433" s="109" t="s">
        <v>3918</v>
      </c>
      <c r="G1433" s="117" t="s">
        <v>383</v>
      </c>
      <c r="H1433" s="115" t="s">
        <v>402</v>
      </c>
      <c r="I1433" s="111" t="s">
        <v>402</v>
      </c>
      <c r="J1433" s="111" t="s">
        <v>402</v>
      </c>
      <c r="K1433" s="115" t="s">
        <v>403</v>
      </c>
      <c r="L1433" s="55" t="s">
        <v>404</v>
      </c>
      <c r="M1433" s="113" t="s">
        <v>1173</v>
      </c>
    </row>
    <row r="1434" spans="1:13">
      <c r="A1434" s="408" t="s">
        <v>3919</v>
      </c>
      <c r="B1434" s="106" t="s">
        <v>327</v>
      </c>
      <c r="C1434" s="106" t="s">
        <v>473</v>
      </c>
      <c r="D1434" s="107" t="s">
        <v>3920</v>
      </c>
      <c r="E1434" s="109" t="s">
        <v>355</v>
      </c>
      <c r="F1434" s="109" t="s">
        <v>355</v>
      </c>
      <c r="G1434" s="55" t="s">
        <v>355</v>
      </c>
      <c r="H1434" s="108" t="s">
        <v>402</v>
      </c>
      <c r="I1434" s="111" t="s">
        <v>402</v>
      </c>
      <c r="J1434" s="111" t="s">
        <v>402</v>
      </c>
      <c r="K1434" s="106" t="s">
        <v>403</v>
      </c>
      <c r="L1434" s="55" t="s">
        <v>404</v>
      </c>
      <c r="M1434" s="55" t="s">
        <v>7634</v>
      </c>
    </row>
    <row r="1435" spans="1:13">
      <c r="A1435" s="408" t="s">
        <v>3921</v>
      </c>
      <c r="B1435" s="106" t="s">
        <v>327</v>
      </c>
      <c r="C1435" s="106" t="s">
        <v>473</v>
      </c>
      <c r="D1435" s="107" t="s">
        <v>3922</v>
      </c>
      <c r="E1435" s="109" t="s">
        <v>355</v>
      </c>
      <c r="F1435" s="109" t="s">
        <v>355</v>
      </c>
      <c r="G1435" s="55" t="s">
        <v>355</v>
      </c>
      <c r="H1435" s="108" t="s">
        <v>402</v>
      </c>
      <c r="I1435" s="111" t="s">
        <v>402</v>
      </c>
      <c r="J1435" s="111" t="s">
        <v>402</v>
      </c>
      <c r="K1435" s="106" t="s">
        <v>403</v>
      </c>
      <c r="L1435" s="55" t="s">
        <v>404</v>
      </c>
      <c r="M1435" s="55" t="s">
        <v>7634</v>
      </c>
    </row>
    <row r="1436" spans="1:13">
      <c r="A1436" s="401" t="s">
        <v>3923</v>
      </c>
      <c r="B1436" s="106" t="s">
        <v>327</v>
      </c>
      <c r="C1436" s="106" t="s">
        <v>473</v>
      </c>
      <c r="D1436" s="128" t="s">
        <v>3924</v>
      </c>
      <c r="E1436" s="109" t="s">
        <v>3925</v>
      </c>
      <c r="F1436" s="109" t="s">
        <v>3926</v>
      </c>
      <c r="G1436" s="117" t="s">
        <v>383</v>
      </c>
      <c r="H1436" s="115" t="s">
        <v>402</v>
      </c>
      <c r="I1436" s="111" t="s">
        <v>402</v>
      </c>
      <c r="J1436" s="111" t="s">
        <v>402</v>
      </c>
      <c r="K1436" s="115" t="s">
        <v>403</v>
      </c>
      <c r="L1436" s="55" t="s">
        <v>404</v>
      </c>
      <c r="M1436" s="113" t="s">
        <v>1173</v>
      </c>
    </row>
    <row r="1437" spans="1:13">
      <c r="A1437" s="578" t="s">
        <v>3927</v>
      </c>
      <c r="B1437" s="586" t="s">
        <v>473</v>
      </c>
      <c r="C1437" s="586" t="s">
        <v>473</v>
      </c>
      <c r="D1437" s="586" t="s">
        <v>3928</v>
      </c>
      <c r="E1437" s="586" t="s">
        <v>1225</v>
      </c>
      <c r="F1437" s="586" t="s">
        <v>3929</v>
      </c>
      <c r="G1437" s="586" t="s">
        <v>377</v>
      </c>
      <c r="H1437" s="586" t="s">
        <v>359</v>
      </c>
      <c r="I1437" s="587" t="s">
        <v>359</v>
      </c>
      <c r="J1437" s="586"/>
      <c r="K1437" s="586" t="s">
        <v>360</v>
      </c>
      <c r="L1437" s="586" t="s">
        <v>361</v>
      </c>
      <c r="M1437" s="55" t="s">
        <v>7634</v>
      </c>
    </row>
    <row r="1438" spans="1:13">
      <c r="A1438" s="408" t="s">
        <v>3930</v>
      </c>
      <c r="B1438" s="106" t="s">
        <v>327</v>
      </c>
      <c r="C1438" s="106" t="s">
        <v>473</v>
      </c>
      <c r="D1438" s="107" t="s">
        <v>3931</v>
      </c>
      <c r="E1438" s="109" t="s">
        <v>355</v>
      </c>
      <c r="F1438" s="109" t="s">
        <v>355</v>
      </c>
      <c r="G1438" s="55" t="s">
        <v>355</v>
      </c>
      <c r="H1438" s="108" t="s">
        <v>402</v>
      </c>
      <c r="I1438" s="111" t="s">
        <v>402</v>
      </c>
      <c r="J1438" s="111" t="s">
        <v>402</v>
      </c>
      <c r="K1438" s="106" t="s">
        <v>403</v>
      </c>
      <c r="L1438" s="55" t="s">
        <v>404</v>
      </c>
      <c r="M1438" s="55" t="s">
        <v>7634</v>
      </c>
    </row>
    <row r="1439" spans="1:13">
      <c r="A1439" s="401" t="s">
        <v>3932</v>
      </c>
      <c r="B1439" s="106" t="s">
        <v>327</v>
      </c>
      <c r="C1439" s="106" t="s">
        <v>473</v>
      </c>
      <c r="D1439" s="109" t="s">
        <v>3933</v>
      </c>
      <c r="E1439" s="109" t="s">
        <v>1886</v>
      </c>
      <c r="F1439" s="109" t="s">
        <v>3934</v>
      </c>
      <c r="G1439" s="117" t="s">
        <v>383</v>
      </c>
      <c r="H1439" s="115" t="s">
        <v>402</v>
      </c>
      <c r="I1439" s="111" t="s">
        <v>402</v>
      </c>
      <c r="J1439" s="111" t="s">
        <v>402</v>
      </c>
      <c r="K1439" s="115" t="s">
        <v>403</v>
      </c>
      <c r="L1439" s="55" t="s">
        <v>404</v>
      </c>
      <c r="M1439" s="113" t="s">
        <v>383</v>
      </c>
    </row>
    <row r="1440" spans="1:13">
      <c r="A1440" s="408" t="s">
        <v>3935</v>
      </c>
      <c r="B1440" s="106" t="s">
        <v>327</v>
      </c>
      <c r="C1440" s="106" t="s">
        <v>473</v>
      </c>
      <c r="D1440" s="107" t="s">
        <v>3936</v>
      </c>
      <c r="E1440" s="109" t="s">
        <v>355</v>
      </c>
      <c r="F1440" s="109" t="s">
        <v>355</v>
      </c>
      <c r="G1440" s="55" t="s">
        <v>355</v>
      </c>
      <c r="H1440" s="108" t="s">
        <v>402</v>
      </c>
      <c r="I1440" s="111" t="s">
        <v>402</v>
      </c>
      <c r="J1440" s="111" t="s">
        <v>402</v>
      </c>
      <c r="K1440" s="106" t="s">
        <v>403</v>
      </c>
      <c r="L1440" s="55" t="s">
        <v>404</v>
      </c>
      <c r="M1440" s="55" t="s">
        <v>7634</v>
      </c>
    </row>
    <row r="1441" spans="1:13">
      <c r="A1441" s="408" t="s">
        <v>3937</v>
      </c>
      <c r="B1441" s="106" t="s">
        <v>327</v>
      </c>
      <c r="C1441" s="106" t="s">
        <v>473</v>
      </c>
      <c r="D1441" s="107" t="s">
        <v>3938</v>
      </c>
      <c r="E1441" s="109" t="s">
        <v>355</v>
      </c>
      <c r="F1441" s="109" t="s">
        <v>355</v>
      </c>
      <c r="G1441" s="55" t="s">
        <v>355</v>
      </c>
      <c r="H1441" s="108" t="s">
        <v>402</v>
      </c>
      <c r="I1441" s="111" t="s">
        <v>402</v>
      </c>
      <c r="J1441" s="111" t="s">
        <v>402</v>
      </c>
      <c r="K1441" s="106" t="s">
        <v>403</v>
      </c>
      <c r="L1441" s="55" t="s">
        <v>404</v>
      </c>
      <c r="M1441" s="55" t="s">
        <v>7634</v>
      </c>
    </row>
    <row r="1442" spans="1:13">
      <c r="A1442" s="401" t="s">
        <v>3939</v>
      </c>
      <c r="B1442" s="106" t="s">
        <v>327</v>
      </c>
      <c r="C1442" s="106" t="s">
        <v>473</v>
      </c>
      <c r="D1442" s="109" t="s">
        <v>3940</v>
      </c>
      <c r="E1442" s="109" t="s">
        <v>3941</v>
      </c>
      <c r="F1442" s="109" t="s">
        <v>3942</v>
      </c>
      <c r="G1442" s="112" t="s">
        <v>3943</v>
      </c>
      <c r="H1442" s="115" t="s">
        <v>402</v>
      </c>
      <c r="I1442" s="111" t="s">
        <v>402</v>
      </c>
      <c r="J1442" s="111" t="s">
        <v>402</v>
      </c>
      <c r="K1442" s="115" t="s">
        <v>403</v>
      </c>
      <c r="L1442" s="55" t="s">
        <v>404</v>
      </c>
      <c r="M1442" s="113" t="s">
        <v>383</v>
      </c>
    </row>
    <row r="1443" spans="1:13">
      <c r="A1443" s="408" t="s">
        <v>3944</v>
      </c>
      <c r="B1443" s="106" t="s">
        <v>327</v>
      </c>
      <c r="C1443" s="106" t="s">
        <v>473</v>
      </c>
      <c r="D1443" s="107" t="s">
        <v>3945</v>
      </c>
      <c r="E1443" s="109" t="s">
        <v>355</v>
      </c>
      <c r="F1443" s="109" t="s">
        <v>355</v>
      </c>
      <c r="G1443" s="55" t="s">
        <v>355</v>
      </c>
      <c r="H1443" s="108" t="s">
        <v>402</v>
      </c>
      <c r="I1443" s="111" t="s">
        <v>402</v>
      </c>
      <c r="J1443" s="111" t="s">
        <v>402</v>
      </c>
      <c r="K1443" s="106" t="s">
        <v>403</v>
      </c>
      <c r="L1443" s="55" t="s">
        <v>404</v>
      </c>
      <c r="M1443" s="55" t="s">
        <v>7634</v>
      </c>
    </row>
    <row r="1444" spans="1:13">
      <c r="A1444" s="408" t="s">
        <v>3946</v>
      </c>
      <c r="B1444" s="106" t="s">
        <v>327</v>
      </c>
      <c r="C1444" s="106" t="s">
        <v>473</v>
      </c>
      <c r="D1444" s="107" t="s">
        <v>3947</v>
      </c>
      <c r="E1444" s="109" t="s">
        <v>355</v>
      </c>
      <c r="F1444" s="109" t="s">
        <v>355</v>
      </c>
      <c r="G1444" s="55" t="s">
        <v>355</v>
      </c>
      <c r="H1444" s="108" t="s">
        <v>402</v>
      </c>
      <c r="I1444" s="111" t="s">
        <v>402</v>
      </c>
      <c r="J1444" s="111" t="s">
        <v>402</v>
      </c>
      <c r="K1444" s="106" t="s">
        <v>403</v>
      </c>
      <c r="L1444" s="55" t="s">
        <v>404</v>
      </c>
      <c r="M1444" s="55" t="s">
        <v>7634</v>
      </c>
    </row>
    <row r="1445" spans="1:13">
      <c r="A1445" s="408" t="s">
        <v>3948</v>
      </c>
      <c r="B1445" s="106" t="s">
        <v>327</v>
      </c>
      <c r="C1445" s="106" t="s">
        <v>473</v>
      </c>
      <c r="D1445" s="107" t="s">
        <v>3949</v>
      </c>
      <c r="E1445" s="109" t="s">
        <v>355</v>
      </c>
      <c r="F1445" s="109" t="s">
        <v>355</v>
      </c>
      <c r="G1445" s="55" t="s">
        <v>355</v>
      </c>
      <c r="H1445" s="108" t="s">
        <v>402</v>
      </c>
      <c r="I1445" s="111" t="s">
        <v>402</v>
      </c>
      <c r="J1445" s="111" t="s">
        <v>402</v>
      </c>
      <c r="K1445" s="106" t="s">
        <v>403</v>
      </c>
      <c r="L1445" s="55" t="s">
        <v>404</v>
      </c>
      <c r="M1445" s="55" t="s">
        <v>7634</v>
      </c>
    </row>
    <row r="1446" spans="1:13">
      <c r="A1446" s="401" t="s">
        <v>3950</v>
      </c>
      <c r="B1446" s="106" t="s">
        <v>327</v>
      </c>
      <c r="C1446" s="106" t="s">
        <v>473</v>
      </c>
      <c r="D1446" s="109" t="s">
        <v>3951</v>
      </c>
      <c r="E1446" s="109" t="s">
        <v>3952</v>
      </c>
      <c r="F1446" s="109" t="s">
        <v>3953</v>
      </c>
      <c r="G1446" s="114" t="s">
        <v>383</v>
      </c>
      <c r="H1446" s="115" t="s">
        <v>402</v>
      </c>
      <c r="I1446" s="111" t="s">
        <v>402</v>
      </c>
      <c r="J1446" s="111" t="s">
        <v>402</v>
      </c>
      <c r="K1446" s="115" t="s">
        <v>403</v>
      </c>
      <c r="L1446" s="55" t="s">
        <v>404</v>
      </c>
      <c r="M1446" s="113" t="s">
        <v>1173</v>
      </c>
    </row>
    <row r="1447" spans="1:13">
      <c r="A1447" s="408" t="s">
        <v>3954</v>
      </c>
      <c r="B1447" s="106" t="s">
        <v>327</v>
      </c>
      <c r="C1447" s="106" t="s">
        <v>473</v>
      </c>
      <c r="D1447" s="107" t="s">
        <v>3955</v>
      </c>
      <c r="E1447" s="109" t="s">
        <v>355</v>
      </c>
      <c r="F1447" s="109" t="s">
        <v>355</v>
      </c>
      <c r="G1447" s="55" t="s">
        <v>355</v>
      </c>
      <c r="H1447" s="108" t="s">
        <v>402</v>
      </c>
      <c r="I1447" s="111" t="s">
        <v>402</v>
      </c>
      <c r="J1447" s="111" t="s">
        <v>402</v>
      </c>
      <c r="K1447" s="106" t="s">
        <v>403</v>
      </c>
      <c r="L1447" s="55" t="s">
        <v>404</v>
      </c>
      <c r="M1447" s="55" t="s">
        <v>7634</v>
      </c>
    </row>
    <row r="1448" spans="1:13">
      <c r="A1448" s="408" t="s">
        <v>3956</v>
      </c>
      <c r="B1448" s="106" t="s">
        <v>327</v>
      </c>
      <c r="C1448" s="106" t="s">
        <v>473</v>
      </c>
      <c r="D1448" s="107" t="s">
        <v>3957</v>
      </c>
      <c r="E1448" s="109" t="s">
        <v>355</v>
      </c>
      <c r="F1448" s="109" t="s">
        <v>355</v>
      </c>
      <c r="G1448" s="55" t="s">
        <v>355</v>
      </c>
      <c r="H1448" s="108" t="s">
        <v>402</v>
      </c>
      <c r="I1448" s="111" t="s">
        <v>402</v>
      </c>
      <c r="J1448" s="111" t="s">
        <v>402</v>
      </c>
      <c r="K1448" s="106" t="s">
        <v>403</v>
      </c>
      <c r="L1448" s="55" t="s">
        <v>404</v>
      </c>
      <c r="M1448" s="55" t="s">
        <v>7634</v>
      </c>
    </row>
    <row r="1449" spans="1:13">
      <c r="A1449" s="408" t="s">
        <v>3958</v>
      </c>
      <c r="B1449" s="106" t="s">
        <v>327</v>
      </c>
      <c r="C1449" s="106" t="s">
        <v>473</v>
      </c>
      <c r="D1449" s="107" t="s">
        <v>3959</v>
      </c>
      <c r="E1449" s="109" t="s">
        <v>355</v>
      </c>
      <c r="F1449" s="109" t="s">
        <v>355</v>
      </c>
      <c r="G1449" s="55" t="s">
        <v>355</v>
      </c>
      <c r="H1449" s="108" t="s">
        <v>402</v>
      </c>
      <c r="I1449" s="111" t="s">
        <v>402</v>
      </c>
      <c r="J1449" s="111" t="s">
        <v>402</v>
      </c>
      <c r="K1449" s="106" t="s">
        <v>403</v>
      </c>
      <c r="L1449" s="55" t="s">
        <v>404</v>
      </c>
      <c r="M1449" s="55" t="s">
        <v>7634</v>
      </c>
    </row>
    <row r="1450" spans="1:13">
      <c r="A1450" s="408" t="s">
        <v>3960</v>
      </c>
      <c r="B1450" s="106" t="s">
        <v>327</v>
      </c>
      <c r="C1450" s="106" t="s">
        <v>473</v>
      </c>
      <c r="D1450" s="107" t="s">
        <v>3961</v>
      </c>
      <c r="E1450" s="109" t="s">
        <v>355</v>
      </c>
      <c r="F1450" s="109" t="s">
        <v>355</v>
      </c>
      <c r="G1450" s="55" t="s">
        <v>355</v>
      </c>
      <c r="H1450" s="108" t="s">
        <v>402</v>
      </c>
      <c r="I1450" s="111" t="s">
        <v>402</v>
      </c>
      <c r="J1450" s="111" t="s">
        <v>402</v>
      </c>
      <c r="K1450" s="106" t="s">
        <v>403</v>
      </c>
      <c r="L1450" s="55" t="s">
        <v>404</v>
      </c>
      <c r="M1450" s="55" t="s">
        <v>7634</v>
      </c>
    </row>
    <row r="1451" spans="1:13">
      <c r="A1451" s="408" t="s">
        <v>3962</v>
      </c>
      <c r="B1451" s="106" t="s">
        <v>327</v>
      </c>
      <c r="C1451" s="106" t="s">
        <v>473</v>
      </c>
      <c r="D1451" s="107" t="s">
        <v>3963</v>
      </c>
      <c r="E1451" s="109" t="s">
        <v>355</v>
      </c>
      <c r="F1451" s="109" t="s">
        <v>355</v>
      </c>
      <c r="G1451" s="55" t="s">
        <v>355</v>
      </c>
      <c r="H1451" s="108" t="s">
        <v>402</v>
      </c>
      <c r="I1451" s="111" t="s">
        <v>402</v>
      </c>
      <c r="J1451" s="111" t="s">
        <v>402</v>
      </c>
      <c r="K1451" s="106" t="s">
        <v>403</v>
      </c>
      <c r="L1451" s="55" t="s">
        <v>404</v>
      </c>
      <c r="M1451" s="55" t="s">
        <v>7634</v>
      </c>
    </row>
    <row r="1452" spans="1:13">
      <c r="A1452" s="408" t="s">
        <v>3964</v>
      </c>
      <c r="B1452" s="106" t="s">
        <v>327</v>
      </c>
      <c r="C1452" s="106" t="s">
        <v>473</v>
      </c>
      <c r="D1452" s="107" t="s">
        <v>3965</v>
      </c>
      <c r="E1452" s="109" t="s">
        <v>355</v>
      </c>
      <c r="F1452" s="109" t="s">
        <v>355</v>
      </c>
      <c r="G1452" s="55" t="s">
        <v>355</v>
      </c>
      <c r="H1452" s="108" t="s">
        <v>402</v>
      </c>
      <c r="I1452" s="111" t="s">
        <v>402</v>
      </c>
      <c r="J1452" s="111" t="s">
        <v>402</v>
      </c>
      <c r="K1452" s="106" t="s">
        <v>403</v>
      </c>
      <c r="L1452" s="55" t="s">
        <v>404</v>
      </c>
      <c r="M1452" s="55" t="s">
        <v>7634</v>
      </c>
    </row>
    <row r="1453" spans="1:13">
      <c r="A1453" s="408" t="s">
        <v>3966</v>
      </c>
      <c r="B1453" s="106" t="s">
        <v>327</v>
      </c>
      <c r="C1453" s="106" t="s">
        <v>473</v>
      </c>
      <c r="D1453" s="107" t="s">
        <v>3967</v>
      </c>
      <c r="E1453" s="109" t="s">
        <v>355</v>
      </c>
      <c r="F1453" s="109" t="s">
        <v>355</v>
      </c>
      <c r="G1453" s="55" t="s">
        <v>355</v>
      </c>
      <c r="H1453" s="108" t="s">
        <v>402</v>
      </c>
      <c r="I1453" s="111" t="s">
        <v>402</v>
      </c>
      <c r="J1453" s="111" t="s">
        <v>402</v>
      </c>
      <c r="K1453" s="106" t="s">
        <v>403</v>
      </c>
      <c r="L1453" s="55" t="s">
        <v>404</v>
      </c>
      <c r="M1453" s="55" t="s">
        <v>7634</v>
      </c>
    </row>
    <row r="1454" spans="1:13">
      <c r="A1454" s="408" t="s">
        <v>3968</v>
      </c>
      <c r="B1454" s="106" t="s">
        <v>327</v>
      </c>
      <c r="C1454" s="106" t="s">
        <v>473</v>
      </c>
      <c r="D1454" s="107" t="s">
        <v>3969</v>
      </c>
      <c r="E1454" s="109" t="s">
        <v>355</v>
      </c>
      <c r="F1454" s="109" t="s">
        <v>355</v>
      </c>
      <c r="G1454" s="55" t="s">
        <v>355</v>
      </c>
      <c r="H1454" s="108" t="s">
        <v>402</v>
      </c>
      <c r="I1454" s="111" t="s">
        <v>402</v>
      </c>
      <c r="J1454" s="111" t="s">
        <v>402</v>
      </c>
      <c r="K1454" s="106" t="s">
        <v>403</v>
      </c>
      <c r="L1454" s="55" t="s">
        <v>404</v>
      </c>
      <c r="M1454" s="55" t="s">
        <v>7634</v>
      </c>
    </row>
    <row r="1455" spans="1:13">
      <c r="A1455" s="408" t="s">
        <v>3970</v>
      </c>
      <c r="B1455" s="106" t="s">
        <v>327</v>
      </c>
      <c r="C1455" s="106" t="s">
        <v>473</v>
      </c>
      <c r="D1455" s="107" t="s">
        <v>3971</v>
      </c>
      <c r="E1455" s="109" t="s">
        <v>3972</v>
      </c>
      <c r="F1455" s="110" t="s">
        <v>3973</v>
      </c>
      <c r="G1455" s="114"/>
      <c r="H1455" s="108" t="s">
        <v>402</v>
      </c>
      <c r="I1455" s="111" t="s">
        <v>402</v>
      </c>
      <c r="J1455" s="111" t="s">
        <v>402</v>
      </c>
      <c r="K1455" s="106" t="s">
        <v>403</v>
      </c>
      <c r="L1455" s="55" t="s">
        <v>404</v>
      </c>
      <c r="M1455" s="55" t="s">
        <v>7634</v>
      </c>
    </row>
    <row r="1456" spans="1:13">
      <c r="A1456" s="401" t="s">
        <v>3974</v>
      </c>
      <c r="B1456" s="106" t="s">
        <v>327</v>
      </c>
      <c r="C1456" s="106" t="s">
        <v>473</v>
      </c>
      <c r="D1456" s="109" t="s">
        <v>3975</v>
      </c>
      <c r="E1456" s="109" t="s">
        <v>3976</v>
      </c>
      <c r="F1456" s="110" t="s">
        <v>3977</v>
      </c>
      <c r="G1456" s="114" t="s">
        <v>383</v>
      </c>
      <c r="H1456" s="115" t="s">
        <v>402</v>
      </c>
      <c r="I1456" s="111" t="s">
        <v>402</v>
      </c>
      <c r="J1456" s="111" t="s">
        <v>402</v>
      </c>
      <c r="K1456" s="106" t="s">
        <v>403</v>
      </c>
      <c r="L1456" s="55" t="s">
        <v>1200</v>
      </c>
      <c r="M1456" s="113" t="s">
        <v>1173</v>
      </c>
    </row>
    <row r="1457" spans="1:13">
      <c r="A1457" s="408" t="s">
        <v>3978</v>
      </c>
      <c r="B1457" s="106" t="s">
        <v>327</v>
      </c>
      <c r="C1457" s="106" t="s">
        <v>473</v>
      </c>
      <c r="D1457" s="107" t="s">
        <v>3979</v>
      </c>
      <c r="E1457" s="109" t="s">
        <v>355</v>
      </c>
      <c r="F1457" s="109" t="s">
        <v>355</v>
      </c>
      <c r="G1457" s="55" t="s">
        <v>355</v>
      </c>
      <c r="H1457" s="108" t="s">
        <v>402</v>
      </c>
      <c r="I1457" s="111" t="s">
        <v>402</v>
      </c>
      <c r="J1457" s="111" t="s">
        <v>402</v>
      </c>
      <c r="K1457" s="106" t="s">
        <v>403</v>
      </c>
      <c r="L1457" s="55" t="s">
        <v>404</v>
      </c>
      <c r="M1457" s="55" t="s">
        <v>7634</v>
      </c>
    </row>
    <row r="1458" spans="1:13">
      <c r="A1458" s="401" t="s">
        <v>3980</v>
      </c>
      <c r="B1458" s="106" t="s">
        <v>327</v>
      </c>
      <c r="C1458" s="106" t="s">
        <v>473</v>
      </c>
      <c r="D1458" s="109" t="s">
        <v>3981</v>
      </c>
      <c r="E1458" s="109" t="s">
        <v>1886</v>
      </c>
      <c r="F1458" s="109" t="s">
        <v>3982</v>
      </c>
      <c r="G1458" s="117" t="s">
        <v>383</v>
      </c>
      <c r="H1458" s="115" t="s">
        <v>402</v>
      </c>
      <c r="I1458" s="111" t="s">
        <v>402</v>
      </c>
      <c r="J1458" s="111" t="s">
        <v>402</v>
      </c>
      <c r="K1458" s="115" t="s">
        <v>403</v>
      </c>
      <c r="L1458" s="55" t="s">
        <v>404</v>
      </c>
      <c r="M1458" s="113" t="s">
        <v>1173</v>
      </c>
    </row>
    <row r="1459" spans="1:13">
      <c r="A1459" s="408" t="s">
        <v>3983</v>
      </c>
      <c r="B1459" s="106" t="s">
        <v>327</v>
      </c>
      <c r="C1459" s="106" t="s">
        <v>473</v>
      </c>
      <c r="D1459" s="107" t="s">
        <v>3984</v>
      </c>
      <c r="E1459" s="109" t="s">
        <v>355</v>
      </c>
      <c r="F1459" s="109" t="s">
        <v>355</v>
      </c>
      <c r="G1459" s="55" t="s">
        <v>355</v>
      </c>
      <c r="H1459" s="108" t="s">
        <v>402</v>
      </c>
      <c r="I1459" s="111" t="s">
        <v>402</v>
      </c>
      <c r="J1459" s="111" t="s">
        <v>402</v>
      </c>
      <c r="K1459" s="106" t="s">
        <v>403</v>
      </c>
      <c r="L1459" s="55" t="s">
        <v>404</v>
      </c>
      <c r="M1459" s="55" t="s">
        <v>7634</v>
      </c>
    </row>
    <row r="1460" spans="1:13">
      <c r="A1460" s="403" t="s">
        <v>3985</v>
      </c>
      <c r="B1460" s="106" t="s">
        <v>327</v>
      </c>
      <c r="C1460" s="106" t="s">
        <v>473</v>
      </c>
      <c r="D1460" s="109" t="s">
        <v>3986</v>
      </c>
      <c r="E1460" s="109" t="s">
        <v>1748</v>
      </c>
      <c r="F1460" s="109" t="s">
        <v>3987</v>
      </c>
      <c r="G1460" s="117" t="s">
        <v>383</v>
      </c>
      <c r="H1460" s="115" t="s">
        <v>402</v>
      </c>
      <c r="I1460" s="111" t="s">
        <v>402</v>
      </c>
      <c r="J1460" s="111" t="s">
        <v>402</v>
      </c>
      <c r="K1460" s="115" t="s">
        <v>403</v>
      </c>
      <c r="L1460" s="55" t="s">
        <v>404</v>
      </c>
      <c r="M1460" s="55" t="s">
        <v>1173</v>
      </c>
    </row>
    <row r="1461" spans="1:13">
      <c r="A1461" s="408" t="s">
        <v>3988</v>
      </c>
      <c r="B1461" s="106" t="s">
        <v>327</v>
      </c>
      <c r="C1461" s="106" t="s">
        <v>473</v>
      </c>
      <c r="D1461" s="107" t="s">
        <v>3989</v>
      </c>
      <c r="E1461" s="109" t="s">
        <v>355</v>
      </c>
      <c r="F1461" s="109" t="s">
        <v>355</v>
      </c>
      <c r="G1461" s="55" t="s">
        <v>355</v>
      </c>
      <c r="H1461" s="108" t="s">
        <v>402</v>
      </c>
      <c r="I1461" s="111" t="s">
        <v>402</v>
      </c>
      <c r="J1461" s="111" t="s">
        <v>402</v>
      </c>
      <c r="K1461" s="106" t="s">
        <v>403</v>
      </c>
      <c r="L1461" s="55" t="s">
        <v>404</v>
      </c>
      <c r="M1461" s="55" t="s">
        <v>7634</v>
      </c>
    </row>
    <row r="1462" spans="1:13">
      <c r="A1462" s="408" t="s">
        <v>3990</v>
      </c>
      <c r="B1462" s="106" t="s">
        <v>327</v>
      </c>
      <c r="C1462" s="106" t="s">
        <v>473</v>
      </c>
      <c r="D1462" s="107" t="s">
        <v>3991</v>
      </c>
      <c r="E1462" s="109" t="s">
        <v>355</v>
      </c>
      <c r="F1462" s="109" t="s">
        <v>355</v>
      </c>
      <c r="G1462" s="55" t="s">
        <v>355</v>
      </c>
      <c r="H1462" s="108" t="s">
        <v>402</v>
      </c>
      <c r="I1462" s="111" t="s">
        <v>402</v>
      </c>
      <c r="J1462" s="111" t="s">
        <v>402</v>
      </c>
      <c r="K1462" s="106" t="s">
        <v>403</v>
      </c>
      <c r="L1462" s="55" t="s">
        <v>404</v>
      </c>
      <c r="M1462" s="55" t="s">
        <v>7634</v>
      </c>
    </row>
    <row r="1463" spans="1:13">
      <c r="A1463" s="401" t="s">
        <v>3992</v>
      </c>
      <c r="B1463" s="106" t="s">
        <v>327</v>
      </c>
      <c r="C1463" s="106" t="s">
        <v>473</v>
      </c>
      <c r="D1463" s="109" t="s">
        <v>3993</v>
      </c>
      <c r="E1463" s="109" t="s">
        <v>3994</v>
      </c>
      <c r="F1463" s="109" t="s">
        <v>3995</v>
      </c>
      <c r="G1463" s="117" t="s">
        <v>383</v>
      </c>
      <c r="H1463" s="115" t="s">
        <v>402</v>
      </c>
      <c r="I1463" s="111" t="s">
        <v>402</v>
      </c>
      <c r="J1463" s="111" t="s">
        <v>402</v>
      </c>
      <c r="K1463" s="115" t="s">
        <v>403</v>
      </c>
      <c r="L1463" s="55" t="s">
        <v>404</v>
      </c>
      <c r="M1463" s="113" t="s">
        <v>1173</v>
      </c>
    </row>
    <row r="1464" spans="1:13">
      <c r="A1464" s="401" t="s">
        <v>3996</v>
      </c>
      <c r="B1464" s="106" t="s">
        <v>327</v>
      </c>
      <c r="C1464" s="106" t="s">
        <v>473</v>
      </c>
      <c r="D1464" s="109" t="s">
        <v>3997</v>
      </c>
      <c r="E1464" s="109" t="s">
        <v>3998</v>
      </c>
      <c r="F1464" s="109" t="s">
        <v>3999</v>
      </c>
      <c r="G1464" s="112" t="s">
        <v>4000</v>
      </c>
      <c r="H1464" s="115" t="s">
        <v>402</v>
      </c>
      <c r="I1464" s="111" t="s">
        <v>402</v>
      </c>
      <c r="J1464" s="111" t="s">
        <v>402</v>
      </c>
      <c r="K1464" s="115" t="s">
        <v>403</v>
      </c>
      <c r="L1464" s="55" t="s">
        <v>404</v>
      </c>
      <c r="M1464" s="113" t="s">
        <v>383</v>
      </c>
    </row>
    <row r="1465" spans="1:13">
      <c r="A1465" s="408" t="s">
        <v>4001</v>
      </c>
      <c r="B1465" s="106" t="s">
        <v>327</v>
      </c>
      <c r="C1465" s="106" t="s">
        <v>473</v>
      </c>
      <c r="D1465" s="107" t="s">
        <v>4002</v>
      </c>
      <c r="E1465" s="107" t="s">
        <v>4003</v>
      </c>
      <c r="F1465" s="107" t="s">
        <v>4004</v>
      </c>
      <c r="G1465" s="591" t="s">
        <v>4005</v>
      </c>
      <c r="H1465" s="108" t="s">
        <v>402</v>
      </c>
      <c r="I1465" s="111" t="s">
        <v>402</v>
      </c>
      <c r="J1465" s="111" t="s">
        <v>402</v>
      </c>
      <c r="K1465" s="106" t="s">
        <v>403</v>
      </c>
      <c r="L1465" s="55" t="s">
        <v>404</v>
      </c>
      <c r="M1465" s="55" t="s">
        <v>7634</v>
      </c>
    </row>
    <row r="1466" spans="1:13">
      <c r="A1466" s="408" t="s">
        <v>4006</v>
      </c>
      <c r="B1466" s="106" t="s">
        <v>327</v>
      </c>
      <c r="C1466" s="106" t="s">
        <v>473</v>
      </c>
      <c r="D1466" s="107" t="s">
        <v>4007</v>
      </c>
      <c r="E1466" s="109" t="s">
        <v>355</v>
      </c>
      <c r="F1466" s="109" t="s">
        <v>355</v>
      </c>
      <c r="G1466" s="55" t="s">
        <v>355</v>
      </c>
      <c r="H1466" s="108" t="s">
        <v>402</v>
      </c>
      <c r="I1466" s="111" t="s">
        <v>402</v>
      </c>
      <c r="J1466" s="111" t="s">
        <v>402</v>
      </c>
      <c r="K1466" s="106" t="s">
        <v>403</v>
      </c>
      <c r="L1466" s="55" t="s">
        <v>404</v>
      </c>
      <c r="M1466" s="55" t="s">
        <v>7634</v>
      </c>
    </row>
    <row r="1467" spans="1:13">
      <c r="A1467" s="401" t="s">
        <v>4008</v>
      </c>
      <c r="B1467" s="106" t="s">
        <v>327</v>
      </c>
      <c r="C1467" s="106" t="s">
        <v>473</v>
      </c>
      <c r="D1467" s="109" t="s">
        <v>4009</v>
      </c>
      <c r="E1467" s="109" t="s">
        <v>4010</v>
      </c>
      <c r="F1467" s="109" t="s">
        <v>4011</v>
      </c>
      <c r="G1467" s="117" t="s">
        <v>383</v>
      </c>
      <c r="H1467" s="115" t="s">
        <v>402</v>
      </c>
      <c r="I1467" s="111" t="s">
        <v>402</v>
      </c>
      <c r="J1467" s="111" t="s">
        <v>402</v>
      </c>
      <c r="K1467" s="115" t="s">
        <v>403</v>
      </c>
      <c r="L1467" s="55" t="s">
        <v>404</v>
      </c>
      <c r="M1467" s="55" t="s">
        <v>1173</v>
      </c>
    </row>
    <row r="1468" spans="1:13">
      <c r="A1468" s="408" t="s">
        <v>4012</v>
      </c>
      <c r="B1468" s="106" t="s">
        <v>327</v>
      </c>
      <c r="C1468" s="106" t="s">
        <v>473</v>
      </c>
      <c r="D1468" s="107" t="s">
        <v>4013</v>
      </c>
      <c r="E1468" s="109" t="s">
        <v>355</v>
      </c>
      <c r="F1468" s="109" t="s">
        <v>355</v>
      </c>
      <c r="G1468" s="55" t="s">
        <v>355</v>
      </c>
      <c r="H1468" s="108" t="s">
        <v>402</v>
      </c>
      <c r="I1468" s="111" t="s">
        <v>402</v>
      </c>
      <c r="J1468" s="111" t="s">
        <v>402</v>
      </c>
      <c r="K1468" s="106" t="s">
        <v>403</v>
      </c>
      <c r="L1468" s="55" t="s">
        <v>404</v>
      </c>
      <c r="M1468" s="55" t="s">
        <v>7634</v>
      </c>
    </row>
    <row r="1469" spans="1:13">
      <c r="A1469" s="401" t="s">
        <v>4014</v>
      </c>
      <c r="B1469" s="106" t="s">
        <v>327</v>
      </c>
      <c r="C1469" s="106" t="s">
        <v>473</v>
      </c>
      <c r="D1469" s="109" t="s">
        <v>4015</v>
      </c>
      <c r="E1469" s="109" t="s">
        <v>4016</v>
      </c>
      <c r="F1469" s="109" t="s">
        <v>4017</v>
      </c>
      <c r="G1469" s="117" t="s">
        <v>383</v>
      </c>
      <c r="H1469" s="115" t="s">
        <v>402</v>
      </c>
      <c r="I1469" s="111" t="s">
        <v>402</v>
      </c>
      <c r="J1469" s="111" t="s">
        <v>402</v>
      </c>
      <c r="K1469" s="115" t="s">
        <v>403</v>
      </c>
      <c r="L1469" s="55" t="s">
        <v>404</v>
      </c>
      <c r="M1469" s="55" t="s">
        <v>1173</v>
      </c>
    </row>
    <row r="1470" spans="1:13">
      <c r="A1470" s="408" t="s">
        <v>4018</v>
      </c>
      <c r="B1470" s="106" t="s">
        <v>327</v>
      </c>
      <c r="C1470" s="106" t="s">
        <v>473</v>
      </c>
      <c r="D1470" s="107" t="s">
        <v>4019</v>
      </c>
      <c r="E1470" s="109" t="s">
        <v>355</v>
      </c>
      <c r="F1470" s="109" t="s">
        <v>355</v>
      </c>
      <c r="G1470" s="55" t="s">
        <v>355</v>
      </c>
      <c r="H1470" s="108" t="s">
        <v>402</v>
      </c>
      <c r="I1470" s="111" t="s">
        <v>402</v>
      </c>
      <c r="J1470" s="111" t="s">
        <v>402</v>
      </c>
      <c r="K1470" s="106" t="s">
        <v>403</v>
      </c>
      <c r="L1470" s="55" t="s">
        <v>404</v>
      </c>
      <c r="M1470" s="55" t="s">
        <v>7634</v>
      </c>
    </row>
    <row r="1471" spans="1:13">
      <c r="A1471" s="408" t="s">
        <v>4020</v>
      </c>
      <c r="B1471" s="106" t="s">
        <v>327</v>
      </c>
      <c r="C1471" s="106" t="s">
        <v>473</v>
      </c>
      <c r="D1471" s="107" t="s">
        <v>4021</v>
      </c>
      <c r="E1471" s="109" t="s">
        <v>355</v>
      </c>
      <c r="F1471" s="109" t="s">
        <v>355</v>
      </c>
      <c r="G1471" s="55" t="s">
        <v>355</v>
      </c>
      <c r="H1471" s="108" t="s">
        <v>402</v>
      </c>
      <c r="I1471" s="111" t="s">
        <v>402</v>
      </c>
      <c r="J1471" s="111" t="s">
        <v>402</v>
      </c>
      <c r="K1471" s="106" t="s">
        <v>403</v>
      </c>
      <c r="L1471" s="55" t="s">
        <v>404</v>
      </c>
      <c r="M1471" s="55" t="s">
        <v>7634</v>
      </c>
    </row>
    <row r="1472" spans="1:13">
      <c r="A1472" s="408" t="s">
        <v>4022</v>
      </c>
      <c r="B1472" s="106" t="s">
        <v>327</v>
      </c>
      <c r="C1472" s="106" t="s">
        <v>473</v>
      </c>
      <c r="D1472" s="107" t="s">
        <v>4023</v>
      </c>
      <c r="E1472" s="109" t="s">
        <v>355</v>
      </c>
      <c r="F1472" s="109" t="s">
        <v>355</v>
      </c>
      <c r="G1472" s="55" t="s">
        <v>355</v>
      </c>
      <c r="H1472" s="108" t="s">
        <v>402</v>
      </c>
      <c r="I1472" s="111" t="s">
        <v>402</v>
      </c>
      <c r="J1472" s="111" t="s">
        <v>402</v>
      </c>
      <c r="K1472" s="106" t="s">
        <v>403</v>
      </c>
      <c r="L1472" s="55" t="s">
        <v>404</v>
      </c>
      <c r="M1472" s="55" t="s">
        <v>7634</v>
      </c>
    </row>
    <row r="1473" spans="1:13">
      <c r="A1473" s="408" t="s">
        <v>4024</v>
      </c>
      <c r="B1473" s="106" t="s">
        <v>327</v>
      </c>
      <c r="C1473" s="106" t="s">
        <v>473</v>
      </c>
      <c r="D1473" s="107" t="s">
        <v>4025</v>
      </c>
      <c r="E1473" s="109" t="s">
        <v>355</v>
      </c>
      <c r="F1473" s="109" t="s">
        <v>355</v>
      </c>
      <c r="G1473" s="55" t="s">
        <v>355</v>
      </c>
      <c r="H1473" s="108" t="s">
        <v>402</v>
      </c>
      <c r="I1473" s="111" t="s">
        <v>402</v>
      </c>
      <c r="J1473" s="111" t="s">
        <v>402</v>
      </c>
      <c r="K1473" s="106" t="s">
        <v>403</v>
      </c>
      <c r="L1473" s="55" t="s">
        <v>404</v>
      </c>
      <c r="M1473" s="55" t="s">
        <v>7634</v>
      </c>
    </row>
    <row r="1474" spans="1:13">
      <c r="A1474" s="401" t="s">
        <v>4026</v>
      </c>
      <c r="B1474" s="106" t="s">
        <v>327</v>
      </c>
      <c r="C1474" s="106" t="s">
        <v>473</v>
      </c>
      <c r="D1474" s="109" t="s">
        <v>4027</v>
      </c>
      <c r="E1474" s="109" t="s">
        <v>4028</v>
      </c>
      <c r="F1474" s="109" t="s">
        <v>4029</v>
      </c>
      <c r="G1474" s="117" t="s">
        <v>383</v>
      </c>
      <c r="H1474" s="115" t="s">
        <v>402</v>
      </c>
      <c r="I1474" s="111" t="s">
        <v>402</v>
      </c>
      <c r="J1474" s="111" t="s">
        <v>402</v>
      </c>
      <c r="K1474" s="115" t="s">
        <v>403</v>
      </c>
      <c r="L1474" s="55" t="s">
        <v>404</v>
      </c>
      <c r="M1474" s="113" t="s">
        <v>1173</v>
      </c>
    </row>
    <row r="1475" spans="1:13">
      <c r="A1475" s="408" t="s">
        <v>4030</v>
      </c>
      <c r="B1475" s="106" t="s">
        <v>327</v>
      </c>
      <c r="C1475" s="106" t="s">
        <v>473</v>
      </c>
      <c r="D1475" s="107" t="s">
        <v>4031</v>
      </c>
      <c r="E1475" s="109" t="s">
        <v>355</v>
      </c>
      <c r="F1475" s="109" t="s">
        <v>355</v>
      </c>
      <c r="G1475" s="55" t="s">
        <v>355</v>
      </c>
      <c r="H1475" s="108" t="s">
        <v>402</v>
      </c>
      <c r="I1475" s="111" t="s">
        <v>402</v>
      </c>
      <c r="J1475" s="111" t="s">
        <v>402</v>
      </c>
      <c r="K1475" s="106" t="s">
        <v>403</v>
      </c>
      <c r="L1475" s="55" t="s">
        <v>404</v>
      </c>
      <c r="M1475" s="55" t="s">
        <v>7634</v>
      </c>
    </row>
    <row r="1476" spans="1:13">
      <c r="A1476" s="408" t="s">
        <v>4032</v>
      </c>
      <c r="B1476" s="106" t="s">
        <v>327</v>
      </c>
      <c r="C1476" s="106" t="s">
        <v>473</v>
      </c>
      <c r="D1476" s="107" t="s">
        <v>4033</v>
      </c>
      <c r="E1476" s="109" t="s">
        <v>4034</v>
      </c>
      <c r="F1476" s="109" t="s">
        <v>4035</v>
      </c>
      <c r="G1476" s="55" t="s">
        <v>355</v>
      </c>
      <c r="H1476" s="108" t="s">
        <v>402</v>
      </c>
      <c r="I1476" s="111" t="s">
        <v>402</v>
      </c>
      <c r="J1476" s="111" t="s">
        <v>402</v>
      </c>
      <c r="K1476" s="106" t="s">
        <v>403</v>
      </c>
      <c r="L1476" s="55" t="s">
        <v>404</v>
      </c>
      <c r="M1476" s="55" t="s">
        <v>7634</v>
      </c>
    </row>
    <row r="1477" spans="1:13">
      <c r="A1477" s="408" t="s">
        <v>4036</v>
      </c>
      <c r="B1477" s="106" t="s">
        <v>327</v>
      </c>
      <c r="C1477" s="106" t="s">
        <v>473</v>
      </c>
      <c r="D1477" s="107" t="s">
        <v>4037</v>
      </c>
      <c r="E1477" s="109" t="s">
        <v>355</v>
      </c>
      <c r="F1477" s="109" t="s">
        <v>355</v>
      </c>
      <c r="G1477" s="55" t="s">
        <v>355</v>
      </c>
      <c r="H1477" s="108" t="s">
        <v>402</v>
      </c>
      <c r="I1477" s="111" t="s">
        <v>402</v>
      </c>
      <c r="J1477" s="111" t="s">
        <v>402</v>
      </c>
      <c r="K1477" s="106" t="s">
        <v>403</v>
      </c>
      <c r="L1477" s="55" t="s">
        <v>404</v>
      </c>
      <c r="M1477" s="55" t="s">
        <v>7634</v>
      </c>
    </row>
    <row r="1478" spans="1:13">
      <c r="A1478" s="408" t="s">
        <v>4038</v>
      </c>
      <c r="B1478" s="106" t="s">
        <v>327</v>
      </c>
      <c r="C1478" s="106" t="s">
        <v>473</v>
      </c>
      <c r="D1478" s="107" t="s">
        <v>4039</v>
      </c>
      <c r="E1478" s="109" t="s">
        <v>355</v>
      </c>
      <c r="F1478" s="109" t="s">
        <v>355</v>
      </c>
      <c r="G1478" s="55" t="s">
        <v>355</v>
      </c>
      <c r="H1478" s="108" t="s">
        <v>402</v>
      </c>
      <c r="I1478" s="111" t="s">
        <v>402</v>
      </c>
      <c r="J1478" s="111" t="s">
        <v>402</v>
      </c>
      <c r="K1478" s="106" t="s">
        <v>403</v>
      </c>
      <c r="L1478" s="55" t="s">
        <v>404</v>
      </c>
      <c r="M1478" s="55" t="s">
        <v>7634</v>
      </c>
    </row>
    <row r="1479" spans="1:13">
      <c r="A1479" s="408" t="s">
        <v>4040</v>
      </c>
      <c r="B1479" s="106" t="s">
        <v>327</v>
      </c>
      <c r="C1479" s="106" t="s">
        <v>473</v>
      </c>
      <c r="D1479" s="107" t="s">
        <v>4041</v>
      </c>
      <c r="E1479" s="109" t="s">
        <v>355</v>
      </c>
      <c r="F1479" s="109" t="s">
        <v>355</v>
      </c>
      <c r="G1479" s="55" t="s">
        <v>355</v>
      </c>
      <c r="H1479" s="108" t="s">
        <v>402</v>
      </c>
      <c r="I1479" s="111" t="s">
        <v>402</v>
      </c>
      <c r="J1479" s="111" t="s">
        <v>402</v>
      </c>
      <c r="K1479" s="106" t="s">
        <v>403</v>
      </c>
      <c r="L1479" s="55" t="s">
        <v>404</v>
      </c>
      <c r="M1479" s="55" t="s">
        <v>7634</v>
      </c>
    </row>
    <row r="1480" spans="1:13">
      <c r="A1480" s="408" t="s">
        <v>4042</v>
      </c>
      <c r="B1480" s="106" t="s">
        <v>327</v>
      </c>
      <c r="C1480" s="106" t="s">
        <v>473</v>
      </c>
      <c r="D1480" s="107" t="s">
        <v>4043</v>
      </c>
      <c r="E1480" s="109" t="s">
        <v>355</v>
      </c>
      <c r="F1480" s="109" t="s">
        <v>355</v>
      </c>
      <c r="G1480" s="55" t="s">
        <v>355</v>
      </c>
      <c r="H1480" s="108" t="s">
        <v>402</v>
      </c>
      <c r="I1480" s="111" t="s">
        <v>402</v>
      </c>
      <c r="J1480" s="111" t="s">
        <v>402</v>
      </c>
      <c r="K1480" s="106" t="s">
        <v>403</v>
      </c>
      <c r="L1480" s="55" t="s">
        <v>404</v>
      </c>
      <c r="M1480" s="55" t="s">
        <v>7634</v>
      </c>
    </row>
    <row r="1481" spans="1:13">
      <c r="A1481" s="408" t="s">
        <v>4044</v>
      </c>
      <c r="B1481" s="106" t="s">
        <v>327</v>
      </c>
      <c r="C1481" s="106" t="s">
        <v>473</v>
      </c>
      <c r="D1481" s="107" t="s">
        <v>4045</v>
      </c>
      <c r="E1481" s="109" t="s">
        <v>355</v>
      </c>
      <c r="F1481" s="109" t="s">
        <v>355</v>
      </c>
      <c r="G1481" s="55" t="s">
        <v>355</v>
      </c>
      <c r="H1481" s="108" t="s">
        <v>402</v>
      </c>
      <c r="I1481" s="111" t="s">
        <v>402</v>
      </c>
      <c r="J1481" s="111" t="s">
        <v>402</v>
      </c>
      <c r="K1481" s="106" t="s">
        <v>403</v>
      </c>
      <c r="L1481" s="55" t="s">
        <v>404</v>
      </c>
      <c r="M1481" s="55" t="s">
        <v>7634</v>
      </c>
    </row>
    <row r="1482" spans="1:13">
      <c r="A1482" s="408" t="s">
        <v>4046</v>
      </c>
      <c r="B1482" s="106" t="s">
        <v>327</v>
      </c>
      <c r="C1482" s="106" t="s">
        <v>473</v>
      </c>
      <c r="D1482" s="107" t="s">
        <v>4047</v>
      </c>
      <c r="E1482" s="109" t="s">
        <v>355</v>
      </c>
      <c r="F1482" s="109" t="s">
        <v>355</v>
      </c>
      <c r="G1482" s="55" t="s">
        <v>355</v>
      </c>
      <c r="H1482" s="108" t="s">
        <v>402</v>
      </c>
      <c r="I1482" s="111" t="s">
        <v>402</v>
      </c>
      <c r="J1482" s="111" t="s">
        <v>402</v>
      </c>
      <c r="K1482" s="106" t="s">
        <v>403</v>
      </c>
      <c r="L1482" s="55" t="s">
        <v>404</v>
      </c>
      <c r="M1482" s="55" t="s">
        <v>7634</v>
      </c>
    </row>
    <row r="1483" spans="1:13">
      <c r="A1483" s="401" t="s">
        <v>4048</v>
      </c>
      <c r="B1483" s="106" t="s">
        <v>327</v>
      </c>
      <c r="C1483" s="106" t="s">
        <v>473</v>
      </c>
      <c r="D1483" s="109" t="s">
        <v>4049</v>
      </c>
      <c r="E1483" s="109" t="s">
        <v>4050</v>
      </c>
      <c r="F1483" s="109" t="s">
        <v>4051</v>
      </c>
      <c r="G1483" s="117" t="s">
        <v>383</v>
      </c>
      <c r="H1483" s="115" t="s">
        <v>402</v>
      </c>
      <c r="I1483" s="111" t="s">
        <v>402</v>
      </c>
      <c r="J1483" s="111" t="s">
        <v>402</v>
      </c>
      <c r="K1483" s="115" t="s">
        <v>403</v>
      </c>
      <c r="L1483" s="55" t="s">
        <v>404</v>
      </c>
      <c r="M1483" s="113" t="s">
        <v>1173</v>
      </c>
    </row>
    <row r="1484" spans="1:13">
      <c r="A1484" s="408" t="s">
        <v>4052</v>
      </c>
      <c r="B1484" s="106" t="s">
        <v>327</v>
      </c>
      <c r="C1484" s="106" t="s">
        <v>473</v>
      </c>
      <c r="D1484" s="107" t="s">
        <v>4053</v>
      </c>
      <c r="E1484" s="109" t="s">
        <v>355</v>
      </c>
      <c r="F1484" s="109" t="s">
        <v>355</v>
      </c>
      <c r="G1484" s="55" t="s">
        <v>355</v>
      </c>
      <c r="H1484" s="108" t="s">
        <v>402</v>
      </c>
      <c r="I1484" s="111" t="s">
        <v>402</v>
      </c>
      <c r="J1484" s="111" t="s">
        <v>402</v>
      </c>
      <c r="K1484" s="106" t="s">
        <v>403</v>
      </c>
      <c r="L1484" s="55" t="s">
        <v>404</v>
      </c>
      <c r="M1484" s="55" t="s">
        <v>7634</v>
      </c>
    </row>
    <row r="1485" spans="1:13">
      <c r="A1485" s="408" t="s">
        <v>4054</v>
      </c>
      <c r="B1485" s="106" t="s">
        <v>327</v>
      </c>
      <c r="C1485" s="106" t="s">
        <v>473</v>
      </c>
      <c r="D1485" s="107" t="s">
        <v>4055</v>
      </c>
      <c r="E1485" s="109" t="s">
        <v>355</v>
      </c>
      <c r="F1485" s="109" t="s">
        <v>355</v>
      </c>
      <c r="G1485" s="55" t="s">
        <v>355</v>
      </c>
      <c r="H1485" s="108" t="s">
        <v>402</v>
      </c>
      <c r="I1485" s="111" t="s">
        <v>402</v>
      </c>
      <c r="J1485" s="111" t="s">
        <v>402</v>
      </c>
      <c r="K1485" s="106" t="s">
        <v>403</v>
      </c>
      <c r="L1485" s="55" t="s">
        <v>404</v>
      </c>
      <c r="M1485" s="55" t="s">
        <v>7634</v>
      </c>
    </row>
    <row r="1486" spans="1:13">
      <c r="A1486" s="408" t="s">
        <v>4056</v>
      </c>
      <c r="B1486" s="106" t="s">
        <v>327</v>
      </c>
      <c r="C1486" s="106" t="s">
        <v>473</v>
      </c>
      <c r="D1486" s="107" t="s">
        <v>4057</v>
      </c>
      <c r="E1486" s="109" t="s">
        <v>355</v>
      </c>
      <c r="F1486" s="109" t="s">
        <v>355</v>
      </c>
      <c r="G1486" s="55" t="s">
        <v>355</v>
      </c>
      <c r="H1486" s="108" t="s">
        <v>402</v>
      </c>
      <c r="I1486" s="111" t="s">
        <v>402</v>
      </c>
      <c r="J1486" s="111" t="s">
        <v>402</v>
      </c>
      <c r="K1486" s="106" t="s">
        <v>403</v>
      </c>
      <c r="L1486" s="55" t="s">
        <v>404</v>
      </c>
      <c r="M1486" s="55" t="s">
        <v>7634</v>
      </c>
    </row>
    <row r="1487" spans="1:13">
      <c r="A1487" s="408" t="s">
        <v>4058</v>
      </c>
      <c r="B1487" s="106" t="s">
        <v>327</v>
      </c>
      <c r="C1487" s="106" t="s">
        <v>473</v>
      </c>
      <c r="D1487" s="107" t="s">
        <v>4059</v>
      </c>
      <c r="E1487" s="109" t="s">
        <v>355</v>
      </c>
      <c r="F1487" s="109" t="s">
        <v>355</v>
      </c>
      <c r="G1487" s="55" t="s">
        <v>355</v>
      </c>
      <c r="H1487" s="108" t="s">
        <v>402</v>
      </c>
      <c r="I1487" s="111" t="s">
        <v>402</v>
      </c>
      <c r="J1487" s="111" t="s">
        <v>402</v>
      </c>
      <c r="K1487" s="106" t="s">
        <v>403</v>
      </c>
      <c r="L1487" s="55" t="s">
        <v>404</v>
      </c>
      <c r="M1487" s="55" t="s">
        <v>7634</v>
      </c>
    </row>
    <row r="1488" spans="1:13">
      <c r="A1488" s="408" t="s">
        <v>4060</v>
      </c>
      <c r="B1488" s="106" t="s">
        <v>327</v>
      </c>
      <c r="C1488" s="106" t="s">
        <v>473</v>
      </c>
      <c r="D1488" s="107" t="s">
        <v>4061</v>
      </c>
      <c r="E1488" s="109" t="s">
        <v>355</v>
      </c>
      <c r="F1488" s="109" t="s">
        <v>355</v>
      </c>
      <c r="G1488" s="55" t="s">
        <v>355</v>
      </c>
      <c r="H1488" s="108" t="s">
        <v>402</v>
      </c>
      <c r="I1488" s="111" t="s">
        <v>402</v>
      </c>
      <c r="J1488" s="111" t="s">
        <v>402</v>
      </c>
      <c r="K1488" s="106" t="s">
        <v>403</v>
      </c>
      <c r="L1488" s="55" t="s">
        <v>404</v>
      </c>
      <c r="M1488" s="55" t="s">
        <v>7634</v>
      </c>
    </row>
    <row r="1489" spans="1:13">
      <c r="A1489" s="401" t="s">
        <v>4062</v>
      </c>
      <c r="B1489" s="106" t="s">
        <v>327</v>
      </c>
      <c r="C1489" s="106" t="s">
        <v>473</v>
      </c>
      <c r="D1489" s="109" t="s">
        <v>4063</v>
      </c>
      <c r="E1489" s="109" t="s">
        <v>4064</v>
      </c>
      <c r="F1489" s="109" t="s">
        <v>4065</v>
      </c>
      <c r="G1489" s="117" t="s">
        <v>383</v>
      </c>
      <c r="H1489" s="115" t="s">
        <v>402</v>
      </c>
      <c r="I1489" s="111" t="s">
        <v>402</v>
      </c>
      <c r="J1489" s="111" t="s">
        <v>402</v>
      </c>
      <c r="K1489" s="115" t="s">
        <v>403</v>
      </c>
      <c r="L1489" s="55" t="s">
        <v>404</v>
      </c>
      <c r="M1489" s="113" t="s">
        <v>1173</v>
      </c>
    </row>
    <row r="1490" spans="1:13">
      <c r="A1490" s="408" t="s">
        <v>4066</v>
      </c>
      <c r="B1490" s="106" t="s">
        <v>327</v>
      </c>
      <c r="C1490" s="106" t="s">
        <v>473</v>
      </c>
      <c r="D1490" s="107" t="s">
        <v>4067</v>
      </c>
      <c r="E1490" s="109" t="s">
        <v>355</v>
      </c>
      <c r="F1490" s="109" t="s">
        <v>355</v>
      </c>
      <c r="G1490" s="55" t="s">
        <v>355</v>
      </c>
      <c r="H1490" s="108" t="s">
        <v>402</v>
      </c>
      <c r="I1490" s="111" t="s">
        <v>402</v>
      </c>
      <c r="J1490" s="111" t="s">
        <v>402</v>
      </c>
      <c r="K1490" s="106" t="s">
        <v>403</v>
      </c>
      <c r="L1490" s="55" t="s">
        <v>404</v>
      </c>
      <c r="M1490" s="55" t="s">
        <v>7634</v>
      </c>
    </row>
    <row r="1491" spans="1:13">
      <c r="A1491" s="401" t="s">
        <v>4068</v>
      </c>
      <c r="B1491" s="106" t="s">
        <v>984</v>
      </c>
      <c r="C1491" s="106" t="s">
        <v>473</v>
      </c>
      <c r="D1491" s="109" t="s">
        <v>4069</v>
      </c>
      <c r="E1491" s="109" t="s">
        <v>1886</v>
      </c>
      <c r="F1491" s="109" t="s">
        <v>4070</v>
      </c>
      <c r="G1491" s="117" t="s">
        <v>383</v>
      </c>
      <c r="H1491" s="115" t="s">
        <v>402</v>
      </c>
      <c r="I1491" s="111" t="s">
        <v>402</v>
      </c>
      <c r="J1491" s="111" t="s">
        <v>402</v>
      </c>
      <c r="K1491" s="115" t="s">
        <v>403</v>
      </c>
      <c r="L1491" s="55" t="s">
        <v>404</v>
      </c>
      <c r="M1491" s="113" t="s">
        <v>1173</v>
      </c>
    </row>
    <row r="1492" spans="1:13">
      <c r="A1492" s="401" t="s">
        <v>4071</v>
      </c>
      <c r="B1492" s="106" t="s">
        <v>1059</v>
      </c>
      <c r="C1492" s="106" t="s">
        <v>473</v>
      </c>
      <c r="D1492" s="109" t="s">
        <v>4072</v>
      </c>
      <c r="E1492" s="109" t="s">
        <v>1748</v>
      </c>
      <c r="F1492" s="109" t="s">
        <v>4073</v>
      </c>
      <c r="G1492" s="117" t="s">
        <v>383</v>
      </c>
      <c r="H1492" s="115" t="s">
        <v>402</v>
      </c>
      <c r="I1492" s="111" t="s">
        <v>402</v>
      </c>
      <c r="J1492" s="111" t="s">
        <v>402</v>
      </c>
      <c r="K1492" s="106" t="s">
        <v>403</v>
      </c>
      <c r="L1492" s="55" t="s">
        <v>404</v>
      </c>
      <c r="M1492" s="113" t="s">
        <v>1173</v>
      </c>
    </row>
    <row r="1493" spans="1:13">
      <c r="A1493" s="408" t="s">
        <v>4074</v>
      </c>
      <c r="B1493" s="106" t="s">
        <v>327</v>
      </c>
      <c r="C1493" s="106" t="s">
        <v>473</v>
      </c>
      <c r="D1493" s="107" t="s">
        <v>4075</v>
      </c>
      <c r="E1493" s="109" t="s">
        <v>355</v>
      </c>
      <c r="F1493" s="109" t="s">
        <v>355</v>
      </c>
      <c r="G1493" s="55" t="s">
        <v>355</v>
      </c>
      <c r="H1493" s="108" t="s">
        <v>402</v>
      </c>
      <c r="I1493" s="111" t="s">
        <v>402</v>
      </c>
      <c r="J1493" s="111" t="s">
        <v>402</v>
      </c>
      <c r="K1493" s="106" t="s">
        <v>403</v>
      </c>
      <c r="L1493" s="55" t="s">
        <v>404</v>
      </c>
      <c r="M1493" s="55" t="s">
        <v>7634</v>
      </c>
    </row>
    <row r="1494" spans="1:13">
      <c r="A1494" s="408" t="s">
        <v>4076</v>
      </c>
      <c r="B1494" s="106" t="s">
        <v>327</v>
      </c>
      <c r="C1494" s="106" t="s">
        <v>473</v>
      </c>
      <c r="D1494" s="107" t="s">
        <v>4077</v>
      </c>
      <c r="E1494" s="109" t="s">
        <v>355</v>
      </c>
      <c r="F1494" s="109" t="s">
        <v>355</v>
      </c>
      <c r="G1494" s="55" t="s">
        <v>355</v>
      </c>
      <c r="H1494" s="108" t="s">
        <v>402</v>
      </c>
      <c r="I1494" s="111" t="s">
        <v>402</v>
      </c>
      <c r="J1494" s="111" t="s">
        <v>402</v>
      </c>
      <c r="K1494" s="106" t="s">
        <v>403</v>
      </c>
      <c r="L1494" s="55" t="s">
        <v>404</v>
      </c>
      <c r="M1494" s="55" t="s">
        <v>7634</v>
      </c>
    </row>
    <row r="1495" spans="1:13">
      <c r="A1495" s="401" t="s">
        <v>4078</v>
      </c>
      <c r="B1495" s="106" t="s">
        <v>327</v>
      </c>
      <c r="C1495" s="106" t="s">
        <v>473</v>
      </c>
      <c r="D1495" s="109" t="s">
        <v>4079</v>
      </c>
      <c r="E1495" s="109" t="s">
        <v>4080</v>
      </c>
      <c r="F1495" s="109" t="s">
        <v>4081</v>
      </c>
      <c r="G1495" s="117" t="s">
        <v>383</v>
      </c>
      <c r="H1495" s="115" t="s">
        <v>402</v>
      </c>
      <c r="I1495" s="111" t="s">
        <v>402</v>
      </c>
      <c r="J1495" s="111" t="s">
        <v>402</v>
      </c>
      <c r="K1495" s="115" t="s">
        <v>403</v>
      </c>
      <c r="L1495" s="55" t="s">
        <v>404</v>
      </c>
      <c r="M1495" s="113" t="s">
        <v>1173</v>
      </c>
    </row>
    <row r="1496" spans="1:13">
      <c r="A1496" s="408" t="s">
        <v>4082</v>
      </c>
      <c r="B1496" s="106" t="s">
        <v>327</v>
      </c>
      <c r="C1496" s="106" t="s">
        <v>473</v>
      </c>
      <c r="D1496" s="107" t="s">
        <v>4083</v>
      </c>
      <c r="E1496" s="109" t="s">
        <v>4084</v>
      </c>
      <c r="F1496" s="109" t="s">
        <v>4085</v>
      </c>
      <c r="G1496" s="55" t="s">
        <v>355</v>
      </c>
      <c r="H1496" s="108" t="s">
        <v>402</v>
      </c>
      <c r="I1496" s="111" t="s">
        <v>402</v>
      </c>
      <c r="J1496" s="111" t="s">
        <v>402</v>
      </c>
      <c r="K1496" s="106" t="s">
        <v>403</v>
      </c>
      <c r="L1496" s="55" t="s">
        <v>404</v>
      </c>
      <c r="M1496" s="55" t="s">
        <v>7634</v>
      </c>
    </row>
    <row r="1497" spans="1:13">
      <c r="A1497" s="401" t="s">
        <v>4086</v>
      </c>
      <c r="B1497" s="106" t="s">
        <v>327</v>
      </c>
      <c r="C1497" s="106" t="s">
        <v>473</v>
      </c>
      <c r="D1497" s="109" t="s">
        <v>4087</v>
      </c>
      <c r="E1497" s="109" t="s">
        <v>1886</v>
      </c>
      <c r="F1497" s="109" t="s">
        <v>4088</v>
      </c>
      <c r="G1497" s="117" t="s">
        <v>383</v>
      </c>
      <c r="H1497" s="115" t="s">
        <v>402</v>
      </c>
      <c r="I1497" s="111" t="s">
        <v>402</v>
      </c>
      <c r="J1497" s="111" t="s">
        <v>402</v>
      </c>
      <c r="K1497" s="115" t="s">
        <v>403</v>
      </c>
      <c r="L1497" s="55" t="s">
        <v>404</v>
      </c>
      <c r="M1497" s="113" t="s">
        <v>1173</v>
      </c>
    </row>
    <row r="1498" spans="1:13">
      <c r="A1498" s="408" t="s">
        <v>4089</v>
      </c>
      <c r="B1498" s="106" t="s">
        <v>327</v>
      </c>
      <c r="C1498" s="106" t="s">
        <v>473</v>
      </c>
      <c r="D1498" s="107" t="s">
        <v>4090</v>
      </c>
      <c r="E1498" s="109" t="s">
        <v>355</v>
      </c>
      <c r="F1498" s="109" t="s">
        <v>355</v>
      </c>
      <c r="G1498" s="55" t="s">
        <v>355</v>
      </c>
      <c r="H1498" s="108" t="s">
        <v>402</v>
      </c>
      <c r="I1498" s="111" t="s">
        <v>402</v>
      </c>
      <c r="J1498" s="111" t="s">
        <v>402</v>
      </c>
      <c r="K1498" s="106" t="s">
        <v>403</v>
      </c>
      <c r="L1498" s="55" t="s">
        <v>404</v>
      </c>
      <c r="M1498" s="55" t="s">
        <v>7634</v>
      </c>
    </row>
    <row r="1499" spans="1:13">
      <c r="A1499" s="408" t="s">
        <v>4091</v>
      </c>
      <c r="B1499" s="106" t="s">
        <v>327</v>
      </c>
      <c r="C1499" s="106" t="s">
        <v>473</v>
      </c>
      <c r="D1499" s="107" t="s">
        <v>4092</v>
      </c>
      <c r="E1499" s="109" t="s">
        <v>355</v>
      </c>
      <c r="F1499" s="109" t="s">
        <v>355</v>
      </c>
      <c r="G1499" s="55" t="s">
        <v>355</v>
      </c>
      <c r="H1499" s="108" t="s">
        <v>402</v>
      </c>
      <c r="I1499" s="111" t="s">
        <v>402</v>
      </c>
      <c r="J1499" s="111" t="s">
        <v>402</v>
      </c>
      <c r="K1499" s="106" t="s">
        <v>403</v>
      </c>
      <c r="L1499" s="55" t="s">
        <v>404</v>
      </c>
      <c r="M1499" s="55" t="s">
        <v>7634</v>
      </c>
    </row>
    <row r="1500" spans="1:13">
      <c r="A1500" s="408" t="s">
        <v>4093</v>
      </c>
      <c r="B1500" s="106" t="s">
        <v>327</v>
      </c>
      <c r="C1500" s="106" t="s">
        <v>473</v>
      </c>
      <c r="D1500" s="107" t="s">
        <v>4094</v>
      </c>
      <c r="E1500" s="109" t="s">
        <v>355</v>
      </c>
      <c r="F1500" s="109" t="s">
        <v>355</v>
      </c>
      <c r="G1500" s="55" t="s">
        <v>355</v>
      </c>
      <c r="H1500" s="108" t="s">
        <v>402</v>
      </c>
      <c r="I1500" s="111" t="s">
        <v>402</v>
      </c>
      <c r="J1500" s="111" t="s">
        <v>402</v>
      </c>
      <c r="K1500" s="106" t="s">
        <v>403</v>
      </c>
      <c r="L1500" s="55" t="s">
        <v>404</v>
      </c>
      <c r="M1500" s="55" t="s">
        <v>7634</v>
      </c>
    </row>
    <row r="1501" spans="1:13">
      <c r="A1501" s="408" t="s">
        <v>4095</v>
      </c>
      <c r="B1501" s="106" t="s">
        <v>327</v>
      </c>
      <c r="C1501" s="106" t="s">
        <v>473</v>
      </c>
      <c r="D1501" s="107" t="s">
        <v>4096</v>
      </c>
      <c r="E1501" s="109" t="s">
        <v>355</v>
      </c>
      <c r="F1501" s="109" t="s">
        <v>355</v>
      </c>
      <c r="G1501" s="55" t="s">
        <v>355</v>
      </c>
      <c r="H1501" s="108" t="s">
        <v>402</v>
      </c>
      <c r="I1501" s="111" t="s">
        <v>402</v>
      </c>
      <c r="J1501" s="111" t="s">
        <v>402</v>
      </c>
      <c r="K1501" s="106" t="s">
        <v>403</v>
      </c>
      <c r="L1501" s="55" t="s">
        <v>404</v>
      </c>
      <c r="M1501" s="55" t="s">
        <v>7634</v>
      </c>
    </row>
    <row r="1502" spans="1:13">
      <c r="A1502" s="408" t="s">
        <v>4097</v>
      </c>
      <c r="B1502" s="106" t="s">
        <v>327</v>
      </c>
      <c r="C1502" s="106" t="s">
        <v>473</v>
      </c>
      <c r="D1502" s="107" t="s">
        <v>4098</v>
      </c>
      <c r="E1502" s="109" t="s">
        <v>355</v>
      </c>
      <c r="F1502" s="109" t="s">
        <v>355</v>
      </c>
      <c r="G1502" s="55" t="s">
        <v>355</v>
      </c>
      <c r="H1502" s="108" t="s">
        <v>402</v>
      </c>
      <c r="I1502" s="111" t="s">
        <v>402</v>
      </c>
      <c r="J1502" s="111" t="s">
        <v>402</v>
      </c>
      <c r="K1502" s="106" t="s">
        <v>403</v>
      </c>
      <c r="L1502" s="55" t="s">
        <v>404</v>
      </c>
      <c r="M1502" s="55" t="s">
        <v>7634</v>
      </c>
    </row>
    <row r="1503" spans="1:13">
      <c r="A1503" s="409" t="s">
        <v>4099</v>
      </c>
      <c r="B1503" s="106" t="s">
        <v>327</v>
      </c>
      <c r="C1503" s="106" t="s">
        <v>473</v>
      </c>
      <c r="D1503" s="109" t="s">
        <v>4100</v>
      </c>
      <c r="E1503" s="131" t="s">
        <v>4101</v>
      </c>
      <c r="F1503" s="109" t="s">
        <v>4102</v>
      </c>
      <c r="G1503" s="117" t="s">
        <v>383</v>
      </c>
      <c r="H1503" s="115" t="s">
        <v>402</v>
      </c>
      <c r="I1503" s="111" t="s">
        <v>402</v>
      </c>
      <c r="J1503" s="111" t="s">
        <v>402</v>
      </c>
      <c r="K1503" s="115" t="s">
        <v>403</v>
      </c>
      <c r="L1503" s="55" t="s">
        <v>404</v>
      </c>
      <c r="M1503" s="113" t="s">
        <v>1173</v>
      </c>
    </row>
    <row r="1504" spans="1:13">
      <c r="A1504" s="408" t="s">
        <v>4103</v>
      </c>
      <c r="B1504" s="106" t="s">
        <v>327</v>
      </c>
      <c r="C1504" s="106" t="s">
        <v>473</v>
      </c>
      <c r="D1504" s="107" t="s">
        <v>4104</v>
      </c>
      <c r="E1504" s="109" t="s">
        <v>355</v>
      </c>
      <c r="F1504" s="109" t="s">
        <v>355</v>
      </c>
      <c r="G1504" s="55" t="s">
        <v>355</v>
      </c>
      <c r="H1504" s="108" t="s">
        <v>402</v>
      </c>
      <c r="I1504" s="111" t="s">
        <v>402</v>
      </c>
      <c r="J1504" s="111" t="s">
        <v>402</v>
      </c>
      <c r="K1504" s="106" t="s">
        <v>403</v>
      </c>
      <c r="L1504" s="55" t="s">
        <v>404</v>
      </c>
      <c r="M1504" s="55" t="s">
        <v>7634</v>
      </c>
    </row>
    <row r="1505" spans="1:13">
      <c r="A1505" s="408" t="s">
        <v>4105</v>
      </c>
      <c r="B1505" s="106" t="s">
        <v>327</v>
      </c>
      <c r="C1505" s="106" t="s">
        <v>473</v>
      </c>
      <c r="D1505" s="107" t="s">
        <v>4106</v>
      </c>
      <c r="E1505" s="109" t="s">
        <v>355</v>
      </c>
      <c r="F1505" s="109" t="s">
        <v>4107</v>
      </c>
      <c r="G1505" s="592" t="s">
        <v>4108</v>
      </c>
      <c r="H1505" s="108" t="s">
        <v>402</v>
      </c>
      <c r="I1505" s="111" t="s">
        <v>402</v>
      </c>
      <c r="J1505" s="111" t="s">
        <v>402</v>
      </c>
      <c r="K1505" s="106" t="s">
        <v>403</v>
      </c>
      <c r="L1505" s="55" t="s">
        <v>404</v>
      </c>
      <c r="M1505" s="55" t="s">
        <v>7634</v>
      </c>
    </row>
    <row r="1506" spans="1:13">
      <c r="A1506" s="408" t="s">
        <v>4109</v>
      </c>
      <c r="B1506" s="106" t="s">
        <v>327</v>
      </c>
      <c r="C1506" s="106" t="s">
        <v>473</v>
      </c>
      <c r="D1506" s="107" t="s">
        <v>4110</v>
      </c>
      <c r="E1506" s="109" t="s">
        <v>355</v>
      </c>
      <c r="F1506" s="109" t="s">
        <v>355</v>
      </c>
      <c r="G1506" s="55" t="s">
        <v>355</v>
      </c>
      <c r="H1506" s="108" t="s">
        <v>402</v>
      </c>
      <c r="I1506" s="111" t="s">
        <v>402</v>
      </c>
      <c r="J1506" s="111" t="s">
        <v>402</v>
      </c>
      <c r="K1506" s="106" t="s">
        <v>403</v>
      </c>
      <c r="L1506" s="55" t="s">
        <v>404</v>
      </c>
      <c r="M1506" s="55" t="s">
        <v>7634</v>
      </c>
    </row>
    <row r="1507" spans="1:13">
      <c r="A1507" s="408" t="s">
        <v>4111</v>
      </c>
      <c r="B1507" s="106" t="s">
        <v>327</v>
      </c>
      <c r="C1507" s="106" t="s">
        <v>473</v>
      </c>
      <c r="D1507" s="107" t="s">
        <v>4112</v>
      </c>
      <c r="E1507" s="109" t="s">
        <v>355</v>
      </c>
      <c r="F1507" s="109" t="s">
        <v>355</v>
      </c>
      <c r="G1507" s="55" t="s">
        <v>355</v>
      </c>
      <c r="H1507" s="108" t="s">
        <v>402</v>
      </c>
      <c r="I1507" s="111" t="s">
        <v>402</v>
      </c>
      <c r="J1507" s="111" t="s">
        <v>402</v>
      </c>
      <c r="K1507" s="106" t="s">
        <v>403</v>
      </c>
      <c r="L1507" s="55" t="s">
        <v>404</v>
      </c>
      <c r="M1507" s="55" t="s">
        <v>7634</v>
      </c>
    </row>
    <row r="1508" spans="1:13">
      <c r="A1508" s="408" t="s">
        <v>4113</v>
      </c>
      <c r="B1508" s="106" t="s">
        <v>327</v>
      </c>
      <c r="C1508" s="106" t="s">
        <v>473</v>
      </c>
      <c r="D1508" s="107" t="s">
        <v>4114</v>
      </c>
      <c r="E1508" s="109" t="s">
        <v>355</v>
      </c>
      <c r="F1508" s="109" t="s">
        <v>355</v>
      </c>
      <c r="G1508" s="55" t="s">
        <v>355</v>
      </c>
      <c r="H1508" s="108" t="s">
        <v>402</v>
      </c>
      <c r="I1508" s="111" t="s">
        <v>402</v>
      </c>
      <c r="J1508" s="111" t="s">
        <v>402</v>
      </c>
      <c r="K1508" s="106" t="s">
        <v>403</v>
      </c>
      <c r="L1508" s="55" t="s">
        <v>404</v>
      </c>
      <c r="M1508" s="55" t="s">
        <v>7634</v>
      </c>
    </row>
    <row r="1509" spans="1:13">
      <c r="A1509" s="408" t="s">
        <v>4115</v>
      </c>
      <c r="B1509" s="106" t="s">
        <v>327</v>
      </c>
      <c r="C1509" s="106" t="s">
        <v>473</v>
      </c>
      <c r="D1509" s="107" t="s">
        <v>4116</v>
      </c>
      <c r="E1509" s="109" t="s">
        <v>355</v>
      </c>
      <c r="F1509" s="109" t="s">
        <v>355</v>
      </c>
      <c r="G1509" s="55" t="s">
        <v>355</v>
      </c>
      <c r="H1509" s="108" t="s">
        <v>402</v>
      </c>
      <c r="I1509" s="111" t="s">
        <v>402</v>
      </c>
      <c r="J1509" s="111" t="s">
        <v>402</v>
      </c>
      <c r="K1509" s="106" t="s">
        <v>403</v>
      </c>
      <c r="L1509" s="55" t="s">
        <v>404</v>
      </c>
      <c r="M1509" s="55" t="s">
        <v>7634</v>
      </c>
    </row>
    <row r="1510" spans="1:13">
      <c r="A1510" s="408" t="s">
        <v>4117</v>
      </c>
      <c r="B1510" s="106" t="s">
        <v>327</v>
      </c>
      <c r="C1510" s="106" t="s">
        <v>473</v>
      </c>
      <c r="D1510" s="107" t="s">
        <v>4118</v>
      </c>
      <c r="E1510" s="109" t="s">
        <v>355</v>
      </c>
      <c r="F1510" s="109" t="s">
        <v>355</v>
      </c>
      <c r="G1510" s="55" t="s">
        <v>355</v>
      </c>
      <c r="H1510" s="108" t="s">
        <v>402</v>
      </c>
      <c r="I1510" s="111" t="s">
        <v>402</v>
      </c>
      <c r="J1510" s="111" t="s">
        <v>402</v>
      </c>
      <c r="K1510" s="106" t="s">
        <v>403</v>
      </c>
      <c r="L1510" s="55" t="s">
        <v>404</v>
      </c>
      <c r="M1510" s="55" t="s">
        <v>7634</v>
      </c>
    </row>
    <row r="1511" spans="1:13">
      <c r="A1511" s="408" t="s">
        <v>4119</v>
      </c>
      <c r="B1511" s="106" t="s">
        <v>327</v>
      </c>
      <c r="C1511" s="106" t="s">
        <v>473</v>
      </c>
      <c r="D1511" s="107" t="s">
        <v>4120</v>
      </c>
      <c r="E1511" s="109" t="s">
        <v>355</v>
      </c>
      <c r="F1511" s="109" t="s">
        <v>355</v>
      </c>
      <c r="G1511" s="55" t="s">
        <v>355</v>
      </c>
      <c r="H1511" s="108" t="s">
        <v>402</v>
      </c>
      <c r="I1511" s="111" t="s">
        <v>402</v>
      </c>
      <c r="J1511" s="111" t="s">
        <v>402</v>
      </c>
      <c r="K1511" s="106" t="s">
        <v>403</v>
      </c>
      <c r="L1511" s="55" t="s">
        <v>404</v>
      </c>
      <c r="M1511" s="55" t="s">
        <v>7634</v>
      </c>
    </row>
    <row r="1512" spans="1:13">
      <c r="A1512" s="401" t="s">
        <v>4121</v>
      </c>
      <c r="B1512" s="106" t="s">
        <v>327</v>
      </c>
      <c r="C1512" s="106" t="s">
        <v>473</v>
      </c>
      <c r="D1512" s="109" t="s">
        <v>4122</v>
      </c>
      <c r="E1512" s="109" t="s">
        <v>4123</v>
      </c>
      <c r="F1512" s="109" t="s">
        <v>4124</v>
      </c>
      <c r="G1512" s="117" t="s">
        <v>383</v>
      </c>
      <c r="H1512" s="115" t="s">
        <v>402</v>
      </c>
      <c r="I1512" s="111" t="s">
        <v>402</v>
      </c>
      <c r="J1512" s="111" t="s">
        <v>402</v>
      </c>
      <c r="K1512" s="106" t="s">
        <v>403</v>
      </c>
      <c r="L1512" s="55" t="s">
        <v>404</v>
      </c>
      <c r="M1512" s="113" t="s">
        <v>1173</v>
      </c>
    </row>
    <row r="1513" spans="1:13">
      <c r="A1513" s="408" t="s">
        <v>4125</v>
      </c>
      <c r="B1513" s="106" t="s">
        <v>327</v>
      </c>
      <c r="C1513" s="106" t="s">
        <v>473</v>
      </c>
      <c r="D1513" s="107" t="s">
        <v>4126</v>
      </c>
      <c r="E1513" s="109" t="s">
        <v>355</v>
      </c>
      <c r="F1513" s="109" t="s">
        <v>355</v>
      </c>
      <c r="G1513" s="55" t="s">
        <v>355</v>
      </c>
      <c r="H1513" s="108" t="s">
        <v>402</v>
      </c>
      <c r="I1513" s="111" t="s">
        <v>402</v>
      </c>
      <c r="J1513" s="111" t="s">
        <v>402</v>
      </c>
      <c r="K1513" s="106" t="s">
        <v>403</v>
      </c>
      <c r="L1513" s="55" t="s">
        <v>404</v>
      </c>
      <c r="M1513" s="55" t="s">
        <v>7634</v>
      </c>
    </row>
    <row r="1514" spans="1:13">
      <c r="A1514" s="408" t="s">
        <v>4127</v>
      </c>
      <c r="B1514" s="106" t="s">
        <v>327</v>
      </c>
      <c r="C1514" s="106" t="s">
        <v>473</v>
      </c>
      <c r="D1514" s="107" t="s">
        <v>4128</v>
      </c>
      <c r="E1514" s="109" t="s">
        <v>355</v>
      </c>
      <c r="F1514" s="109" t="s">
        <v>355</v>
      </c>
      <c r="G1514" s="55" t="s">
        <v>355</v>
      </c>
      <c r="H1514" s="108" t="s">
        <v>402</v>
      </c>
      <c r="I1514" s="111" t="s">
        <v>402</v>
      </c>
      <c r="J1514" s="111" t="s">
        <v>402</v>
      </c>
      <c r="K1514" s="106" t="s">
        <v>403</v>
      </c>
      <c r="L1514" s="55" t="s">
        <v>404</v>
      </c>
      <c r="M1514" s="55" t="s">
        <v>7634</v>
      </c>
    </row>
    <row r="1515" spans="1:13">
      <c r="A1515" s="408" t="s">
        <v>4129</v>
      </c>
      <c r="B1515" s="106" t="s">
        <v>327</v>
      </c>
      <c r="C1515" s="106" t="s">
        <v>473</v>
      </c>
      <c r="D1515" s="107" t="s">
        <v>4130</v>
      </c>
      <c r="E1515" s="109" t="s">
        <v>355</v>
      </c>
      <c r="F1515" s="109" t="s">
        <v>355</v>
      </c>
      <c r="G1515" s="55" t="s">
        <v>355</v>
      </c>
      <c r="H1515" s="108" t="s">
        <v>402</v>
      </c>
      <c r="I1515" s="111" t="s">
        <v>402</v>
      </c>
      <c r="J1515" s="111" t="s">
        <v>402</v>
      </c>
      <c r="K1515" s="106" t="s">
        <v>403</v>
      </c>
      <c r="L1515" s="55" t="s">
        <v>404</v>
      </c>
      <c r="M1515" s="55" t="s">
        <v>7634</v>
      </c>
    </row>
    <row r="1516" spans="1:13">
      <c r="A1516" s="408" t="s">
        <v>4131</v>
      </c>
      <c r="B1516" s="106" t="s">
        <v>327</v>
      </c>
      <c r="C1516" s="106" t="s">
        <v>473</v>
      </c>
      <c r="D1516" s="107" t="s">
        <v>4132</v>
      </c>
      <c r="E1516" s="109" t="s">
        <v>355</v>
      </c>
      <c r="F1516" s="109" t="s">
        <v>355</v>
      </c>
      <c r="G1516" s="55" t="s">
        <v>355</v>
      </c>
      <c r="H1516" s="108" t="s">
        <v>402</v>
      </c>
      <c r="I1516" s="111" t="s">
        <v>402</v>
      </c>
      <c r="J1516" s="111" t="s">
        <v>402</v>
      </c>
      <c r="K1516" s="106" t="s">
        <v>403</v>
      </c>
      <c r="L1516" s="55" t="s">
        <v>404</v>
      </c>
      <c r="M1516" s="55" t="s">
        <v>7634</v>
      </c>
    </row>
    <row r="1517" spans="1:13">
      <c r="A1517" s="401" t="s">
        <v>4133</v>
      </c>
      <c r="B1517" s="106" t="s">
        <v>984</v>
      </c>
      <c r="C1517" s="106" t="s">
        <v>473</v>
      </c>
      <c r="D1517" s="109" t="s">
        <v>4134</v>
      </c>
      <c r="E1517" s="109" t="s">
        <v>4135</v>
      </c>
      <c r="F1517" s="109" t="s">
        <v>4136</v>
      </c>
      <c r="G1517" s="114"/>
      <c r="H1517" s="115" t="s">
        <v>402</v>
      </c>
      <c r="I1517" s="111" t="s">
        <v>402</v>
      </c>
      <c r="J1517" s="111" t="s">
        <v>402</v>
      </c>
      <c r="K1517" s="115" t="s">
        <v>403</v>
      </c>
      <c r="L1517" s="55" t="s">
        <v>404</v>
      </c>
      <c r="M1517" s="55" t="s">
        <v>7634</v>
      </c>
    </row>
    <row r="1518" spans="1:13">
      <c r="A1518" s="408" t="s">
        <v>4137</v>
      </c>
      <c r="B1518" s="106" t="s">
        <v>327</v>
      </c>
      <c r="C1518" s="106" t="s">
        <v>473</v>
      </c>
      <c r="D1518" s="107" t="s">
        <v>4138</v>
      </c>
      <c r="E1518" s="109" t="s">
        <v>355</v>
      </c>
      <c r="F1518" s="109" t="s">
        <v>355</v>
      </c>
      <c r="G1518" s="55" t="s">
        <v>355</v>
      </c>
      <c r="H1518" s="108" t="s">
        <v>402</v>
      </c>
      <c r="I1518" s="111" t="s">
        <v>402</v>
      </c>
      <c r="J1518" s="111" t="s">
        <v>402</v>
      </c>
      <c r="K1518" s="106" t="s">
        <v>403</v>
      </c>
      <c r="L1518" s="55" t="s">
        <v>404</v>
      </c>
      <c r="M1518" s="55" t="s">
        <v>7634</v>
      </c>
    </row>
    <row r="1519" spans="1:13">
      <c r="A1519" s="401" t="s">
        <v>7009</v>
      </c>
      <c r="B1519" s="106" t="s">
        <v>327</v>
      </c>
      <c r="C1519" s="106" t="s">
        <v>473</v>
      </c>
      <c r="D1519" s="107" t="s">
        <v>7010</v>
      </c>
      <c r="E1519" s="107" t="s">
        <v>7011</v>
      </c>
      <c r="F1519" s="107" t="s">
        <v>7012</v>
      </c>
      <c r="G1519" s="595" t="s">
        <v>7013</v>
      </c>
      <c r="H1519" s="108" t="s">
        <v>402</v>
      </c>
      <c r="I1519" s="111" t="s">
        <v>402</v>
      </c>
      <c r="J1519" s="111" t="s">
        <v>402</v>
      </c>
      <c r="K1519" s="106" t="s">
        <v>403</v>
      </c>
      <c r="L1519" s="55" t="s">
        <v>404</v>
      </c>
      <c r="M1519" s="55" t="s">
        <v>7634</v>
      </c>
    </row>
    <row r="1520" spans="1:13">
      <c r="A1520" s="401" t="s">
        <v>4139</v>
      </c>
      <c r="B1520" s="106" t="s">
        <v>327</v>
      </c>
      <c r="C1520" s="106" t="s">
        <v>473</v>
      </c>
      <c r="D1520" s="109" t="s">
        <v>4140</v>
      </c>
      <c r="E1520" s="109" t="s">
        <v>4141</v>
      </c>
      <c r="F1520" s="109" t="s">
        <v>4142</v>
      </c>
      <c r="G1520" s="117" t="s">
        <v>383</v>
      </c>
      <c r="H1520" s="115" t="s">
        <v>402</v>
      </c>
      <c r="I1520" s="111" t="s">
        <v>402</v>
      </c>
      <c r="J1520" s="111" t="s">
        <v>402</v>
      </c>
      <c r="K1520" s="115" t="s">
        <v>403</v>
      </c>
      <c r="L1520" s="55" t="s">
        <v>404</v>
      </c>
      <c r="M1520" s="113" t="s">
        <v>1173</v>
      </c>
    </row>
    <row r="1521" spans="1:13">
      <c r="A1521" s="401" t="s">
        <v>4143</v>
      </c>
      <c r="B1521" s="106" t="s">
        <v>327</v>
      </c>
      <c r="C1521" s="106" t="s">
        <v>473</v>
      </c>
      <c r="D1521" s="109" t="s">
        <v>4144</v>
      </c>
      <c r="E1521" s="109" t="s">
        <v>4145</v>
      </c>
      <c r="F1521" s="109" t="s">
        <v>4146</v>
      </c>
      <c r="G1521" s="117" t="s">
        <v>383</v>
      </c>
      <c r="H1521" s="115" t="s">
        <v>402</v>
      </c>
      <c r="I1521" s="111" t="s">
        <v>402</v>
      </c>
      <c r="J1521" s="111" t="s">
        <v>402</v>
      </c>
      <c r="K1521" s="106" t="s">
        <v>403</v>
      </c>
      <c r="L1521" s="55" t="s">
        <v>404</v>
      </c>
      <c r="M1521" s="55" t="s">
        <v>1173</v>
      </c>
    </row>
    <row r="1522" spans="1:13">
      <c r="A1522" s="408" t="s">
        <v>4147</v>
      </c>
      <c r="B1522" s="106" t="s">
        <v>327</v>
      </c>
      <c r="C1522" s="106" t="s">
        <v>473</v>
      </c>
      <c r="D1522" s="107" t="s">
        <v>4148</v>
      </c>
      <c r="E1522" s="109" t="s">
        <v>355</v>
      </c>
      <c r="F1522" s="109" t="s">
        <v>355</v>
      </c>
      <c r="G1522" s="55" t="s">
        <v>355</v>
      </c>
      <c r="H1522" s="108" t="s">
        <v>402</v>
      </c>
      <c r="I1522" s="111" t="s">
        <v>402</v>
      </c>
      <c r="J1522" s="111" t="s">
        <v>402</v>
      </c>
      <c r="K1522" s="106" t="s">
        <v>403</v>
      </c>
      <c r="L1522" s="55" t="s">
        <v>404</v>
      </c>
      <c r="M1522" s="55" t="s">
        <v>7634</v>
      </c>
    </row>
    <row r="1523" spans="1:13">
      <c r="A1523" s="408" t="s">
        <v>4149</v>
      </c>
      <c r="B1523" s="106" t="s">
        <v>327</v>
      </c>
      <c r="C1523" s="106" t="s">
        <v>473</v>
      </c>
      <c r="D1523" s="107" t="s">
        <v>4150</v>
      </c>
      <c r="E1523" s="109" t="s">
        <v>355</v>
      </c>
      <c r="F1523" s="109" t="s">
        <v>355</v>
      </c>
      <c r="G1523" s="55" t="s">
        <v>355</v>
      </c>
      <c r="H1523" s="108" t="s">
        <v>402</v>
      </c>
      <c r="I1523" s="111" t="s">
        <v>402</v>
      </c>
      <c r="J1523" s="111" t="s">
        <v>402</v>
      </c>
      <c r="K1523" s="106" t="s">
        <v>403</v>
      </c>
      <c r="L1523" s="55" t="s">
        <v>404</v>
      </c>
      <c r="M1523" s="55" t="s">
        <v>7634</v>
      </c>
    </row>
    <row r="1524" spans="1:13">
      <c r="A1524" s="408" t="s">
        <v>4151</v>
      </c>
      <c r="B1524" s="106" t="s">
        <v>327</v>
      </c>
      <c r="C1524" s="106" t="s">
        <v>473</v>
      </c>
      <c r="D1524" s="107" t="s">
        <v>4152</v>
      </c>
      <c r="E1524" s="109" t="s">
        <v>355</v>
      </c>
      <c r="F1524" s="109" t="s">
        <v>355</v>
      </c>
      <c r="G1524" s="55" t="s">
        <v>355</v>
      </c>
      <c r="H1524" s="108" t="s">
        <v>402</v>
      </c>
      <c r="I1524" s="111" t="s">
        <v>402</v>
      </c>
      <c r="J1524" s="111" t="s">
        <v>402</v>
      </c>
      <c r="K1524" s="106" t="s">
        <v>403</v>
      </c>
      <c r="L1524" s="55" t="s">
        <v>404</v>
      </c>
      <c r="M1524" s="55" t="s">
        <v>7634</v>
      </c>
    </row>
    <row r="1525" spans="1:13">
      <c r="A1525" s="408" t="s">
        <v>4153</v>
      </c>
      <c r="B1525" s="106" t="s">
        <v>327</v>
      </c>
      <c r="C1525" s="106" t="s">
        <v>473</v>
      </c>
      <c r="D1525" s="107" t="s">
        <v>4154</v>
      </c>
      <c r="E1525" s="109" t="s">
        <v>355</v>
      </c>
      <c r="F1525" s="109" t="s">
        <v>355</v>
      </c>
      <c r="G1525" s="55" t="s">
        <v>355</v>
      </c>
      <c r="H1525" s="108" t="s">
        <v>402</v>
      </c>
      <c r="I1525" s="111" t="s">
        <v>402</v>
      </c>
      <c r="J1525" s="111" t="s">
        <v>402</v>
      </c>
      <c r="K1525" s="106" t="s">
        <v>403</v>
      </c>
      <c r="L1525" s="55" t="s">
        <v>404</v>
      </c>
      <c r="M1525" s="55" t="s">
        <v>7634</v>
      </c>
    </row>
    <row r="1526" spans="1:13">
      <c r="A1526" s="401" t="s">
        <v>4155</v>
      </c>
      <c r="B1526" s="106" t="s">
        <v>327</v>
      </c>
      <c r="C1526" s="106" t="s">
        <v>473</v>
      </c>
      <c r="D1526" s="109" t="s">
        <v>4156</v>
      </c>
      <c r="E1526" s="109" t="s">
        <v>4157</v>
      </c>
      <c r="F1526" s="109" t="s">
        <v>4158</v>
      </c>
      <c r="G1526" s="112" t="s">
        <v>4159</v>
      </c>
      <c r="H1526" s="115" t="s">
        <v>402</v>
      </c>
      <c r="I1526" s="111" t="s">
        <v>402</v>
      </c>
      <c r="J1526" s="111" t="s">
        <v>402</v>
      </c>
      <c r="K1526" s="115" t="s">
        <v>403</v>
      </c>
      <c r="L1526" s="55" t="s">
        <v>404</v>
      </c>
      <c r="M1526" s="113" t="s">
        <v>383</v>
      </c>
    </row>
    <row r="1527" spans="1:13">
      <c r="A1527" s="401" t="s">
        <v>4160</v>
      </c>
      <c r="B1527" s="106" t="s">
        <v>327</v>
      </c>
      <c r="C1527" s="106" t="s">
        <v>473</v>
      </c>
      <c r="D1527" s="109" t="s">
        <v>4161</v>
      </c>
      <c r="E1527" s="109" t="s">
        <v>4162</v>
      </c>
      <c r="F1527" s="110" t="s">
        <v>383</v>
      </c>
      <c r="G1527" s="112" t="s">
        <v>4163</v>
      </c>
      <c r="H1527" s="115" t="s">
        <v>402</v>
      </c>
      <c r="I1527" s="111" t="s">
        <v>402</v>
      </c>
      <c r="J1527" s="111" t="s">
        <v>402</v>
      </c>
      <c r="K1527" s="115" t="s">
        <v>403</v>
      </c>
      <c r="L1527" s="55" t="s">
        <v>404</v>
      </c>
      <c r="M1527" s="55" t="s">
        <v>1173</v>
      </c>
    </row>
    <row r="1528" spans="1:13">
      <c r="A1528" s="408" t="s">
        <v>4164</v>
      </c>
      <c r="B1528" s="106" t="s">
        <v>327</v>
      </c>
      <c r="C1528" s="106" t="s">
        <v>473</v>
      </c>
      <c r="D1528" s="107" t="s">
        <v>4165</v>
      </c>
      <c r="E1528" s="109" t="s">
        <v>355</v>
      </c>
      <c r="F1528" s="109" t="s">
        <v>355</v>
      </c>
      <c r="G1528" s="55" t="s">
        <v>355</v>
      </c>
      <c r="H1528" s="108" t="s">
        <v>402</v>
      </c>
      <c r="I1528" s="111" t="s">
        <v>402</v>
      </c>
      <c r="J1528" s="111" t="s">
        <v>402</v>
      </c>
      <c r="K1528" s="106" t="s">
        <v>403</v>
      </c>
      <c r="L1528" s="55" t="s">
        <v>404</v>
      </c>
      <c r="M1528" s="55" t="s">
        <v>7634</v>
      </c>
    </row>
    <row r="1529" spans="1:13">
      <c r="A1529" s="408" t="s">
        <v>4166</v>
      </c>
      <c r="B1529" s="106" t="s">
        <v>327</v>
      </c>
      <c r="C1529" s="106" t="s">
        <v>473</v>
      </c>
      <c r="D1529" s="107" t="s">
        <v>4167</v>
      </c>
      <c r="E1529" s="109" t="s">
        <v>355</v>
      </c>
      <c r="F1529" s="109" t="s">
        <v>355</v>
      </c>
      <c r="G1529" s="55" t="s">
        <v>355</v>
      </c>
      <c r="H1529" s="108" t="s">
        <v>402</v>
      </c>
      <c r="I1529" s="111" t="s">
        <v>402</v>
      </c>
      <c r="J1529" s="111" t="s">
        <v>402</v>
      </c>
      <c r="K1529" s="106" t="s">
        <v>403</v>
      </c>
      <c r="L1529" s="55" t="s">
        <v>404</v>
      </c>
      <c r="M1529" s="55" t="s">
        <v>7634</v>
      </c>
    </row>
    <row r="1530" spans="1:13">
      <c r="A1530" s="408" t="s">
        <v>4168</v>
      </c>
      <c r="B1530" s="106" t="s">
        <v>327</v>
      </c>
      <c r="C1530" s="106" t="s">
        <v>473</v>
      </c>
      <c r="D1530" s="107" t="s">
        <v>3612</v>
      </c>
      <c r="E1530" s="109" t="s">
        <v>355</v>
      </c>
      <c r="F1530" s="109" t="s">
        <v>355</v>
      </c>
      <c r="G1530" s="55" t="s">
        <v>355</v>
      </c>
      <c r="H1530" s="108" t="s">
        <v>402</v>
      </c>
      <c r="I1530" s="111" t="s">
        <v>402</v>
      </c>
      <c r="J1530" s="111" t="s">
        <v>402</v>
      </c>
      <c r="K1530" s="106" t="s">
        <v>403</v>
      </c>
      <c r="L1530" s="55" t="s">
        <v>404</v>
      </c>
      <c r="M1530" s="55" t="s">
        <v>7634</v>
      </c>
    </row>
    <row r="1531" spans="1:13">
      <c r="A1531" s="408" t="s">
        <v>4169</v>
      </c>
      <c r="B1531" s="106" t="s">
        <v>327</v>
      </c>
      <c r="C1531" s="106" t="s">
        <v>473</v>
      </c>
      <c r="D1531" s="107" t="s">
        <v>4167</v>
      </c>
      <c r="E1531" s="109" t="s">
        <v>355</v>
      </c>
      <c r="F1531" s="109" t="s">
        <v>355</v>
      </c>
      <c r="G1531" s="55" t="s">
        <v>355</v>
      </c>
      <c r="H1531" s="108" t="s">
        <v>402</v>
      </c>
      <c r="I1531" s="111" t="s">
        <v>402</v>
      </c>
      <c r="J1531" s="111" t="s">
        <v>402</v>
      </c>
      <c r="K1531" s="106" t="s">
        <v>403</v>
      </c>
      <c r="L1531" s="55" t="s">
        <v>404</v>
      </c>
      <c r="M1531" s="55" t="s">
        <v>7634</v>
      </c>
    </row>
    <row r="1532" spans="1:13">
      <c r="A1532" s="401" t="s">
        <v>4170</v>
      </c>
      <c r="B1532" s="106" t="s">
        <v>327</v>
      </c>
      <c r="C1532" s="106" t="s">
        <v>473</v>
      </c>
      <c r="D1532" s="109" t="s">
        <v>4171</v>
      </c>
      <c r="E1532" s="109" t="s">
        <v>4172</v>
      </c>
      <c r="F1532" s="109" t="s">
        <v>4173</v>
      </c>
      <c r="G1532" s="117" t="s">
        <v>383</v>
      </c>
      <c r="H1532" s="115" t="s">
        <v>402</v>
      </c>
      <c r="I1532" s="111" t="s">
        <v>402</v>
      </c>
      <c r="J1532" s="111" t="s">
        <v>402</v>
      </c>
      <c r="K1532" s="115" t="s">
        <v>403</v>
      </c>
      <c r="L1532" s="55" t="s">
        <v>404</v>
      </c>
      <c r="M1532" s="113" t="s">
        <v>1173</v>
      </c>
    </row>
    <row r="1533" spans="1:13">
      <c r="A1533" s="408" t="s">
        <v>4174</v>
      </c>
      <c r="B1533" s="106" t="s">
        <v>327</v>
      </c>
      <c r="C1533" s="106" t="s">
        <v>473</v>
      </c>
      <c r="D1533" s="107" t="s">
        <v>4175</v>
      </c>
      <c r="E1533" s="109" t="s">
        <v>355</v>
      </c>
      <c r="F1533" s="109" t="s">
        <v>355</v>
      </c>
      <c r="G1533" s="55" t="s">
        <v>355</v>
      </c>
      <c r="H1533" s="108" t="s">
        <v>402</v>
      </c>
      <c r="I1533" s="111" t="s">
        <v>402</v>
      </c>
      <c r="J1533" s="111" t="s">
        <v>402</v>
      </c>
      <c r="K1533" s="106" t="s">
        <v>403</v>
      </c>
      <c r="L1533" s="55" t="s">
        <v>404</v>
      </c>
      <c r="M1533" s="55" t="s">
        <v>7634</v>
      </c>
    </row>
    <row r="1534" spans="1:13">
      <c r="A1534" s="401" t="s">
        <v>4176</v>
      </c>
      <c r="B1534" s="106" t="s">
        <v>327</v>
      </c>
      <c r="C1534" s="106" t="s">
        <v>473</v>
      </c>
      <c r="D1534" s="109" t="s">
        <v>4177</v>
      </c>
      <c r="E1534" s="109" t="s">
        <v>4178</v>
      </c>
      <c r="F1534" s="109" t="s">
        <v>4179</v>
      </c>
      <c r="G1534" s="117" t="s">
        <v>383</v>
      </c>
      <c r="H1534" s="115" t="s">
        <v>402</v>
      </c>
      <c r="I1534" s="111" t="s">
        <v>402</v>
      </c>
      <c r="J1534" s="111" t="s">
        <v>402</v>
      </c>
      <c r="K1534" s="115" t="s">
        <v>403</v>
      </c>
      <c r="L1534" s="55" t="s">
        <v>404</v>
      </c>
      <c r="M1534" s="113" t="s">
        <v>1173</v>
      </c>
    </row>
    <row r="1535" spans="1:13">
      <c r="A1535" s="408" t="s">
        <v>4180</v>
      </c>
      <c r="B1535" s="106" t="s">
        <v>327</v>
      </c>
      <c r="C1535" s="106" t="s">
        <v>473</v>
      </c>
      <c r="D1535" s="107" t="s">
        <v>4181</v>
      </c>
      <c r="E1535" s="109" t="s">
        <v>355</v>
      </c>
      <c r="F1535" s="109" t="s">
        <v>355</v>
      </c>
      <c r="G1535" s="55" t="s">
        <v>355</v>
      </c>
      <c r="H1535" s="108" t="s">
        <v>402</v>
      </c>
      <c r="I1535" s="111" t="s">
        <v>402</v>
      </c>
      <c r="J1535" s="111" t="s">
        <v>402</v>
      </c>
      <c r="K1535" s="106" t="s">
        <v>403</v>
      </c>
      <c r="L1535" s="55" t="s">
        <v>404</v>
      </c>
      <c r="M1535" s="55" t="s">
        <v>7634</v>
      </c>
    </row>
    <row r="1536" spans="1:13">
      <c r="A1536" s="408" t="s">
        <v>4182</v>
      </c>
      <c r="B1536" s="106" t="s">
        <v>327</v>
      </c>
      <c r="C1536" s="106" t="s">
        <v>473</v>
      </c>
      <c r="D1536" s="107" t="s">
        <v>4183</v>
      </c>
      <c r="E1536" s="109" t="s">
        <v>355</v>
      </c>
      <c r="F1536" s="109" t="s">
        <v>355</v>
      </c>
      <c r="G1536" s="55" t="s">
        <v>355</v>
      </c>
      <c r="H1536" s="108" t="s">
        <v>402</v>
      </c>
      <c r="I1536" s="111" t="s">
        <v>402</v>
      </c>
      <c r="J1536" s="111" t="s">
        <v>402</v>
      </c>
      <c r="K1536" s="106" t="s">
        <v>403</v>
      </c>
      <c r="L1536" s="55" t="s">
        <v>404</v>
      </c>
      <c r="M1536" s="55" t="s">
        <v>7634</v>
      </c>
    </row>
    <row r="1537" spans="1:13">
      <c r="A1537" s="401" t="s">
        <v>4184</v>
      </c>
      <c r="B1537" s="106" t="s">
        <v>327</v>
      </c>
      <c r="C1537" s="106" t="s">
        <v>473</v>
      </c>
      <c r="D1537" s="109" t="s">
        <v>4185</v>
      </c>
      <c r="E1537" s="109" t="s">
        <v>2303</v>
      </c>
      <c r="F1537" s="110" t="s">
        <v>383</v>
      </c>
      <c r="G1537" s="112" t="s">
        <v>4186</v>
      </c>
      <c r="H1537" s="115" t="s">
        <v>402</v>
      </c>
      <c r="I1537" s="111" t="s">
        <v>402</v>
      </c>
      <c r="J1537" s="111" t="s">
        <v>402</v>
      </c>
      <c r="K1537" s="115" t="s">
        <v>403</v>
      </c>
      <c r="L1537" s="55" t="s">
        <v>404</v>
      </c>
      <c r="M1537" s="113" t="s">
        <v>383</v>
      </c>
    </row>
    <row r="1538" spans="1:13">
      <c r="A1538" s="408" t="s">
        <v>4187</v>
      </c>
      <c r="B1538" s="106" t="s">
        <v>327</v>
      </c>
      <c r="C1538" s="106" t="s">
        <v>473</v>
      </c>
      <c r="D1538" s="107" t="s">
        <v>4188</v>
      </c>
      <c r="E1538" s="109" t="s">
        <v>355</v>
      </c>
      <c r="F1538" s="109" t="s">
        <v>355</v>
      </c>
      <c r="G1538" s="55" t="s">
        <v>355</v>
      </c>
      <c r="H1538" s="108" t="s">
        <v>402</v>
      </c>
      <c r="I1538" s="111" t="s">
        <v>402</v>
      </c>
      <c r="J1538" s="111" t="s">
        <v>402</v>
      </c>
      <c r="K1538" s="106" t="s">
        <v>403</v>
      </c>
      <c r="L1538" s="55" t="s">
        <v>404</v>
      </c>
      <c r="M1538" s="55" t="s">
        <v>7634</v>
      </c>
    </row>
    <row r="1539" spans="1:13">
      <c r="A1539" s="401" t="s">
        <v>4189</v>
      </c>
      <c r="B1539" s="106" t="s">
        <v>327</v>
      </c>
      <c r="C1539" s="106" t="s">
        <v>473</v>
      </c>
      <c r="D1539" s="109" t="s">
        <v>4190</v>
      </c>
      <c r="E1539" s="109" t="s">
        <v>1886</v>
      </c>
      <c r="F1539" s="109" t="s">
        <v>4191</v>
      </c>
      <c r="G1539" s="117" t="s">
        <v>383</v>
      </c>
      <c r="H1539" s="115" t="s">
        <v>402</v>
      </c>
      <c r="I1539" s="111" t="s">
        <v>402</v>
      </c>
      <c r="J1539" s="111" t="s">
        <v>402</v>
      </c>
      <c r="K1539" s="115" t="s">
        <v>403</v>
      </c>
      <c r="L1539" s="55" t="s">
        <v>404</v>
      </c>
      <c r="M1539" s="113" t="s">
        <v>1173</v>
      </c>
    </row>
    <row r="1540" spans="1:13">
      <c r="A1540" s="408" t="s">
        <v>4192</v>
      </c>
      <c r="B1540" s="106" t="s">
        <v>327</v>
      </c>
      <c r="C1540" s="106" t="s">
        <v>473</v>
      </c>
      <c r="D1540" s="107" t="s">
        <v>4193</v>
      </c>
      <c r="E1540" s="109" t="s">
        <v>355</v>
      </c>
      <c r="F1540" s="109" t="s">
        <v>355</v>
      </c>
      <c r="G1540" s="55" t="s">
        <v>355</v>
      </c>
      <c r="H1540" s="108" t="s">
        <v>402</v>
      </c>
      <c r="I1540" s="111" t="s">
        <v>402</v>
      </c>
      <c r="J1540" s="111" t="s">
        <v>402</v>
      </c>
      <c r="K1540" s="106" t="s">
        <v>403</v>
      </c>
      <c r="L1540" s="55" t="s">
        <v>404</v>
      </c>
      <c r="M1540" s="55" t="s">
        <v>7634</v>
      </c>
    </row>
    <row r="1541" spans="1:13">
      <c r="A1541" s="408" t="s">
        <v>4194</v>
      </c>
      <c r="B1541" s="106" t="s">
        <v>327</v>
      </c>
      <c r="C1541" s="106" t="s">
        <v>473</v>
      </c>
      <c r="D1541" s="107" t="s">
        <v>4195</v>
      </c>
      <c r="E1541" s="109" t="s">
        <v>355</v>
      </c>
      <c r="F1541" s="109" t="s">
        <v>355</v>
      </c>
      <c r="G1541" s="55" t="s">
        <v>355</v>
      </c>
      <c r="H1541" s="108" t="s">
        <v>402</v>
      </c>
      <c r="I1541" s="111" t="s">
        <v>402</v>
      </c>
      <c r="J1541" s="111" t="s">
        <v>402</v>
      </c>
      <c r="K1541" s="106" t="s">
        <v>403</v>
      </c>
      <c r="L1541" s="55" t="s">
        <v>404</v>
      </c>
      <c r="M1541" s="55" t="s">
        <v>7634</v>
      </c>
    </row>
    <row r="1542" spans="1:13">
      <c r="A1542" s="408" t="s">
        <v>4196</v>
      </c>
      <c r="B1542" s="106" t="s">
        <v>327</v>
      </c>
      <c r="C1542" s="106" t="s">
        <v>473</v>
      </c>
      <c r="D1542" s="107" t="s">
        <v>4197</v>
      </c>
      <c r="E1542" s="109" t="s">
        <v>355</v>
      </c>
      <c r="F1542" s="109" t="s">
        <v>355</v>
      </c>
      <c r="G1542" s="55" t="s">
        <v>355</v>
      </c>
      <c r="H1542" s="108" t="s">
        <v>402</v>
      </c>
      <c r="I1542" s="111" t="s">
        <v>402</v>
      </c>
      <c r="J1542" s="111" t="s">
        <v>402</v>
      </c>
      <c r="K1542" s="106" t="s">
        <v>403</v>
      </c>
      <c r="L1542" s="55" t="s">
        <v>404</v>
      </c>
      <c r="M1542" s="55" t="s">
        <v>7634</v>
      </c>
    </row>
    <row r="1543" spans="1:13">
      <c r="A1543" s="408" t="s">
        <v>4198</v>
      </c>
      <c r="B1543" s="106" t="s">
        <v>327</v>
      </c>
      <c r="C1543" s="106" t="s">
        <v>473</v>
      </c>
      <c r="D1543" s="107" t="s">
        <v>4199</v>
      </c>
      <c r="E1543" s="109" t="s">
        <v>355</v>
      </c>
      <c r="F1543" s="109" t="s">
        <v>355</v>
      </c>
      <c r="G1543" s="55" t="s">
        <v>355</v>
      </c>
      <c r="H1543" s="108" t="s">
        <v>402</v>
      </c>
      <c r="I1543" s="111" t="s">
        <v>402</v>
      </c>
      <c r="J1543" s="111" t="s">
        <v>402</v>
      </c>
      <c r="K1543" s="106" t="s">
        <v>403</v>
      </c>
      <c r="L1543" s="55" t="s">
        <v>404</v>
      </c>
      <c r="M1543" s="55" t="s">
        <v>7634</v>
      </c>
    </row>
    <row r="1544" spans="1:13">
      <c r="A1544" s="408" t="s">
        <v>4200</v>
      </c>
      <c r="B1544" s="106" t="s">
        <v>327</v>
      </c>
      <c r="C1544" s="106" t="s">
        <v>473</v>
      </c>
      <c r="D1544" s="107" t="s">
        <v>4201</v>
      </c>
      <c r="E1544" s="109" t="s">
        <v>355</v>
      </c>
      <c r="F1544" s="109" t="s">
        <v>355</v>
      </c>
      <c r="G1544" s="55" t="s">
        <v>355</v>
      </c>
      <c r="H1544" s="108" t="s">
        <v>402</v>
      </c>
      <c r="I1544" s="111" t="s">
        <v>402</v>
      </c>
      <c r="J1544" s="111" t="s">
        <v>402</v>
      </c>
      <c r="K1544" s="106" t="s">
        <v>403</v>
      </c>
      <c r="L1544" s="55" t="s">
        <v>404</v>
      </c>
      <c r="M1544" s="55" t="s">
        <v>7634</v>
      </c>
    </row>
    <row r="1545" spans="1:13">
      <c r="A1545" s="408" t="s">
        <v>4202</v>
      </c>
      <c r="B1545" s="106" t="s">
        <v>327</v>
      </c>
      <c r="C1545" s="106" t="s">
        <v>473</v>
      </c>
      <c r="D1545" s="107" t="s">
        <v>4203</v>
      </c>
      <c r="E1545" s="109" t="s">
        <v>355</v>
      </c>
      <c r="F1545" s="109" t="s">
        <v>355</v>
      </c>
      <c r="G1545" s="55" t="s">
        <v>355</v>
      </c>
      <c r="H1545" s="108" t="s">
        <v>402</v>
      </c>
      <c r="I1545" s="111" t="s">
        <v>402</v>
      </c>
      <c r="J1545" s="111" t="s">
        <v>402</v>
      </c>
      <c r="K1545" s="106" t="s">
        <v>403</v>
      </c>
      <c r="L1545" s="55" t="s">
        <v>404</v>
      </c>
      <c r="M1545" s="55" t="s">
        <v>7634</v>
      </c>
    </row>
    <row r="1546" spans="1:13">
      <c r="A1546" s="408" t="s">
        <v>4204</v>
      </c>
      <c r="B1546" s="106" t="s">
        <v>327</v>
      </c>
      <c r="C1546" s="106" t="s">
        <v>473</v>
      </c>
      <c r="D1546" s="107" t="s">
        <v>4205</v>
      </c>
      <c r="E1546" s="109" t="s">
        <v>355</v>
      </c>
      <c r="F1546" s="109" t="s">
        <v>355</v>
      </c>
      <c r="G1546" s="55" t="s">
        <v>355</v>
      </c>
      <c r="H1546" s="108" t="s">
        <v>402</v>
      </c>
      <c r="I1546" s="111" t="s">
        <v>402</v>
      </c>
      <c r="J1546" s="111" t="s">
        <v>402</v>
      </c>
      <c r="K1546" s="106" t="s">
        <v>403</v>
      </c>
      <c r="L1546" s="55" t="s">
        <v>404</v>
      </c>
      <c r="M1546" s="55" t="s">
        <v>7634</v>
      </c>
    </row>
    <row r="1547" spans="1:13">
      <c r="A1547" s="408" t="s">
        <v>4206</v>
      </c>
      <c r="B1547" s="106" t="s">
        <v>327</v>
      </c>
      <c r="C1547" s="106" t="s">
        <v>473</v>
      </c>
      <c r="D1547" s="107" t="s">
        <v>4207</v>
      </c>
      <c r="E1547" s="109" t="s">
        <v>355</v>
      </c>
      <c r="F1547" s="109" t="s">
        <v>355</v>
      </c>
      <c r="G1547" s="55" t="s">
        <v>355</v>
      </c>
      <c r="H1547" s="108" t="s">
        <v>402</v>
      </c>
      <c r="I1547" s="111" t="s">
        <v>402</v>
      </c>
      <c r="J1547" s="111" t="s">
        <v>402</v>
      </c>
      <c r="K1547" s="106" t="s">
        <v>403</v>
      </c>
      <c r="L1547" s="55" t="s">
        <v>404</v>
      </c>
      <c r="M1547" s="55" t="s">
        <v>7634</v>
      </c>
    </row>
    <row r="1548" spans="1:13">
      <c r="A1548" s="408" t="s">
        <v>4208</v>
      </c>
      <c r="B1548" s="106" t="s">
        <v>327</v>
      </c>
      <c r="C1548" s="106" t="s">
        <v>473</v>
      </c>
      <c r="D1548" s="107" t="s">
        <v>4209</v>
      </c>
      <c r="E1548" s="109" t="s">
        <v>355</v>
      </c>
      <c r="F1548" s="109" t="s">
        <v>355</v>
      </c>
      <c r="G1548" s="55" t="s">
        <v>355</v>
      </c>
      <c r="H1548" s="108" t="s">
        <v>402</v>
      </c>
      <c r="I1548" s="111" t="s">
        <v>402</v>
      </c>
      <c r="J1548" s="111" t="s">
        <v>402</v>
      </c>
      <c r="K1548" s="106" t="s">
        <v>403</v>
      </c>
      <c r="L1548" s="55" t="s">
        <v>404</v>
      </c>
      <c r="M1548" s="55" t="s">
        <v>7634</v>
      </c>
    </row>
    <row r="1549" spans="1:13">
      <c r="A1549" s="408" t="s">
        <v>4210</v>
      </c>
      <c r="B1549" s="106" t="s">
        <v>327</v>
      </c>
      <c r="C1549" s="106" t="s">
        <v>473</v>
      </c>
      <c r="D1549" s="107" t="s">
        <v>4211</v>
      </c>
      <c r="E1549" s="109" t="s">
        <v>355</v>
      </c>
      <c r="F1549" s="109" t="s">
        <v>355</v>
      </c>
      <c r="G1549" s="55" t="s">
        <v>355</v>
      </c>
      <c r="H1549" s="108" t="s">
        <v>402</v>
      </c>
      <c r="I1549" s="111" t="s">
        <v>402</v>
      </c>
      <c r="J1549" s="111" t="s">
        <v>402</v>
      </c>
      <c r="K1549" s="106" t="s">
        <v>403</v>
      </c>
      <c r="L1549" s="55" t="s">
        <v>404</v>
      </c>
      <c r="M1549" s="55" t="s">
        <v>7634</v>
      </c>
    </row>
    <row r="1550" spans="1:13">
      <c r="A1550" s="408" t="s">
        <v>4212</v>
      </c>
      <c r="B1550" s="106" t="s">
        <v>327</v>
      </c>
      <c r="C1550" s="106" t="s">
        <v>473</v>
      </c>
      <c r="D1550" s="107" t="s">
        <v>4213</v>
      </c>
      <c r="E1550" s="109" t="s">
        <v>355</v>
      </c>
      <c r="F1550" s="109" t="s">
        <v>355</v>
      </c>
      <c r="G1550" s="55" t="s">
        <v>355</v>
      </c>
      <c r="H1550" s="108" t="s">
        <v>402</v>
      </c>
      <c r="I1550" s="111" t="s">
        <v>402</v>
      </c>
      <c r="J1550" s="111" t="s">
        <v>402</v>
      </c>
      <c r="K1550" s="106" t="s">
        <v>403</v>
      </c>
      <c r="L1550" s="55" t="s">
        <v>404</v>
      </c>
      <c r="M1550" s="55" t="s">
        <v>7634</v>
      </c>
    </row>
    <row r="1551" spans="1:13">
      <c r="A1551" s="408" t="s">
        <v>4214</v>
      </c>
      <c r="B1551" s="106" t="s">
        <v>327</v>
      </c>
      <c r="C1551" s="106" t="s">
        <v>473</v>
      </c>
      <c r="D1551" s="107" t="s">
        <v>4215</v>
      </c>
      <c r="E1551" s="109" t="s">
        <v>355</v>
      </c>
      <c r="F1551" s="109" t="s">
        <v>355</v>
      </c>
      <c r="G1551" s="55" t="s">
        <v>355</v>
      </c>
      <c r="H1551" s="108" t="s">
        <v>402</v>
      </c>
      <c r="I1551" s="111" t="s">
        <v>402</v>
      </c>
      <c r="J1551" s="111" t="s">
        <v>402</v>
      </c>
      <c r="K1551" s="106" t="s">
        <v>403</v>
      </c>
      <c r="L1551" s="55" t="s">
        <v>404</v>
      </c>
      <c r="M1551" s="55" t="s">
        <v>7634</v>
      </c>
    </row>
    <row r="1552" spans="1:13">
      <c r="A1552" s="401" t="s">
        <v>4216</v>
      </c>
      <c r="B1552" s="106" t="s">
        <v>984</v>
      </c>
      <c r="C1552" s="106" t="s">
        <v>473</v>
      </c>
      <c r="D1552" s="109" t="s">
        <v>4217</v>
      </c>
      <c r="E1552" s="109" t="s">
        <v>1748</v>
      </c>
      <c r="F1552" s="109" t="s">
        <v>4218</v>
      </c>
      <c r="G1552" s="117" t="s">
        <v>383</v>
      </c>
      <c r="H1552" s="115" t="s">
        <v>402</v>
      </c>
      <c r="I1552" s="111" t="s">
        <v>402</v>
      </c>
      <c r="J1552" s="111" t="s">
        <v>402</v>
      </c>
      <c r="K1552" s="115" t="s">
        <v>403</v>
      </c>
      <c r="L1552" s="55" t="s">
        <v>404</v>
      </c>
      <c r="M1552" s="113" t="s">
        <v>1173</v>
      </c>
    </row>
    <row r="1553" spans="1:13">
      <c r="A1553" s="408" t="s">
        <v>4219</v>
      </c>
      <c r="B1553" s="106" t="s">
        <v>327</v>
      </c>
      <c r="C1553" s="106" t="s">
        <v>473</v>
      </c>
      <c r="D1553" s="107" t="s">
        <v>4220</v>
      </c>
      <c r="E1553" s="109" t="s">
        <v>355</v>
      </c>
      <c r="F1553" s="109" t="s">
        <v>355</v>
      </c>
      <c r="G1553" s="55" t="s">
        <v>355</v>
      </c>
      <c r="H1553" s="108" t="s">
        <v>402</v>
      </c>
      <c r="I1553" s="111" t="s">
        <v>402</v>
      </c>
      <c r="J1553" s="111" t="s">
        <v>402</v>
      </c>
      <c r="K1553" s="106" t="s">
        <v>403</v>
      </c>
      <c r="L1553" s="55" t="s">
        <v>404</v>
      </c>
      <c r="M1553" s="55" t="s">
        <v>7634</v>
      </c>
    </row>
    <row r="1554" spans="1:13">
      <c r="A1554" s="401" t="s">
        <v>4221</v>
      </c>
      <c r="B1554" s="106" t="s">
        <v>327</v>
      </c>
      <c r="C1554" s="106" t="s">
        <v>473</v>
      </c>
      <c r="D1554" s="109" t="s">
        <v>4222</v>
      </c>
      <c r="E1554" s="109" t="s">
        <v>2303</v>
      </c>
      <c r="F1554" s="109" t="s">
        <v>4223</v>
      </c>
      <c r="G1554" s="117" t="s">
        <v>383</v>
      </c>
      <c r="H1554" s="115" t="s">
        <v>402</v>
      </c>
      <c r="I1554" s="111" t="s">
        <v>402</v>
      </c>
      <c r="J1554" s="111" t="s">
        <v>402</v>
      </c>
      <c r="K1554" s="115" t="s">
        <v>403</v>
      </c>
      <c r="L1554" s="55" t="s">
        <v>404</v>
      </c>
      <c r="M1554" s="113" t="s">
        <v>1173</v>
      </c>
    </row>
    <row r="1555" spans="1:13">
      <c r="A1555" s="408" t="s">
        <v>4224</v>
      </c>
      <c r="B1555" s="106" t="s">
        <v>327</v>
      </c>
      <c r="C1555" s="106" t="s">
        <v>473</v>
      </c>
      <c r="D1555" s="107" t="s">
        <v>4225</v>
      </c>
      <c r="E1555" s="109" t="s">
        <v>355</v>
      </c>
      <c r="F1555" s="109" t="s">
        <v>355</v>
      </c>
      <c r="G1555" s="55" t="s">
        <v>355</v>
      </c>
      <c r="H1555" s="108" t="s">
        <v>402</v>
      </c>
      <c r="I1555" s="111" t="s">
        <v>402</v>
      </c>
      <c r="J1555" s="111" t="s">
        <v>402</v>
      </c>
      <c r="K1555" s="106" t="s">
        <v>403</v>
      </c>
      <c r="L1555" s="55" t="s">
        <v>404</v>
      </c>
      <c r="M1555" s="55" t="s">
        <v>7634</v>
      </c>
    </row>
    <row r="1556" spans="1:13">
      <c r="A1556" s="408" t="s">
        <v>4226</v>
      </c>
      <c r="B1556" s="106" t="s">
        <v>327</v>
      </c>
      <c r="C1556" s="106" t="s">
        <v>473</v>
      </c>
      <c r="D1556" s="107" t="s">
        <v>4227</v>
      </c>
      <c r="E1556" s="109" t="s">
        <v>355</v>
      </c>
      <c r="F1556" s="109" t="s">
        <v>355</v>
      </c>
      <c r="G1556" s="55" t="s">
        <v>355</v>
      </c>
      <c r="H1556" s="108" t="s">
        <v>402</v>
      </c>
      <c r="I1556" s="111" t="s">
        <v>402</v>
      </c>
      <c r="J1556" s="111" t="s">
        <v>402</v>
      </c>
      <c r="K1556" s="106" t="s">
        <v>403</v>
      </c>
      <c r="L1556" s="55" t="s">
        <v>404</v>
      </c>
      <c r="M1556" s="55" t="s">
        <v>7634</v>
      </c>
    </row>
    <row r="1557" spans="1:13">
      <c r="A1557" s="408" t="s">
        <v>4228</v>
      </c>
      <c r="B1557" s="106" t="s">
        <v>327</v>
      </c>
      <c r="C1557" s="106" t="s">
        <v>473</v>
      </c>
      <c r="D1557" s="107" t="s">
        <v>4229</v>
      </c>
      <c r="E1557" s="109" t="s">
        <v>355</v>
      </c>
      <c r="F1557" s="109" t="s">
        <v>355</v>
      </c>
      <c r="G1557" s="55" t="s">
        <v>355</v>
      </c>
      <c r="H1557" s="108" t="s">
        <v>402</v>
      </c>
      <c r="I1557" s="111" t="s">
        <v>402</v>
      </c>
      <c r="J1557" s="111" t="s">
        <v>402</v>
      </c>
      <c r="K1557" s="106" t="s">
        <v>403</v>
      </c>
      <c r="L1557" s="55" t="s">
        <v>404</v>
      </c>
      <c r="M1557" s="55" t="s">
        <v>7634</v>
      </c>
    </row>
    <row r="1558" spans="1:13">
      <c r="A1558" s="408" t="s">
        <v>4230</v>
      </c>
      <c r="B1558" s="106" t="s">
        <v>327</v>
      </c>
      <c r="C1558" s="106" t="s">
        <v>473</v>
      </c>
      <c r="D1558" s="107" t="s">
        <v>4231</v>
      </c>
      <c r="E1558" s="109" t="s">
        <v>355</v>
      </c>
      <c r="F1558" s="109" t="s">
        <v>355</v>
      </c>
      <c r="G1558" s="55" t="s">
        <v>355</v>
      </c>
      <c r="H1558" s="108" t="s">
        <v>402</v>
      </c>
      <c r="I1558" s="111" t="s">
        <v>402</v>
      </c>
      <c r="J1558" s="111" t="s">
        <v>402</v>
      </c>
      <c r="K1558" s="106" t="s">
        <v>403</v>
      </c>
      <c r="L1558" s="55" t="s">
        <v>404</v>
      </c>
      <c r="M1558" s="55" t="s">
        <v>7634</v>
      </c>
    </row>
    <row r="1559" spans="1:13">
      <c r="A1559" s="408" t="s">
        <v>4232</v>
      </c>
      <c r="B1559" s="106" t="s">
        <v>327</v>
      </c>
      <c r="C1559" s="106" t="s">
        <v>473</v>
      </c>
      <c r="D1559" s="107" t="s">
        <v>4233</v>
      </c>
      <c r="E1559" s="107" t="s">
        <v>4234</v>
      </c>
      <c r="F1559" s="107" t="s">
        <v>4235</v>
      </c>
      <c r="G1559" s="591" t="s">
        <v>4236</v>
      </c>
      <c r="H1559" s="108" t="s">
        <v>402</v>
      </c>
      <c r="I1559" s="111" t="s">
        <v>402</v>
      </c>
      <c r="J1559" s="111" t="s">
        <v>402</v>
      </c>
      <c r="K1559" s="106" t="s">
        <v>403</v>
      </c>
      <c r="L1559" s="55" t="s">
        <v>404</v>
      </c>
      <c r="M1559" s="55" t="s">
        <v>7634</v>
      </c>
    </row>
    <row r="1560" spans="1:13">
      <c r="A1560" s="408" t="s">
        <v>4237</v>
      </c>
      <c r="B1560" s="106" t="s">
        <v>327</v>
      </c>
      <c r="C1560" s="106" t="s">
        <v>473</v>
      </c>
      <c r="D1560" s="107" t="s">
        <v>4238</v>
      </c>
      <c r="E1560" s="109" t="s">
        <v>355</v>
      </c>
      <c r="F1560" s="109" t="s">
        <v>355</v>
      </c>
      <c r="G1560" s="55" t="s">
        <v>355</v>
      </c>
      <c r="H1560" s="108" t="s">
        <v>402</v>
      </c>
      <c r="I1560" s="111" t="s">
        <v>402</v>
      </c>
      <c r="J1560" s="111" t="s">
        <v>402</v>
      </c>
      <c r="K1560" s="106" t="s">
        <v>403</v>
      </c>
      <c r="L1560" s="55" t="s">
        <v>404</v>
      </c>
      <c r="M1560" s="55" t="s">
        <v>7634</v>
      </c>
    </row>
    <row r="1561" spans="1:13">
      <c r="A1561" s="578" t="s">
        <v>4239</v>
      </c>
      <c r="B1561" s="586" t="s">
        <v>473</v>
      </c>
      <c r="C1561" s="586" t="s">
        <v>473</v>
      </c>
      <c r="D1561" s="586" t="s">
        <v>4240</v>
      </c>
      <c r="E1561" s="586" t="s">
        <v>4241</v>
      </c>
      <c r="F1561" s="586" t="s">
        <v>4242</v>
      </c>
      <c r="G1561" s="586"/>
      <c r="H1561" s="586" t="s">
        <v>359</v>
      </c>
      <c r="I1561" s="587" t="s">
        <v>359</v>
      </c>
      <c r="J1561" s="586"/>
      <c r="K1561" s="586" t="s">
        <v>360</v>
      </c>
      <c r="L1561" s="586" t="s">
        <v>361</v>
      </c>
      <c r="M1561" s="55" t="s">
        <v>7634</v>
      </c>
    </row>
    <row r="1562" spans="1:13">
      <c r="A1562" s="401" t="s">
        <v>4243</v>
      </c>
      <c r="B1562" s="106" t="s">
        <v>327</v>
      </c>
      <c r="C1562" s="106" t="s">
        <v>473</v>
      </c>
      <c r="D1562" s="128" t="s">
        <v>4244</v>
      </c>
      <c r="E1562" s="109" t="s">
        <v>4245</v>
      </c>
      <c r="F1562" s="109" t="s">
        <v>4246</v>
      </c>
      <c r="G1562" s="117" t="s">
        <v>383</v>
      </c>
      <c r="H1562" s="115" t="s">
        <v>402</v>
      </c>
      <c r="I1562" s="111" t="s">
        <v>402</v>
      </c>
      <c r="J1562" s="111" t="s">
        <v>402</v>
      </c>
      <c r="K1562" s="106" t="s">
        <v>403</v>
      </c>
      <c r="L1562" s="55" t="s">
        <v>404</v>
      </c>
      <c r="M1562" s="55" t="s">
        <v>1173</v>
      </c>
    </row>
    <row r="1563" spans="1:13">
      <c r="A1563" s="408" t="s">
        <v>4247</v>
      </c>
      <c r="B1563" s="106" t="s">
        <v>327</v>
      </c>
      <c r="C1563" s="106" t="s">
        <v>473</v>
      </c>
      <c r="D1563" s="107" t="s">
        <v>4248</v>
      </c>
      <c r="E1563" s="109" t="s">
        <v>355</v>
      </c>
      <c r="F1563" s="109" t="s">
        <v>355</v>
      </c>
      <c r="G1563" s="55" t="s">
        <v>355</v>
      </c>
      <c r="H1563" s="108" t="s">
        <v>402</v>
      </c>
      <c r="I1563" s="111" t="s">
        <v>402</v>
      </c>
      <c r="J1563" s="111" t="s">
        <v>402</v>
      </c>
      <c r="K1563" s="106" t="s">
        <v>403</v>
      </c>
      <c r="L1563" s="55" t="s">
        <v>404</v>
      </c>
      <c r="M1563" s="55" t="s">
        <v>7634</v>
      </c>
    </row>
    <row r="1564" spans="1:13">
      <c r="A1564" s="408" t="s">
        <v>4249</v>
      </c>
      <c r="B1564" s="106" t="s">
        <v>327</v>
      </c>
      <c r="C1564" s="106" t="s">
        <v>473</v>
      </c>
      <c r="D1564" s="107" t="s">
        <v>4250</v>
      </c>
      <c r="E1564" s="109" t="s">
        <v>355</v>
      </c>
      <c r="F1564" s="109" t="s">
        <v>355</v>
      </c>
      <c r="G1564" s="55" t="s">
        <v>355</v>
      </c>
      <c r="H1564" s="108" t="s">
        <v>402</v>
      </c>
      <c r="I1564" s="111" t="s">
        <v>402</v>
      </c>
      <c r="J1564" s="111" t="s">
        <v>402</v>
      </c>
      <c r="K1564" s="106" t="s">
        <v>403</v>
      </c>
      <c r="L1564" s="55" t="s">
        <v>404</v>
      </c>
      <c r="M1564" s="55" t="s">
        <v>7634</v>
      </c>
    </row>
    <row r="1565" spans="1:13">
      <c r="A1565" s="401" t="s">
        <v>4251</v>
      </c>
      <c r="B1565" s="106" t="s">
        <v>327</v>
      </c>
      <c r="C1565" s="106" t="s">
        <v>473</v>
      </c>
      <c r="D1565" s="109" t="s">
        <v>4252</v>
      </c>
      <c r="E1565" s="109" t="s">
        <v>2303</v>
      </c>
      <c r="F1565" s="109" t="s">
        <v>4253</v>
      </c>
      <c r="G1565" s="114"/>
      <c r="H1565" s="115" t="s">
        <v>402</v>
      </c>
      <c r="I1565" s="111" t="s">
        <v>402</v>
      </c>
      <c r="J1565" s="111" t="s">
        <v>402</v>
      </c>
      <c r="K1565" s="115" t="s">
        <v>403</v>
      </c>
      <c r="L1565" s="55" t="s">
        <v>404</v>
      </c>
      <c r="M1565" s="113" t="s">
        <v>1173</v>
      </c>
    </row>
    <row r="1566" spans="1:13">
      <c r="A1566" s="408" t="s">
        <v>4254</v>
      </c>
      <c r="B1566" s="106" t="s">
        <v>327</v>
      </c>
      <c r="C1566" s="106" t="s">
        <v>473</v>
      </c>
      <c r="D1566" s="107" t="s">
        <v>4255</v>
      </c>
      <c r="E1566" s="109" t="s">
        <v>355</v>
      </c>
      <c r="F1566" s="109" t="s">
        <v>355</v>
      </c>
      <c r="G1566" s="55" t="s">
        <v>355</v>
      </c>
      <c r="H1566" s="108" t="s">
        <v>402</v>
      </c>
      <c r="I1566" s="111" t="s">
        <v>402</v>
      </c>
      <c r="J1566" s="111" t="s">
        <v>402</v>
      </c>
      <c r="K1566" s="106" t="s">
        <v>403</v>
      </c>
      <c r="L1566" s="55" t="s">
        <v>404</v>
      </c>
      <c r="M1566" s="55" t="s">
        <v>7634</v>
      </c>
    </row>
    <row r="1567" spans="1:13">
      <c r="A1567" s="408" t="s">
        <v>4256</v>
      </c>
      <c r="B1567" s="106" t="s">
        <v>327</v>
      </c>
      <c r="C1567" s="106" t="s">
        <v>473</v>
      </c>
      <c r="D1567" s="107" t="s">
        <v>4257</v>
      </c>
      <c r="E1567" s="109" t="s">
        <v>355</v>
      </c>
      <c r="F1567" s="109" t="s">
        <v>355</v>
      </c>
      <c r="G1567" s="55" t="s">
        <v>355</v>
      </c>
      <c r="H1567" s="108" t="s">
        <v>402</v>
      </c>
      <c r="I1567" s="111" t="s">
        <v>402</v>
      </c>
      <c r="J1567" s="111" t="s">
        <v>402</v>
      </c>
      <c r="K1567" s="106" t="s">
        <v>403</v>
      </c>
      <c r="L1567" s="55" t="s">
        <v>404</v>
      </c>
      <c r="M1567" s="55" t="s">
        <v>7634</v>
      </c>
    </row>
    <row r="1568" spans="1:13">
      <c r="A1568" s="408" t="s">
        <v>4258</v>
      </c>
      <c r="B1568" s="106" t="s">
        <v>327</v>
      </c>
      <c r="C1568" s="106" t="s">
        <v>473</v>
      </c>
      <c r="D1568" s="107" t="s">
        <v>4259</v>
      </c>
      <c r="E1568" s="109" t="s">
        <v>355</v>
      </c>
      <c r="F1568" s="109" t="s">
        <v>355</v>
      </c>
      <c r="G1568" s="55" t="s">
        <v>355</v>
      </c>
      <c r="H1568" s="108" t="s">
        <v>402</v>
      </c>
      <c r="I1568" s="111" t="s">
        <v>402</v>
      </c>
      <c r="J1568" s="111" t="s">
        <v>402</v>
      </c>
      <c r="K1568" s="106" t="s">
        <v>403</v>
      </c>
      <c r="L1568" s="55" t="s">
        <v>404</v>
      </c>
      <c r="M1568" s="55" t="s">
        <v>7634</v>
      </c>
    </row>
    <row r="1569" spans="1:13">
      <c r="A1569" s="408" t="s">
        <v>4260</v>
      </c>
      <c r="B1569" s="106" t="s">
        <v>327</v>
      </c>
      <c r="C1569" s="106" t="s">
        <v>473</v>
      </c>
      <c r="D1569" s="107" t="s">
        <v>4261</v>
      </c>
      <c r="E1569" s="109" t="s">
        <v>355</v>
      </c>
      <c r="F1569" s="109" t="s">
        <v>355</v>
      </c>
      <c r="G1569" s="55" t="s">
        <v>355</v>
      </c>
      <c r="H1569" s="108" t="s">
        <v>402</v>
      </c>
      <c r="I1569" s="111" t="s">
        <v>402</v>
      </c>
      <c r="J1569" s="111" t="s">
        <v>402</v>
      </c>
      <c r="K1569" s="106" t="s">
        <v>403</v>
      </c>
      <c r="L1569" s="55" t="s">
        <v>404</v>
      </c>
      <c r="M1569" s="55" t="s">
        <v>7634</v>
      </c>
    </row>
    <row r="1570" spans="1:13">
      <c r="A1570" s="401" t="s">
        <v>4262</v>
      </c>
      <c r="B1570" s="106" t="s">
        <v>327</v>
      </c>
      <c r="C1570" s="106" t="s">
        <v>473</v>
      </c>
      <c r="D1570" s="109" t="s">
        <v>4263</v>
      </c>
      <c r="E1570" s="109" t="s">
        <v>4264</v>
      </c>
      <c r="F1570" s="109" t="s">
        <v>4265</v>
      </c>
      <c r="G1570" s="117" t="s">
        <v>383</v>
      </c>
      <c r="H1570" s="115" t="s">
        <v>402</v>
      </c>
      <c r="I1570" s="111" t="s">
        <v>402</v>
      </c>
      <c r="J1570" s="111" t="s">
        <v>402</v>
      </c>
      <c r="K1570" s="115" t="s">
        <v>403</v>
      </c>
      <c r="L1570" s="55" t="s">
        <v>404</v>
      </c>
      <c r="M1570" s="55" t="s">
        <v>1173</v>
      </c>
    </row>
    <row r="1571" spans="1:13">
      <c r="A1571" s="401" t="s">
        <v>4266</v>
      </c>
      <c r="B1571" s="106" t="s">
        <v>327</v>
      </c>
      <c r="C1571" s="106" t="s">
        <v>473</v>
      </c>
      <c r="D1571" s="109" t="s">
        <v>4267</v>
      </c>
      <c r="E1571" s="109" t="s">
        <v>4268</v>
      </c>
      <c r="F1571" s="109" t="s">
        <v>4269</v>
      </c>
      <c r="G1571" s="117" t="s">
        <v>383</v>
      </c>
      <c r="H1571" s="115" t="s">
        <v>402</v>
      </c>
      <c r="I1571" s="111" t="s">
        <v>402</v>
      </c>
      <c r="J1571" s="111" t="s">
        <v>402</v>
      </c>
      <c r="K1571" s="106" t="s">
        <v>403</v>
      </c>
      <c r="L1571" s="55" t="s">
        <v>404</v>
      </c>
      <c r="M1571" s="55" t="s">
        <v>1173</v>
      </c>
    </row>
    <row r="1572" spans="1:13">
      <c r="A1572" s="408" t="s">
        <v>4270</v>
      </c>
      <c r="B1572" s="106" t="s">
        <v>327</v>
      </c>
      <c r="C1572" s="106" t="s">
        <v>473</v>
      </c>
      <c r="D1572" s="107" t="s">
        <v>4271</v>
      </c>
      <c r="E1572" s="109" t="s">
        <v>355</v>
      </c>
      <c r="F1572" s="109" t="s">
        <v>355</v>
      </c>
      <c r="G1572" s="55" t="s">
        <v>355</v>
      </c>
      <c r="H1572" s="108" t="s">
        <v>402</v>
      </c>
      <c r="I1572" s="111" t="s">
        <v>402</v>
      </c>
      <c r="J1572" s="111" t="s">
        <v>402</v>
      </c>
      <c r="K1572" s="106" t="s">
        <v>403</v>
      </c>
      <c r="L1572" s="55" t="s">
        <v>404</v>
      </c>
      <c r="M1572" s="55" t="s">
        <v>7634</v>
      </c>
    </row>
    <row r="1573" spans="1:13">
      <c r="A1573" s="401" t="s">
        <v>4272</v>
      </c>
      <c r="B1573" s="106" t="s">
        <v>327</v>
      </c>
      <c r="C1573" s="106" t="s">
        <v>473</v>
      </c>
      <c r="D1573" s="109" t="s">
        <v>4273</v>
      </c>
      <c r="E1573" s="109" t="s">
        <v>3120</v>
      </c>
      <c r="F1573" s="109" t="s">
        <v>4274</v>
      </c>
      <c r="G1573" s="117" t="s">
        <v>383</v>
      </c>
      <c r="H1573" s="115" t="s">
        <v>402</v>
      </c>
      <c r="I1573" s="111" t="s">
        <v>402</v>
      </c>
      <c r="J1573" s="111" t="s">
        <v>402</v>
      </c>
      <c r="K1573" s="115" t="s">
        <v>403</v>
      </c>
      <c r="L1573" s="55" t="s">
        <v>404</v>
      </c>
      <c r="M1573" s="113" t="s">
        <v>1173</v>
      </c>
    </row>
    <row r="1574" spans="1:13">
      <c r="A1574" s="408" t="s">
        <v>4275</v>
      </c>
      <c r="B1574" s="106" t="s">
        <v>327</v>
      </c>
      <c r="C1574" s="106" t="s">
        <v>473</v>
      </c>
      <c r="D1574" s="107" t="s">
        <v>4276</v>
      </c>
      <c r="E1574" s="109" t="s">
        <v>355</v>
      </c>
      <c r="F1574" s="109" t="s">
        <v>355</v>
      </c>
      <c r="G1574" s="55" t="s">
        <v>355</v>
      </c>
      <c r="H1574" s="108" t="s">
        <v>402</v>
      </c>
      <c r="I1574" s="111" t="s">
        <v>402</v>
      </c>
      <c r="J1574" s="111" t="s">
        <v>402</v>
      </c>
      <c r="K1574" s="106" t="s">
        <v>403</v>
      </c>
      <c r="L1574" s="55" t="s">
        <v>404</v>
      </c>
      <c r="M1574" s="55" t="s">
        <v>7634</v>
      </c>
    </row>
    <row r="1575" spans="1:13">
      <c r="A1575" s="408" t="s">
        <v>4277</v>
      </c>
      <c r="B1575" s="106" t="s">
        <v>327</v>
      </c>
      <c r="C1575" s="106" t="s">
        <v>473</v>
      </c>
      <c r="D1575" s="107" t="s">
        <v>4278</v>
      </c>
      <c r="E1575" s="109" t="s">
        <v>355</v>
      </c>
      <c r="F1575" s="109" t="s">
        <v>355</v>
      </c>
      <c r="G1575" s="55" t="s">
        <v>355</v>
      </c>
      <c r="H1575" s="108" t="s">
        <v>402</v>
      </c>
      <c r="I1575" s="111" t="s">
        <v>402</v>
      </c>
      <c r="J1575" s="111" t="s">
        <v>402</v>
      </c>
      <c r="K1575" s="106" t="s">
        <v>403</v>
      </c>
      <c r="L1575" s="55" t="s">
        <v>404</v>
      </c>
      <c r="M1575" s="55" t="s">
        <v>7634</v>
      </c>
    </row>
    <row r="1576" spans="1:13">
      <c r="A1576" s="401" t="s">
        <v>4279</v>
      </c>
      <c r="B1576" s="106" t="s">
        <v>327</v>
      </c>
      <c r="C1576" s="106" t="s">
        <v>473</v>
      </c>
      <c r="D1576" s="109" t="s">
        <v>4280</v>
      </c>
      <c r="E1576" s="109" t="s">
        <v>4281</v>
      </c>
      <c r="F1576" s="109" t="s">
        <v>4282</v>
      </c>
      <c r="G1576" s="117" t="s">
        <v>383</v>
      </c>
      <c r="H1576" s="115" t="s">
        <v>402</v>
      </c>
      <c r="I1576" s="111" t="s">
        <v>402</v>
      </c>
      <c r="J1576" s="111" t="s">
        <v>402</v>
      </c>
      <c r="K1576" s="115" t="s">
        <v>403</v>
      </c>
      <c r="L1576" s="55" t="s">
        <v>404</v>
      </c>
      <c r="M1576" s="113" t="s">
        <v>1173</v>
      </c>
    </row>
    <row r="1577" spans="1:13">
      <c r="A1577" s="408" t="s">
        <v>4283</v>
      </c>
      <c r="B1577" s="106" t="s">
        <v>327</v>
      </c>
      <c r="C1577" s="106" t="s">
        <v>473</v>
      </c>
      <c r="D1577" s="107" t="s">
        <v>4284</v>
      </c>
      <c r="E1577" s="109" t="s">
        <v>355</v>
      </c>
      <c r="F1577" s="109" t="s">
        <v>355</v>
      </c>
      <c r="G1577" s="55" t="s">
        <v>355</v>
      </c>
      <c r="H1577" s="108" t="s">
        <v>402</v>
      </c>
      <c r="I1577" s="111" t="s">
        <v>402</v>
      </c>
      <c r="J1577" s="111" t="s">
        <v>402</v>
      </c>
      <c r="K1577" s="106" t="s">
        <v>403</v>
      </c>
      <c r="L1577" s="55" t="s">
        <v>404</v>
      </c>
      <c r="M1577" s="55" t="s">
        <v>7634</v>
      </c>
    </row>
    <row r="1578" spans="1:13">
      <c r="A1578" s="408" t="s">
        <v>4285</v>
      </c>
      <c r="B1578" s="106" t="s">
        <v>327</v>
      </c>
      <c r="C1578" s="106" t="s">
        <v>473</v>
      </c>
      <c r="D1578" s="107" t="s">
        <v>4286</v>
      </c>
      <c r="E1578" s="109" t="s">
        <v>355</v>
      </c>
      <c r="F1578" s="109" t="s">
        <v>355</v>
      </c>
      <c r="G1578" s="55" t="s">
        <v>355</v>
      </c>
      <c r="H1578" s="108" t="s">
        <v>402</v>
      </c>
      <c r="I1578" s="111" t="s">
        <v>402</v>
      </c>
      <c r="J1578" s="111" t="s">
        <v>402</v>
      </c>
      <c r="K1578" s="106" t="s">
        <v>403</v>
      </c>
      <c r="L1578" s="55" t="s">
        <v>404</v>
      </c>
      <c r="M1578" s="55" t="s">
        <v>7634</v>
      </c>
    </row>
    <row r="1579" spans="1:13">
      <c r="A1579" s="408" t="s">
        <v>4287</v>
      </c>
      <c r="B1579" s="106" t="s">
        <v>327</v>
      </c>
      <c r="C1579" s="106" t="s">
        <v>473</v>
      </c>
      <c r="D1579" s="107" t="s">
        <v>4288</v>
      </c>
      <c r="E1579" s="109" t="s">
        <v>355</v>
      </c>
      <c r="F1579" s="109" t="s">
        <v>355</v>
      </c>
      <c r="G1579" s="55" t="s">
        <v>355</v>
      </c>
      <c r="H1579" s="108" t="s">
        <v>402</v>
      </c>
      <c r="I1579" s="111" t="s">
        <v>402</v>
      </c>
      <c r="J1579" s="111" t="s">
        <v>402</v>
      </c>
      <c r="K1579" s="106" t="s">
        <v>403</v>
      </c>
      <c r="L1579" s="55" t="s">
        <v>404</v>
      </c>
      <c r="M1579" s="55" t="s">
        <v>7634</v>
      </c>
    </row>
    <row r="1580" spans="1:13">
      <c r="A1580" s="408" t="s">
        <v>4289</v>
      </c>
      <c r="B1580" s="106" t="s">
        <v>327</v>
      </c>
      <c r="C1580" s="106" t="s">
        <v>473</v>
      </c>
      <c r="D1580" s="107" t="s">
        <v>4290</v>
      </c>
      <c r="E1580" s="109" t="s">
        <v>355</v>
      </c>
      <c r="F1580" s="109" t="s">
        <v>355</v>
      </c>
      <c r="G1580" s="55" t="s">
        <v>355</v>
      </c>
      <c r="H1580" s="108" t="s">
        <v>402</v>
      </c>
      <c r="I1580" s="111" t="s">
        <v>402</v>
      </c>
      <c r="J1580" s="111" t="s">
        <v>402</v>
      </c>
      <c r="K1580" s="106" t="s">
        <v>403</v>
      </c>
      <c r="L1580" s="55" t="s">
        <v>404</v>
      </c>
      <c r="M1580" s="55" t="s">
        <v>7634</v>
      </c>
    </row>
    <row r="1581" spans="1:13">
      <c r="A1581" s="408" t="s">
        <v>4291</v>
      </c>
      <c r="B1581" s="106" t="s">
        <v>327</v>
      </c>
      <c r="C1581" s="106" t="s">
        <v>473</v>
      </c>
      <c r="D1581" s="107" t="s">
        <v>4292</v>
      </c>
      <c r="E1581" s="109" t="s">
        <v>355</v>
      </c>
      <c r="F1581" s="109" t="s">
        <v>355</v>
      </c>
      <c r="G1581" s="55" t="s">
        <v>355</v>
      </c>
      <c r="H1581" s="108" t="s">
        <v>402</v>
      </c>
      <c r="I1581" s="111" t="s">
        <v>402</v>
      </c>
      <c r="J1581" s="111" t="s">
        <v>402</v>
      </c>
      <c r="K1581" s="106" t="s">
        <v>403</v>
      </c>
      <c r="L1581" s="55" t="s">
        <v>404</v>
      </c>
      <c r="M1581" s="55" t="s">
        <v>7634</v>
      </c>
    </row>
    <row r="1582" spans="1:13">
      <c r="A1582" s="401" t="s">
        <v>4293</v>
      </c>
      <c r="B1582" s="106" t="s">
        <v>327</v>
      </c>
      <c r="C1582" s="106" t="s">
        <v>473</v>
      </c>
      <c r="D1582" s="109" t="s">
        <v>4294</v>
      </c>
      <c r="E1582" s="109" t="s">
        <v>4295</v>
      </c>
      <c r="F1582" s="109" t="s">
        <v>4296</v>
      </c>
      <c r="G1582" s="117" t="s">
        <v>383</v>
      </c>
      <c r="H1582" s="115" t="s">
        <v>402</v>
      </c>
      <c r="I1582" s="111" t="s">
        <v>402</v>
      </c>
      <c r="J1582" s="111" t="s">
        <v>402</v>
      </c>
      <c r="K1582" s="106" t="s">
        <v>403</v>
      </c>
      <c r="L1582" s="55" t="s">
        <v>404</v>
      </c>
      <c r="M1582" s="55" t="s">
        <v>1173</v>
      </c>
    </row>
    <row r="1583" spans="1:13">
      <c r="A1583" s="408" t="s">
        <v>4297</v>
      </c>
      <c r="B1583" s="106" t="s">
        <v>327</v>
      </c>
      <c r="C1583" s="106" t="s">
        <v>473</v>
      </c>
      <c r="D1583" s="107" t="s">
        <v>4298</v>
      </c>
      <c r="E1583" s="109" t="s">
        <v>355</v>
      </c>
      <c r="F1583" s="109" t="s">
        <v>355</v>
      </c>
      <c r="G1583" s="55" t="s">
        <v>355</v>
      </c>
      <c r="H1583" s="108" t="s">
        <v>402</v>
      </c>
      <c r="I1583" s="111" t="s">
        <v>402</v>
      </c>
      <c r="J1583" s="111" t="s">
        <v>402</v>
      </c>
      <c r="K1583" s="106" t="s">
        <v>403</v>
      </c>
      <c r="L1583" s="55" t="s">
        <v>404</v>
      </c>
      <c r="M1583" s="55" t="s">
        <v>7634</v>
      </c>
    </row>
    <row r="1584" spans="1:13">
      <c r="A1584" s="408" t="s">
        <v>4299</v>
      </c>
      <c r="B1584" s="106" t="s">
        <v>327</v>
      </c>
      <c r="C1584" s="106" t="s">
        <v>473</v>
      </c>
      <c r="D1584" s="107" t="s">
        <v>4300</v>
      </c>
      <c r="E1584" s="109" t="s">
        <v>355</v>
      </c>
      <c r="F1584" s="109" t="s">
        <v>355</v>
      </c>
      <c r="G1584" s="55" t="s">
        <v>355</v>
      </c>
      <c r="H1584" s="108" t="s">
        <v>402</v>
      </c>
      <c r="I1584" s="111" t="s">
        <v>402</v>
      </c>
      <c r="J1584" s="111" t="s">
        <v>402</v>
      </c>
      <c r="K1584" s="106" t="s">
        <v>403</v>
      </c>
      <c r="L1584" s="55" t="s">
        <v>404</v>
      </c>
      <c r="M1584" s="55" t="s">
        <v>7634</v>
      </c>
    </row>
    <row r="1585" spans="1:13">
      <c r="A1585" s="408" t="s">
        <v>4301</v>
      </c>
      <c r="B1585" s="106" t="s">
        <v>327</v>
      </c>
      <c r="C1585" s="106" t="s">
        <v>473</v>
      </c>
      <c r="D1585" s="107" t="s">
        <v>4302</v>
      </c>
      <c r="E1585" s="109" t="s">
        <v>355</v>
      </c>
      <c r="F1585" s="109" t="s">
        <v>355</v>
      </c>
      <c r="G1585" s="55" t="s">
        <v>355</v>
      </c>
      <c r="H1585" s="108" t="s">
        <v>402</v>
      </c>
      <c r="I1585" s="111" t="s">
        <v>402</v>
      </c>
      <c r="J1585" s="111" t="s">
        <v>402</v>
      </c>
      <c r="K1585" s="106" t="s">
        <v>403</v>
      </c>
      <c r="L1585" s="55" t="s">
        <v>404</v>
      </c>
      <c r="M1585" s="55" t="s">
        <v>7634</v>
      </c>
    </row>
    <row r="1586" spans="1:13">
      <c r="A1586" s="408" t="s">
        <v>4303</v>
      </c>
      <c r="B1586" s="106" t="s">
        <v>327</v>
      </c>
      <c r="C1586" s="106" t="s">
        <v>473</v>
      </c>
      <c r="D1586" s="107" t="s">
        <v>4304</v>
      </c>
      <c r="E1586" s="109" t="s">
        <v>355</v>
      </c>
      <c r="F1586" s="109" t="s">
        <v>355</v>
      </c>
      <c r="G1586" s="55" t="s">
        <v>355</v>
      </c>
      <c r="H1586" s="108" t="s">
        <v>402</v>
      </c>
      <c r="I1586" s="111" t="s">
        <v>402</v>
      </c>
      <c r="J1586" s="111" t="s">
        <v>402</v>
      </c>
      <c r="K1586" s="106" t="s">
        <v>403</v>
      </c>
      <c r="L1586" s="55" t="s">
        <v>404</v>
      </c>
      <c r="M1586" s="55" t="s">
        <v>7634</v>
      </c>
    </row>
    <row r="1587" spans="1:13">
      <c r="A1587" s="408" t="s">
        <v>4305</v>
      </c>
      <c r="B1587" s="106" t="s">
        <v>327</v>
      </c>
      <c r="C1587" s="106" t="s">
        <v>473</v>
      </c>
      <c r="D1587" s="107" t="s">
        <v>4306</v>
      </c>
      <c r="E1587" s="109" t="s">
        <v>355</v>
      </c>
      <c r="F1587" s="109" t="s">
        <v>355</v>
      </c>
      <c r="G1587" s="55" t="s">
        <v>355</v>
      </c>
      <c r="H1587" s="108" t="s">
        <v>402</v>
      </c>
      <c r="I1587" s="111" t="s">
        <v>402</v>
      </c>
      <c r="J1587" s="111" t="s">
        <v>402</v>
      </c>
      <c r="K1587" s="106" t="s">
        <v>403</v>
      </c>
      <c r="L1587" s="55" t="s">
        <v>404</v>
      </c>
      <c r="M1587" s="55" t="s">
        <v>7634</v>
      </c>
    </row>
    <row r="1588" spans="1:13">
      <c r="A1588" s="408" t="s">
        <v>4307</v>
      </c>
      <c r="B1588" s="106" t="s">
        <v>327</v>
      </c>
      <c r="C1588" s="106" t="s">
        <v>473</v>
      </c>
      <c r="D1588" s="107" t="s">
        <v>4308</v>
      </c>
      <c r="E1588" s="109" t="s">
        <v>355</v>
      </c>
      <c r="F1588" s="109" t="s">
        <v>355</v>
      </c>
      <c r="G1588" s="55" t="s">
        <v>355</v>
      </c>
      <c r="H1588" s="108" t="s">
        <v>402</v>
      </c>
      <c r="I1588" s="111" t="s">
        <v>402</v>
      </c>
      <c r="J1588" s="111" t="s">
        <v>402</v>
      </c>
      <c r="K1588" s="106" t="s">
        <v>403</v>
      </c>
      <c r="L1588" s="55" t="s">
        <v>404</v>
      </c>
      <c r="M1588" s="55" t="s">
        <v>7634</v>
      </c>
    </row>
    <row r="1589" spans="1:13">
      <c r="A1589" s="408" t="s">
        <v>4309</v>
      </c>
      <c r="B1589" s="106" t="s">
        <v>327</v>
      </c>
      <c r="C1589" s="106" t="s">
        <v>473</v>
      </c>
      <c r="D1589" s="107" t="s">
        <v>4310</v>
      </c>
      <c r="E1589" s="109" t="s">
        <v>355</v>
      </c>
      <c r="F1589" s="109" t="s">
        <v>355</v>
      </c>
      <c r="G1589" s="55" t="s">
        <v>355</v>
      </c>
      <c r="H1589" s="108" t="s">
        <v>402</v>
      </c>
      <c r="I1589" s="111" t="s">
        <v>402</v>
      </c>
      <c r="J1589" s="111" t="s">
        <v>402</v>
      </c>
      <c r="K1589" s="106" t="s">
        <v>403</v>
      </c>
      <c r="L1589" s="55" t="s">
        <v>404</v>
      </c>
      <c r="M1589" s="55" t="s">
        <v>7634</v>
      </c>
    </row>
    <row r="1590" spans="1:13">
      <c r="A1590" s="408" t="s">
        <v>4311</v>
      </c>
      <c r="B1590" s="106" t="s">
        <v>327</v>
      </c>
      <c r="C1590" s="106" t="s">
        <v>473</v>
      </c>
      <c r="D1590" s="107" t="s">
        <v>4312</v>
      </c>
      <c r="E1590" s="109" t="s">
        <v>355</v>
      </c>
      <c r="F1590" s="109" t="s">
        <v>355</v>
      </c>
      <c r="G1590" s="55" t="s">
        <v>355</v>
      </c>
      <c r="H1590" s="108" t="s">
        <v>402</v>
      </c>
      <c r="I1590" s="111" t="s">
        <v>402</v>
      </c>
      <c r="J1590" s="111" t="s">
        <v>402</v>
      </c>
      <c r="K1590" s="106" t="s">
        <v>403</v>
      </c>
      <c r="L1590" s="55" t="s">
        <v>404</v>
      </c>
      <c r="M1590" s="55" t="s">
        <v>7634</v>
      </c>
    </row>
    <row r="1591" spans="1:13">
      <c r="A1591" s="408" t="s">
        <v>4313</v>
      </c>
      <c r="B1591" s="106" t="s">
        <v>327</v>
      </c>
      <c r="C1591" s="106" t="s">
        <v>473</v>
      </c>
      <c r="D1591" s="107" t="s">
        <v>4314</v>
      </c>
      <c r="E1591" s="109" t="s">
        <v>355</v>
      </c>
      <c r="F1591" s="109" t="s">
        <v>355</v>
      </c>
      <c r="G1591" s="55" t="s">
        <v>355</v>
      </c>
      <c r="H1591" s="108" t="s">
        <v>402</v>
      </c>
      <c r="I1591" s="111" t="s">
        <v>402</v>
      </c>
      <c r="J1591" s="111" t="s">
        <v>402</v>
      </c>
      <c r="K1591" s="106" t="s">
        <v>403</v>
      </c>
      <c r="L1591" s="55" t="s">
        <v>404</v>
      </c>
      <c r="M1591" s="55" t="s">
        <v>7634</v>
      </c>
    </row>
    <row r="1592" spans="1:13">
      <c r="A1592" s="578" t="s">
        <v>4315</v>
      </c>
      <c r="B1592" s="586" t="s">
        <v>473</v>
      </c>
      <c r="C1592" s="586" t="s">
        <v>473</v>
      </c>
      <c r="D1592" s="586" t="s">
        <v>4316</v>
      </c>
      <c r="E1592" s="586" t="s">
        <v>4317</v>
      </c>
      <c r="F1592" s="586" t="s">
        <v>4318</v>
      </c>
      <c r="G1592" s="586"/>
      <c r="H1592" s="586" t="s">
        <v>359</v>
      </c>
      <c r="I1592" s="587" t="s">
        <v>359</v>
      </c>
      <c r="J1592" s="586"/>
      <c r="K1592" s="586" t="s">
        <v>360</v>
      </c>
      <c r="L1592" s="586" t="s">
        <v>361</v>
      </c>
      <c r="M1592" s="55" t="s">
        <v>7634</v>
      </c>
    </row>
    <row r="1593" spans="1:13">
      <c r="A1593" s="408" t="s">
        <v>4319</v>
      </c>
      <c r="B1593" s="106" t="s">
        <v>327</v>
      </c>
      <c r="C1593" s="106" t="s">
        <v>473</v>
      </c>
      <c r="D1593" s="107" t="s">
        <v>4320</v>
      </c>
      <c r="E1593" s="109" t="s">
        <v>355</v>
      </c>
      <c r="F1593" s="109" t="s">
        <v>355</v>
      </c>
      <c r="G1593" s="55" t="s">
        <v>355</v>
      </c>
      <c r="H1593" s="108" t="s">
        <v>402</v>
      </c>
      <c r="I1593" s="111" t="s">
        <v>402</v>
      </c>
      <c r="J1593" s="111" t="s">
        <v>402</v>
      </c>
      <c r="K1593" s="106" t="s">
        <v>403</v>
      </c>
      <c r="L1593" s="55" t="s">
        <v>404</v>
      </c>
      <c r="M1593" s="55" t="s">
        <v>7634</v>
      </c>
    </row>
    <row r="1594" spans="1:13">
      <c r="A1594" s="578" t="s">
        <v>4321</v>
      </c>
      <c r="B1594" s="586" t="s">
        <v>473</v>
      </c>
      <c r="C1594" s="586" t="s">
        <v>473</v>
      </c>
      <c r="D1594" s="586" t="s">
        <v>4322</v>
      </c>
      <c r="E1594" s="586" t="s">
        <v>4323</v>
      </c>
      <c r="F1594" s="586" t="s">
        <v>4324</v>
      </c>
      <c r="G1594" s="596" t="s">
        <v>4325</v>
      </c>
      <c r="H1594" s="586" t="s">
        <v>359</v>
      </c>
      <c r="I1594" s="587" t="s">
        <v>359</v>
      </c>
      <c r="J1594" s="586"/>
      <c r="K1594" s="586" t="s">
        <v>360</v>
      </c>
      <c r="L1594" s="586" t="s">
        <v>361</v>
      </c>
      <c r="M1594" s="55" t="s">
        <v>7634</v>
      </c>
    </row>
    <row r="1595" spans="1:13">
      <c r="A1595" s="408" t="s">
        <v>4326</v>
      </c>
      <c r="B1595" s="106" t="s">
        <v>327</v>
      </c>
      <c r="C1595" s="106" t="s">
        <v>473</v>
      </c>
      <c r="D1595" s="107" t="s">
        <v>4327</v>
      </c>
      <c r="E1595" s="107" t="s">
        <v>4328</v>
      </c>
      <c r="F1595" s="107" t="s">
        <v>4329</v>
      </c>
      <c r="G1595" s="114" t="s">
        <v>355</v>
      </c>
      <c r="H1595" s="108" t="s">
        <v>402</v>
      </c>
      <c r="I1595" s="111" t="s">
        <v>402</v>
      </c>
      <c r="J1595" s="111" t="s">
        <v>402</v>
      </c>
      <c r="K1595" s="106" t="s">
        <v>403</v>
      </c>
      <c r="L1595" s="55" t="s">
        <v>404</v>
      </c>
      <c r="M1595" s="55" t="s">
        <v>7634</v>
      </c>
    </row>
    <row r="1596" spans="1:13">
      <c r="A1596" s="408" t="s">
        <v>4330</v>
      </c>
      <c r="B1596" s="106" t="s">
        <v>327</v>
      </c>
      <c r="C1596" s="106" t="s">
        <v>473</v>
      </c>
      <c r="D1596" s="107" t="s">
        <v>4331</v>
      </c>
      <c r="E1596" s="109" t="s">
        <v>355</v>
      </c>
      <c r="F1596" s="109" t="s">
        <v>355</v>
      </c>
      <c r="G1596" s="55" t="s">
        <v>355</v>
      </c>
      <c r="H1596" s="108" t="s">
        <v>402</v>
      </c>
      <c r="I1596" s="111" t="s">
        <v>402</v>
      </c>
      <c r="J1596" s="111" t="s">
        <v>402</v>
      </c>
      <c r="K1596" s="106" t="s">
        <v>403</v>
      </c>
      <c r="L1596" s="55" t="s">
        <v>404</v>
      </c>
      <c r="M1596" s="55" t="s">
        <v>7634</v>
      </c>
    </row>
    <row r="1597" spans="1:13">
      <c r="A1597" s="401" t="s">
        <v>4332</v>
      </c>
      <c r="B1597" s="106" t="s">
        <v>327</v>
      </c>
      <c r="C1597" s="106" t="s">
        <v>473</v>
      </c>
      <c r="D1597" s="109" t="s">
        <v>4333</v>
      </c>
      <c r="E1597" s="109" t="s">
        <v>4334</v>
      </c>
      <c r="F1597" s="110" t="s">
        <v>4335</v>
      </c>
      <c r="G1597" s="114" t="s">
        <v>383</v>
      </c>
      <c r="H1597" s="115" t="s">
        <v>402</v>
      </c>
      <c r="I1597" s="111" t="s">
        <v>402</v>
      </c>
      <c r="J1597" s="111" t="s">
        <v>402</v>
      </c>
      <c r="K1597" s="106" t="s">
        <v>403</v>
      </c>
      <c r="L1597" s="55" t="s">
        <v>404</v>
      </c>
      <c r="M1597" s="113" t="s">
        <v>1173</v>
      </c>
    </row>
    <row r="1598" spans="1:13">
      <c r="A1598" s="408" t="s">
        <v>4336</v>
      </c>
      <c r="B1598" s="106" t="s">
        <v>327</v>
      </c>
      <c r="C1598" s="106" t="s">
        <v>473</v>
      </c>
      <c r="D1598" s="107" t="s">
        <v>4337</v>
      </c>
      <c r="E1598" s="109" t="s">
        <v>1748</v>
      </c>
      <c r="F1598" s="109" t="s">
        <v>4338</v>
      </c>
      <c r="G1598" s="55" t="s">
        <v>355</v>
      </c>
      <c r="H1598" s="108" t="s">
        <v>402</v>
      </c>
      <c r="I1598" s="111" t="s">
        <v>402</v>
      </c>
      <c r="J1598" s="111" t="s">
        <v>402</v>
      </c>
      <c r="K1598" s="106" t="s">
        <v>403</v>
      </c>
      <c r="L1598" s="55" t="s">
        <v>404</v>
      </c>
      <c r="M1598" s="55" t="s">
        <v>7634</v>
      </c>
    </row>
    <row r="1599" spans="1:13">
      <c r="A1599" s="408" t="s">
        <v>4339</v>
      </c>
      <c r="B1599" s="106" t="s">
        <v>327</v>
      </c>
      <c r="C1599" s="106" t="s">
        <v>473</v>
      </c>
      <c r="D1599" s="107" t="s">
        <v>4340</v>
      </c>
      <c r="E1599" s="109" t="s">
        <v>355</v>
      </c>
      <c r="F1599" s="109" t="s">
        <v>355</v>
      </c>
      <c r="G1599" s="55" t="s">
        <v>355</v>
      </c>
      <c r="H1599" s="108" t="s">
        <v>402</v>
      </c>
      <c r="I1599" s="111" t="s">
        <v>402</v>
      </c>
      <c r="J1599" s="111" t="s">
        <v>402</v>
      </c>
      <c r="K1599" s="106" t="s">
        <v>403</v>
      </c>
      <c r="L1599" s="55" t="s">
        <v>404</v>
      </c>
      <c r="M1599" s="55" t="s">
        <v>7634</v>
      </c>
    </row>
    <row r="1600" spans="1:13">
      <c r="A1600" s="408" t="s">
        <v>4341</v>
      </c>
      <c r="B1600" s="106" t="s">
        <v>327</v>
      </c>
      <c r="C1600" s="106" t="s">
        <v>473</v>
      </c>
      <c r="D1600" s="107" t="s">
        <v>4342</v>
      </c>
      <c r="E1600" s="109" t="s">
        <v>355</v>
      </c>
      <c r="F1600" s="109" t="s">
        <v>355</v>
      </c>
      <c r="G1600" s="55" t="s">
        <v>355</v>
      </c>
      <c r="H1600" s="108" t="s">
        <v>402</v>
      </c>
      <c r="I1600" s="111" t="s">
        <v>402</v>
      </c>
      <c r="J1600" s="111" t="s">
        <v>402</v>
      </c>
      <c r="K1600" s="106" t="s">
        <v>403</v>
      </c>
      <c r="L1600" s="55" t="s">
        <v>404</v>
      </c>
      <c r="M1600" s="55" t="s">
        <v>7634</v>
      </c>
    </row>
    <row r="1601" spans="1:13">
      <c r="A1601" s="408" t="s">
        <v>4343</v>
      </c>
      <c r="B1601" s="106" t="s">
        <v>327</v>
      </c>
      <c r="C1601" s="106" t="s">
        <v>473</v>
      </c>
      <c r="D1601" s="107" t="s">
        <v>4344</v>
      </c>
      <c r="E1601" s="109" t="s">
        <v>355</v>
      </c>
      <c r="F1601" s="109" t="s">
        <v>355</v>
      </c>
      <c r="G1601" s="55" t="s">
        <v>355</v>
      </c>
      <c r="H1601" s="108" t="s">
        <v>402</v>
      </c>
      <c r="I1601" s="111" t="s">
        <v>402</v>
      </c>
      <c r="J1601" s="111" t="s">
        <v>402</v>
      </c>
      <c r="K1601" s="106" t="s">
        <v>403</v>
      </c>
      <c r="L1601" s="55" t="s">
        <v>404</v>
      </c>
      <c r="M1601" s="55" t="s">
        <v>7634</v>
      </c>
    </row>
    <row r="1602" spans="1:13">
      <c r="A1602" s="408" t="s">
        <v>4345</v>
      </c>
      <c r="B1602" s="106" t="s">
        <v>327</v>
      </c>
      <c r="C1602" s="106" t="s">
        <v>473</v>
      </c>
      <c r="D1602" s="107" t="s">
        <v>4346</v>
      </c>
      <c r="E1602" s="109" t="s">
        <v>355</v>
      </c>
      <c r="F1602" s="109" t="s">
        <v>355</v>
      </c>
      <c r="G1602" s="55" t="s">
        <v>355</v>
      </c>
      <c r="H1602" s="108" t="s">
        <v>402</v>
      </c>
      <c r="I1602" s="111" t="s">
        <v>402</v>
      </c>
      <c r="J1602" s="111" t="s">
        <v>402</v>
      </c>
      <c r="K1602" s="106" t="s">
        <v>403</v>
      </c>
      <c r="L1602" s="55" t="s">
        <v>404</v>
      </c>
      <c r="M1602" s="55" t="s">
        <v>7634</v>
      </c>
    </row>
    <row r="1603" spans="1:13">
      <c r="A1603" s="401" t="s">
        <v>4347</v>
      </c>
      <c r="B1603" s="106" t="s">
        <v>327</v>
      </c>
      <c r="C1603" s="106" t="s">
        <v>473</v>
      </c>
      <c r="D1603" s="109" t="s">
        <v>4348</v>
      </c>
      <c r="E1603" s="109" t="s">
        <v>4349</v>
      </c>
      <c r="F1603" s="109" t="s">
        <v>4350</v>
      </c>
      <c r="G1603" s="117" t="s">
        <v>383</v>
      </c>
      <c r="H1603" s="115" t="s">
        <v>402</v>
      </c>
      <c r="I1603" s="111" t="s">
        <v>402</v>
      </c>
      <c r="J1603" s="111" t="s">
        <v>402</v>
      </c>
      <c r="K1603" s="115" t="s">
        <v>403</v>
      </c>
      <c r="L1603" s="55" t="s">
        <v>404</v>
      </c>
      <c r="M1603" s="55" t="s">
        <v>1173</v>
      </c>
    </row>
    <row r="1604" spans="1:13">
      <c r="A1604" s="408" t="s">
        <v>4351</v>
      </c>
      <c r="B1604" s="106" t="s">
        <v>327</v>
      </c>
      <c r="C1604" s="106" t="s">
        <v>473</v>
      </c>
      <c r="D1604" s="107" t="s">
        <v>4352</v>
      </c>
      <c r="E1604" s="109" t="s">
        <v>355</v>
      </c>
      <c r="F1604" s="109" t="s">
        <v>355</v>
      </c>
      <c r="G1604" s="55" t="s">
        <v>355</v>
      </c>
      <c r="H1604" s="108" t="s">
        <v>402</v>
      </c>
      <c r="I1604" s="111" t="s">
        <v>402</v>
      </c>
      <c r="J1604" s="111" t="s">
        <v>402</v>
      </c>
      <c r="K1604" s="106" t="s">
        <v>403</v>
      </c>
      <c r="L1604" s="55" t="s">
        <v>404</v>
      </c>
      <c r="M1604" s="55" t="s">
        <v>7634</v>
      </c>
    </row>
    <row r="1605" spans="1:13">
      <c r="A1605" s="408" t="s">
        <v>4353</v>
      </c>
      <c r="B1605" s="106" t="s">
        <v>327</v>
      </c>
      <c r="C1605" s="106" t="s">
        <v>473</v>
      </c>
      <c r="D1605" s="107" t="s">
        <v>4354</v>
      </c>
      <c r="E1605" s="109" t="s">
        <v>355</v>
      </c>
      <c r="F1605" s="109" t="s">
        <v>355</v>
      </c>
      <c r="G1605" s="55" t="s">
        <v>355</v>
      </c>
      <c r="H1605" s="108" t="s">
        <v>402</v>
      </c>
      <c r="I1605" s="111" t="s">
        <v>402</v>
      </c>
      <c r="J1605" s="111" t="s">
        <v>402</v>
      </c>
      <c r="K1605" s="106" t="s">
        <v>403</v>
      </c>
      <c r="L1605" s="55" t="s">
        <v>404</v>
      </c>
      <c r="M1605" s="55" t="s">
        <v>7634</v>
      </c>
    </row>
    <row r="1606" spans="1:13">
      <c r="A1606" s="408" t="s">
        <v>4355</v>
      </c>
      <c r="B1606" s="106" t="s">
        <v>327</v>
      </c>
      <c r="C1606" s="106" t="s">
        <v>473</v>
      </c>
      <c r="D1606" s="107" t="s">
        <v>4356</v>
      </c>
      <c r="E1606" s="109" t="s">
        <v>355</v>
      </c>
      <c r="F1606" s="109" t="s">
        <v>355</v>
      </c>
      <c r="G1606" s="55" t="s">
        <v>355</v>
      </c>
      <c r="H1606" s="108" t="s">
        <v>402</v>
      </c>
      <c r="I1606" s="111" t="s">
        <v>402</v>
      </c>
      <c r="J1606" s="111" t="s">
        <v>402</v>
      </c>
      <c r="K1606" s="106" t="s">
        <v>403</v>
      </c>
      <c r="L1606" s="55" t="s">
        <v>404</v>
      </c>
      <c r="M1606" s="55" t="s">
        <v>7634</v>
      </c>
    </row>
    <row r="1607" spans="1:13">
      <c r="A1607" s="408" t="s">
        <v>4357</v>
      </c>
      <c r="B1607" s="106" t="s">
        <v>327</v>
      </c>
      <c r="C1607" s="106" t="s">
        <v>473</v>
      </c>
      <c r="D1607" s="107" t="s">
        <v>4358</v>
      </c>
      <c r="E1607" s="109" t="s">
        <v>355</v>
      </c>
      <c r="F1607" s="109" t="s">
        <v>355</v>
      </c>
      <c r="G1607" s="55" t="s">
        <v>355</v>
      </c>
      <c r="H1607" s="108" t="s">
        <v>402</v>
      </c>
      <c r="I1607" s="111" t="s">
        <v>402</v>
      </c>
      <c r="J1607" s="111" t="s">
        <v>402</v>
      </c>
      <c r="K1607" s="106" t="s">
        <v>403</v>
      </c>
      <c r="L1607" s="55" t="s">
        <v>404</v>
      </c>
      <c r="M1607" s="55" t="s">
        <v>7634</v>
      </c>
    </row>
    <row r="1608" spans="1:13">
      <c r="A1608" s="408" t="s">
        <v>4359</v>
      </c>
      <c r="B1608" s="106" t="s">
        <v>327</v>
      </c>
      <c r="C1608" s="106" t="s">
        <v>473</v>
      </c>
      <c r="D1608" s="107" t="s">
        <v>4360</v>
      </c>
      <c r="E1608" s="109" t="s">
        <v>355</v>
      </c>
      <c r="F1608" s="109" t="s">
        <v>355</v>
      </c>
      <c r="G1608" s="55" t="s">
        <v>355</v>
      </c>
      <c r="H1608" s="108" t="s">
        <v>402</v>
      </c>
      <c r="I1608" s="111" t="s">
        <v>402</v>
      </c>
      <c r="J1608" s="111" t="s">
        <v>402</v>
      </c>
      <c r="K1608" s="106" t="s">
        <v>403</v>
      </c>
      <c r="L1608" s="55" t="s">
        <v>404</v>
      </c>
      <c r="M1608" s="55" t="s">
        <v>7634</v>
      </c>
    </row>
    <row r="1609" spans="1:13">
      <c r="A1609" s="408" t="s">
        <v>4361</v>
      </c>
      <c r="B1609" s="106" t="s">
        <v>327</v>
      </c>
      <c r="C1609" s="106" t="s">
        <v>473</v>
      </c>
      <c r="D1609" s="107" t="s">
        <v>4362</v>
      </c>
      <c r="E1609" s="109" t="s">
        <v>355</v>
      </c>
      <c r="F1609" s="109" t="s">
        <v>355</v>
      </c>
      <c r="G1609" s="55" t="s">
        <v>355</v>
      </c>
      <c r="H1609" s="108" t="s">
        <v>402</v>
      </c>
      <c r="I1609" s="111" t="s">
        <v>402</v>
      </c>
      <c r="J1609" s="111" t="s">
        <v>402</v>
      </c>
      <c r="K1609" s="106" t="s">
        <v>403</v>
      </c>
      <c r="L1609" s="55" t="s">
        <v>404</v>
      </c>
      <c r="M1609" s="55" t="s">
        <v>7634</v>
      </c>
    </row>
    <row r="1610" spans="1:13">
      <c r="A1610" s="408" t="s">
        <v>4363</v>
      </c>
      <c r="B1610" s="106" t="s">
        <v>327</v>
      </c>
      <c r="C1610" s="106" t="s">
        <v>473</v>
      </c>
      <c r="D1610" s="107" t="s">
        <v>4364</v>
      </c>
      <c r="E1610" s="109" t="s">
        <v>355</v>
      </c>
      <c r="F1610" s="109" t="s">
        <v>355</v>
      </c>
      <c r="G1610" s="55" t="s">
        <v>355</v>
      </c>
      <c r="H1610" s="108" t="s">
        <v>402</v>
      </c>
      <c r="I1610" s="111" t="s">
        <v>402</v>
      </c>
      <c r="J1610" s="111" t="s">
        <v>402</v>
      </c>
      <c r="K1610" s="106" t="s">
        <v>403</v>
      </c>
      <c r="L1610" s="55" t="s">
        <v>404</v>
      </c>
      <c r="M1610" s="55" t="s">
        <v>7634</v>
      </c>
    </row>
    <row r="1611" spans="1:13">
      <c r="A1611" s="408" t="s">
        <v>4365</v>
      </c>
      <c r="B1611" s="106" t="s">
        <v>327</v>
      </c>
      <c r="C1611" s="106" t="s">
        <v>473</v>
      </c>
      <c r="D1611" s="107" t="s">
        <v>4366</v>
      </c>
      <c r="E1611" s="109" t="s">
        <v>355</v>
      </c>
      <c r="F1611" s="109" t="s">
        <v>355</v>
      </c>
      <c r="G1611" s="55" t="s">
        <v>355</v>
      </c>
      <c r="H1611" s="108" t="s">
        <v>402</v>
      </c>
      <c r="I1611" s="111" t="s">
        <v>402</v>
      </c>
      <c r="J1611" s="111" t="s">
        <v>402</v>
      </c>
      <c r="K1611" s="106" t="s">
        <v>403</v>
      </c>
      <c r="L1611" s="55" t="s">
        <v>404</v>
      </c>
      <c r="M1611" s="55" t="s">
        <v>7634</v>
      </c>
    </row>
    <row r="1612" spans="1:13">
      <c r="A1612" s="408" t="s">
        <v>4367</v>
      </c>
      <c r="B1612" s="106" t="s">
        <v>327</v>
      </c>
      <c r="C1612" s="106" t="s">
        <v>473</v>
      </c>
      <c r="D1612" s="107" t="s">
        <v>4368</v>
      </c>
      <c r="E1612" s="109" t="s">
        <v>355</v>
      </c>
      <c r="F1612" s="109" t="s">
        <v>355</v>
      </c>
      <c r="G1612" s="55" t="s">
        <v>355</v>
      </c>
      <c r="H1612" s="108" t="s">
        <v>402</v>
      </c>
      <c r="I1612" s="111" t="s">
        <v>402</v>
      </c>
      <c r="J1612" s="111" t="s">
        <v>402</v>
      </c>
      <c r="K1612" s="106" t="s">
        <v>403</v>
      </c>
      <c r="L1612" s="55" t="s">
        <v>404</v>
      </c>
      <c r="M1612" s="55" t="s">
        <v>7634</v>
      </c>
    </row>
    <row r="1613" spans="1:13">
      <c r="A1613" s="408" t="s">
        <v>4369</v>
      </c>
      <c r="B1613" s="106" t="s">
        <v>327</v>
      </c>
      <c r="C1613" s="106" t="s">
        <v>473</v>
      </c>
      <c r="D1613" s="107" t="s">
        <v>4370</v>
      </c>
      <c r="E1613" s="109" t="s">
        <v>355</v>
      </c>
      <c r="F1613" s="109" t="s">
        <v>355</v>
      </c>
      <c r="G1613" s="55" t="s">
        <v>355</v>
      </c>
      <c r="H1613" s="108" t="s">
        <v>402</v>
      </c>
      <c r="I1613" s="111" t="s">
        <v>402</v>
      </c>
      <c r="J1613" s="111" t="s">
        <v>402</v>
      </c>
      <c r="K1613" s="106" t="s">
        <v>403</v>
      </c>
      <c r="L1613" s="55" t="s">
        <v>404</v>
      </c>
      <c r="M1613" s="55" t="s">
        <v>7634</v>
      </c>
    </row>
    <row r="1614" spans="1:13">
      <c r="A1614" s="408" t="s">
        <v>4371</v>
      </c>
      <c r="B1614" s="106" t="s">
        <v>327</v>
      </c>
      <c r="C1614" s="106" t="s">
        <v>473</v>
      </c>
      <c r="D1614" s="107" t="s">
        <v>4372</v>
      </c>
      <c r="E1614" s="109" t="s">
        <v>355</v>
      </c>
      <c r="F1614" s="109" t="s">
        <v>355</v>
      </c>
      <c r="G1614" s="55" t="s">
        <v>355</v>
      </c>
      <c r="H1614" s="108" t="s">
        <v>402</v>
      </c>
      <c r="I1614" s="111" t="s">
        <v>402</v>
      </c>
      <c r="J1614" s="111" t="s">
        <v>402</v>
      </c>
      <c r="K1614" s="106" t="s">
        <v>403</v>
      </c>
      <c r="L1614" s="55" t="s">
        <v>404</v>
      </c>
      <c r="M1614" s="55" t="s">
        <v>7634</v>
      </c>
    </row>
    <row r="1615" spans="1:13">
      <c r="A1615" s="408" t="s">
        <v>4373</v>
      </c>
      <c r="B1615" s="106" t="s">
        <v>327</v>
      </c>
      <c r="C1615" s="106" t="s">
        <v>473</v>
      </c>
      <c r="D1615" s="107" t="s">
        <v>4374</v>
      </c>
      <c r="E1615" s="109" t="s">
        <v>355</v>
      </c>
      <c r="F1615" s="109" t="s">
        <v>355</v>
      </c>
      <c r="G1615" s="55" t="s">
        <v>355</v>
      </c>
      <c r="H1615" s="108" t="s">
        <v>402</v>
      </c>
      <c r="I1615" s="111" t="s">
        <v>402</v>
      </c>
      <c r="J1615" s="111" t="s">
        <v>402</v>
      </c>
      <c r="K1615" s="106" t="s">
        <v>403</v>
      </c>
      <c r="L1615" s="55" t="s">
        <v>404</v>
      </c>
      <c r="M1615" s="55" t="s">
        <v>7634</v>
      </c>
    </row>
    <row r="1616" spans="1:13">
      <c r="A1616" s="408" t="s">
        <v>4375</v>
      </c>
      <c r="B1616" s="106" t="s">
        <v>327</v>
      </c>
      <c r="C1616" s="106" t="s">
        <v>473</v>
      </c>
      <c r="D1616" s="107" t="s">
        <v>4376</v>
      </c>
      <c r="E1616" s="109" t="s">
        <v>355</v>
      </c>
      <c r="F1616" s="109" t="s">
        <v>355</v>
      </c>
      <c r="G1616" s="55" t="s">
        <v>355</v>
      </c>
      <c r="H1616" s="108" t="s">
        <v>402</v>
      </c>
      <c r="I1616" s="111" t="s">
        <v>402</v>
      </c>
      <c r="J1616" s="111" t="s">
        <v>402</v>
      </c>
      <c r="K1616" s="106" t="s">
        <v>403</v>
      </c>
      <c r="L1616" s="55" t="s">
        <v>404</v>
      </c>
      <c r="M1616" s="55" t="s">
        <v>7634</v>
      </c>
    </row>
    <row r="1617" spans="1:13">
      <c r="A1617" s="408" t="s">
        <v>4377</v>
      </c>
      <c r="B1617" s="106" t="s">
        <v>327</v>
      </c>
      <c r="C1617" s="106" t="s">
        <v>473</v>
      </c>
      <c r="D1617" s="107" t="s">
        <v>4378</v>
      </c>
      <c r="E1617" s="109" t="s">
        <v>355</v>
      </c>
      <c r="F1617" s="109" t="s">
        <v>355</v>
      </c>
      <c r="G1617" s="55" t="s">
        <v>355</v>
      </c>
      <c r="H1617" s="108" t="s">
        <v>402</v>
      </c>
      <c r="I1617" s="111" t="s">
        <v>402</v>
      </c>
      <c r="J1617" s="111" t="s">
        <v>402</v>
      </c>
      <c r="K1617" s="106" t="s">
        <v>403</v>
      </c>
      <c r="L1617" s="55" t="s">
        <v>404</v>
      </c>
      <c r="M1617" s="55" t="s">
        <v>7634</v>
      </c>
    </row>
    <row r="1618" spans="1:13">
      <c r="A1618" s="408" t="s">
        <v>4379</v>
      </c>
      <c r="B1618" s="106" t="s">
        <v>327</v>
      </c>
      <c r="C1618" s="106" t="s">
        <v>473</v>
      </c>
      <c r="D1618" s="107" t="s">
        <v>4380</v>
      </c>
      <c r="E1618" s="109" t="s">
        <v>355</v>
      </c>
      <c r="F1618" s="109" t="s">
        <v>355</v>
      </c>
      <c r="G1618" s="55" t="s">
        <v>355</v>
      </c>
      <c r="H1618" s="108" t="s">
        <v>402</v>
      </c>
      <c r="I1618" s="111" t="s">
        <v>402</v>
      </c>
      <c r="J1618" s="111" t="s">
        <v>402</v>
      </c>
      <c r="K1618" s="106" t="s">
        <v>403</v>
      </c>
      <c r="L1618" s="55" t="s">
        <v>404</v>
      </c>
      <c r="M1618" s="55" t="s">
        <v>7634</v>
      </c>
    </row>
    <row r="1619" spans="1:13">
      <c r="A1619" s="408" t="s">
        <v>4381</v>
      </c>
      <c r="B1619" s="106" t="s">
        <v>327</v>
      </c>
      <c r="C1619" s="106" t="s">
        <v>473</v>
      </c>
      <c r="D1619" s="107" t="s">
        <v>4382</v>
      </c>
      <c r="E1619" s="109" t="s">
        <v>355</v>
      </c>
      <c r="F1619" s="109" t="s">
        <v>355</v>
      </c>
      <c r="G1619" s="55" t="s">
        <v>355</v>
      </c>
      <c r="H1619" s="108" t="s">
        <v>402</v>
      </c>
      <c r="I1619" s="111" t="s">
        <v>402</v>
      </c>
      <c r="J1619" s="111" t="s">
        <v>402</v>
      </c>
      <c r="K1619" s="106" t="s">
        <v>403</v>
      </c>
      <c r="L1619" s="55" t="s">
        <v>404</v>
      </c>
      <c r="M1619" s="55" t="s">
        <v>7634</v>
      </c>
    </row>
    <row r="1620" spans="1:13">
      <c r="A1620" s="401" t="s">
        <v>4383</v>
      </c>
      <c r="B1620" s="106" t="s">
        <v>327</v>
      </c>
      <c r="C1620" s="106" t="s">
        <v>473</v>
      </c>
      <c r="D1620" s="109" t="s">
        <v>4384</v>
      </c>
      <c r="E1620" s="109" t="s">
        <v>4385</v>
      </c>
      <c r="F1620" s="109" t="s">
        <v>4386</v>
      </c>
      <c r="G1620" s="117" t="s">
        <v>383</v>
      </c>
      <c r="H1620" s="115" t="s">
        <v>402</v>
      </c>
      <c r="I1620" s="111" t="s">
        <v>402</v>
      </c>
      <c r="J1620" s="111" t="s">
        <v>402</v>
      </c>
      <c r="K1620" s="115" t="s">
        <v>403</v>
      </c>
      <c r="L1620" s="55" t="s">
        <v>404</v>
      </c>
      <c r="M1620" s="113" t="s">
        <v>1173</v>
      </c>
    </row>
    <row r="1621" spans="1:13">
      <c r="A1621" s="408" t="s">
        <v>4387</v>
      </c>
      <c r="B1621" s="106" t="s">
        <v>327</v>
      </c>
      <c r="C1621" s="106" t="s">
        <v>473</v>
      </c>
      <c r="D1621" s="107" t="s">
        <v>4388</v>
      </c>
      <c r="E1621" s="109" t="s">
        <v>355</v>
      </c>
      <c r="F1621" s="109" t="s">
        <v>355</v>
      </c>
      <c r="G1621" s="55" t="s">
        <v>355</v>
      </c>
      <c r="H1621" s="108" t="s">
        <v>402</v>
      </c>
      <c r="I1621" s="111" t="s">
        <v>402</v>
      </c>
      <c r="J1621" s="111" t="s">
        <v>402</v>
      </c>
      <c r="K1621" s="106" t="s">
        <v>403</v>
      </c>
      <c r="L1621" s="55" t="s">
        <v>404</v>
      </c>
      <c r="M1621" s="55" t="s">
        <v>7634</v>
      </c>
    </row>
    <row r="1622" spans="1:13">
      <c r="A1622" s="401" t="s">
        <v>4389</v>
      </c>
      <c r="B1622" s="106" t="s">
        <v>327</v>
      </c>
      <c r="C1622" s="106" t="s">
        <v>473</v>
      </c>
      <c r="D1622" s="109" t="s">
        <v>4390</v>
      </c>
      <c r="E1622" s="109" t="s">
        <v>4391</v>
      </c>
      <c r="F1622" s="109" t="s">
        <v>4392</v>
      </c>
      <c r="G1622" s="117" t="s">
        <v>383</v>
      </c>
      <c r="H1622" s="115" t="s">
        <v>402</v>
      </c>
      <c r="I1622" s="111" t="s">
        <v>402</v>
      </c>
      <c r="J1622" s="111" t="s">
        <v>402</v>
      </c>
      <c r="K1622" s="106" t="s">
        <v>403</v>
      </c>
      <c r="L1622" s="55" t="s">
        <v>404</v>
      </c>
      <c r="M1622" s="55" t="s">
        <v>1173</v>
      </c>
    </row>
    <row r="1623" spans="1:13">
      <c r="A1623" s="408" t="s">
        <v>4393</v>
      </c>
      <c r="B1623" s="106" t="s">
        <v>327</v>
      </c>
      <c r="C1623" s="106" t="s">
        <v>473</v>
      </c>
      <c r="D1623" s="107" t="s">
        <v>4394</v>
      </c>
      <c r="E1623" s="109" t="s">
        <v>355</v>
      </c>
      <c r="F1623" s="109" t="s">
        <v>355</v>
      </c>
      <c r="G1623" s="55" t="s">
        <v>355</v>
      </c>
      <c r="H1623" s="108" t="s">
        <v>402</v>
      </c>
      <c r="I1623" s="111" t="s">
        <v>402</v>
      </c>
      <c r="J1623" s="111" t="s">
        <v>402</v>
      </c>
      <c r="K1623" s="106" t="s">
        <v>403</v>
      </c>
      <c r="L1623" s="55" t="s">
        <v>404</v>
      </c>
      <c r="M1623" s="55" t="s">
        <v>7634</v>
      </c>
    </row>
    <row r="1624" spans="1:13">
      <c r="A1624" s="408" t="s">
        <v>4395</v>
      </c>
      <c r="B1624" s="106" t="s">
        <v>327</v>
      </c>
      <c r="C1624" s="106" t="s">
        <v>473</v>
      </c>
      <c r="D1624" s="107" t="s">
        <v>4396</v>
      </c>
      <c r="E1624" s="109" t="s">
        <v>355</v>
      </c>
      <c r="F1624" s="109" t="s">
        <v>355</v>
      </c>
      <c r="G1624" s="55" t="s">
        <v>355</v>
      </c>
      <c r="H1624" s="108" t="s">
        <v>402</v>
      </c>
      <c r="I1624" s="111" t="s">
        <v>402</v>
      </c>
      <c r="J1624" s="111" t="s">
        <v>402</v>
      </c>
      <c r="K1624" s="106" t="s">
        <v>403</v>
      </c>
      <c r="L1624" s="55" t="s">
        <v>404</v>
      </c>
      <c r="M1624" s="55" t="s">
        <v>7634</v>
      </c>
    </row>
    <row r="1625" spans="1:13">
      <c r="A1625" s="401" t="s">
        <v>4397</v>
      </c>
      <c r="B1625" s="106" t="s">
        <v>327</v>
      </c>
      <c r="C1625" s="106" t="s">
        <v>473</v>
      </c>
      <c r="D1625" s="109" t="s">
        <v>4398</v>
      </c>
      <c r="E1625" s="109" t="s">
        <v>4399</v>
      </c>
      <c r="F1625" s="109" t="s">
        <v>4400</v>
      </c>
      <c r="G1625" s="117" t="s">
        <v>383</v>
      </c>
      <c r="H1625" s="115" t="s">
        <v>402</v>
      </c>
      <c r="I1625" s="111" t="s">
        <v>402</v>
      </c>
      <c r="J1625" s="111" t="s">
        <v>402</v>
      </c>
      <c r="K1625" s="106" t="s">
        <v>403</v>
      </c>
      <c r="L1625" s="55" t="s">
        <v>404</v>
      </c>
      <c r="M1625" s="55" t="s">
        <v>1173</v>
      </c>
    </row>
    <row r="1626" spans="1:13">
      <c r="A1626" s="408" t="s">
        <v>4401</v>
      </c>
      <c r="B1626" s="106" t="s">
        <v>327</v>
      </c>
      <c r="C1626" s="106" t="s">
        <v>473</v>
      </c>
      <c r="D1626" s="107" t="s">
        <v>4402</v>
      </c>
      <c r="E1626" s="109" t="s">
        <v>355</v>
      </c>
      <c r="F1626" s="109" t="s">
        <v>355</v>
      </c>
      <c r="G1626" s="55" t="s">
        <v>355</v>
      </c>
      <c r="H1626" s="108" t="s">
        <v>402</v>
      </c>
      <c r="I1626" s="111" t="s">
        <v>402</v>
      </c>
      <c r="J1626" s="111" t="s">
        <v>402</v>
      </c>
      <c r="K1626" s="106" t="s">
        <v>403</v>
      </c>
      <c r="L1626" s="55" t="s">
        <v>404</v>
      </c>
      <c r="M1626" s="55" t="s">
        <v>7634</v>
      </c>
    </row>
    <row r="1627" spans="1:13">
      <c r="A1627" s="408" t="s">
        <v>4403</v>
      </c>
      <c r="B1627" s="106" t="s">
        <v>327</v>
      </c>
      <c r="C1627" s="106" t="s">
        <v>473</v>
      </c>
      <c r="D1627" s="107" t="s">
        <v>4404</v>
      </c>
      <c r="E1627" s="109" t="s">
        <v>355</v>
      </c>
      <c r="F1627" s="109" t="s">
        <v>355</v>
      </c>
      <c r="G1627" s="55" t="s">
        <v>355</v>
      </c>
      <c r="H1627" s="108" t="s">
        <v>402</v>
      </c>
      <c r="I1627" s="111" t="s">
        <v>402</v>
      </c>
      <c r="J1627" s="111" t="s">
        <v>402</v>
      </c>
      <c r="K1627" s="106" t="s">
        <v>403</v>
      </c>
      <c r="L1627" s="55" t="s">
        <v>404</v>
      </c>
      <c r="M1627" s="55" t="s">
        <v>7634</v>
      </c>
    </row>
    <row r="1628" spans="1:13">
      <c r="A1628" s="401" t="s">
        <v>4405</v>
      </c>
      <c r="B1628" s="106" t="s">
        <v>327</v>
      </c>
      <c r="C1628" s="106" t="s">
        <v>473</v>
      </c>
      <c r="D1628" s="109" t="s">
        <v>4406</v>
      </c>
      <c r="E1628" s="109" t="s">
        <v>4407</v>
      </c>
      <c r="F1628" s="109" t="s">
        <v>4408</v>
      </c>
      <c r="G1628" s="112" t="s">
        <v>4409</v>
      </c>
      <c r="H1628" s="115" t="s">
        <v>402</v>
      </c>
      <c r="I1628" s="111" t="s">
        <v>402</v>
      </c>
      <c r="J1628" s="111" t="s">
        <v>402</v>
      </c>
      <c r="K1628" s="115" t="s">
        <v>403</v>
      </c>
      <c r="L1628" s="55" t="s">
        <v>404</v>
      </c>
      <c r="M1628" s="113" t="s">
        <v>1173</v>
      </c>
    </row>
    <row r="1629" spans="1:13">
      <c r="A1629" s="401" t="s">
        <v>4410</v>
      </c>
      <c r="B1629" s="106" t="s">
        <v>327</v>
      </c>
      <c r="C1629" s="106" t="s">
        <v>473</v>
      </c>
      <c r="D1629" s="109" t="s">
        <v>4411</v>
      </c>
      <c r="E1629" s="107" t="s">
        <v>4412</v>
      </c>
      <c r="F1629" s="107" t="s">
        <v>4413</v>
      </c>
      <c r="G1629" s="117" t="s">
        <v>383</v>
      </c>
      <c r="H1629" s="115" t="s">
        <v>402</v>
      </c>
      <c r="I1629" s="111" t="s">
        <v>402</v>
      </c>
      <c r="J1629" s="111" t="s">
        <v>402</v>
      </c>
      <c r="K1629" s="115" t="s">
        <v>403</v>
      </c>
      <c r="L1629" s="55" t="s">
        <v>404</v>
      </c>
      <c r="M1629" s="113" t="s">
        <v>1173</v>
      </c>
    </row>
    <row r="1630" spans="1:13">
      <c r="A1630" s="401" t="s">
        <v>4414</v>
      </c>
      <c r="B1630" s="106" t="s">
        <v>327</v>
      </c>
      <c r="C1630" s="106" t="s">
        <v>473</v>
      </c>
      <c r="D1630" s="109" t="s">
        <v>4415</v>
      </c>
      <c r="E1630" s="109" t="s">
        <v>4416</v>
      </c>
      <c r="F1630" s="109" t="s">
        <v>4417</v>
      </c>
      <c r="G1630" s="117" t="s">
        <v>383</v>
      </c>
      <c r="H1630" s="115" t="s">
        <v>402</v>
      </c>
      <c r="I1630" s="111" t="s">
        <v>402</v>
      </c>
      <c r="J1630" s="111" t="s">
        <v>402</v>
      </c>
      <c r="K1630" s="115" t="s">
        <v>403</v>
      </c>
      <c r="L1630" s="55" t="s">
        <v>404</v>
      </c>
      <c r="M1630" s="113" t="s">
        <v>1173</v>
      </c>
    </row>
    <row r="1631" spans="1:13">
      <c r="A1631" s="408" t="s">
        <v>4418</v>
      </c>
      <c r="B1631" s="106" t="s">
        <v>327</v>
      </c>
      <c r="C1631" s="106" t="s">
        <v>473</v>
      </c>
      <c r="D1631" s="107" t="s">
        <v>4419</v>
      </c>
      <c r="E1631" s="109" t="s">
        <v>355</v>
      </c>
      <c r="F1631" s="109" t="s">
        <v>355</v>
      </c>
      <c r="G1631" s="55" t="s">
        <v>355</v>
      </c>
      <c r="H1631" s="108" t="s">
        <v>402</v>
      </c>
      <c r="I1631" s="111" t="s">
        <v>402</v>
      </c>
      <c r="J1631" s="111" t="s">
        <v>402</v>
      </c>
      <c r="K1631" s="106" t="s">
        <v>403</v>
      </c>
      <c r="L1631" s="55" t="s">
        <v>404</v>
      </c>
      <c r="M1631" s="55" t="s">
        <v>7634</v>
      </c>
    </row>
    <row r="1632" spans="1:13">
      <c r="A1632" s="408" t="s">
        <v>4420</v>
      </c>
      <c r="B1632" s="106" t="s">
        <v>327</v>
      </c>
      <c r="C1632" s="106" t="s">
        <v>473</v>
      </c>
      <c r="D1632" s="107" t="s">
        <v>4421</v>
      </c>
      <c r="E1632" s="109" t="s">
        <v>355</v>
      </c>
      <c r="F1632" s="109" t="s">
        <v>355</v>
      </c>
      <c r="G1632" s="55" t="s">
        <v>355</v>
      </c>
      <c r="H1632" s="108" t="s">
        <v>402</v>
      </c>
      <c r="I1632" s="111" t="s">
        <v>402</v>
      </c>
      <c r="J1632" s="111" t="s">
        <v>402</v>
      </c>
      <c r="K1632" s="106" t="s">
        <v>403</v>
      </c>
      <c r="L1632" s="55" t="s">
        <v>404</v>
      </c>
      <c r="M1632" s="55" t="s">
        <v>7634</v>
      </c>
    </row>
    <row r="1633" spans="1:13">
      <c r="A1633" s="401" t="s">
        <v>4422</v>
      </c>
      <c r="B1633" s="106" t="s">
        <v>327</v>
      </c>
      <c r="C1633" s="106" t="s">
        <v>473</v>
      </c>
      <c r="D1633" s="109" t="s">
        <v>4423</v>
      </c>
      <c r="E1633" s="109" t="s">
        <v>4424</v>
      </c>
      <c r="F1633" s="109" t="s">
        <v>4425</v>
      </c>
      <c r="G1633" s="117" t="s">
        <v>383</v>
      </c>
      <c r="H1633" s="115" t="s">
        <v>402</v>
      </c>
      <c r="I1633" s="111" t="s">
        <v>402</v>
      </c>
      <c r="J1633" s="111" t="s">
        <v>402</v>
      </c>
      <c r="K1633" s="115" t="s">
        <v>403</v>
      </c>
      <c r="L1633" s="55" t="s">
        <v>404</v>
      </c>
      <c r="M1633" s="113" t="s">
        <v>1173</v>
      </c>
    </row>
    <row r="1634" spans="1:13">
      <c r="A1634" s="578" t="s">
        <v>4426</v>
      </c>
      <c r="B1634" s="586" t="s">
        <v>473</v>
      </c>
      <c r="C1634" s="586" t="s">
        <v>473</v>
      </c>
      <c r="D1634" s="586" t="s">
        <v>4427</v>
      </c>
      <c r="E1634" s="586" t="s">
        <v>4428</v>
      </c>
      <c r="F1634" s="586" t="s">
        <v>4429</v>
      </c>
      <c r="G1634" s="586" t="s">
        <v>377</v>
      </c>
      <c r="H1634" s="586" t="s">
        <v>359</v>
      </c>
      <c r="I1634" s="587" t="s">
        <v>359</v>
      </c>
      <c r="J1634" s="586"/>
      <c r="K1634" s="586" t="s">
        <v>360</v>
      </c>
      <c r="L1634" s="586" t="s">
        <v>361</v>
      </c>
      <c r="M1634" s="55" t="s">
        <v>7634</v>
      </c>
    </row>
    <row r="1635" spans="1:13">
      <c r="A1635" s="408" t="s">
        <v>4430</v>
      </c>
      <c r="B1635" s="106" t="s">
        <v>327</v>
      </c>
      <c r="C1635" s="106" t="s">
        <v>473</v>
      </c>
      <c r="D1635" s="107" t="s">
        <v>4431</v>
      </c>
      <c r="E1635" s="109" t="s">
        <v>355</v>
      </c>
      <c r="F1635" s="109" t="s">
        <v>355</v>
      </c>
      <c r="G1635" s="55" t="s">
        <v>355</v>
      </c>
      <c r="H1635" s="108" t="s">
        <v>402</v>
      </c>
      <c r="I1635" s="111" t="s">
        <v>402</v>
      </c>
      <c r="J1635" s="111" t="s">
        <v>402</v>
      </c>
      <c r="K1635" s="106" t="s">
        <v>403</v>
      </c>
      <c r="L1635" s="55" t="s">
        <v>404</v>
      </c>
      <c r="M1635" s="55" t="s">
        <v>7634</v>
      </c>
    </row>
    <row r="1636" spans="1:13">
      <c r="A1636" s="401" t="s">
        <v>4432</v>
      </c>
      <c r="B1636" s="106" t="s">
        <v>327</v>
      </c>
      <c r="C1636" s="106" t="s">
        <v>473</v>
      </c>
      <c r="D1636" s="109" t="s">
        <v>4433</v>
      </c>
      <c r="E1636" s="109" t="s">
        <v>1886</v>
      </c>
      <c r="F1636" s="109" t="s">
        <v>4434</v>
      </c>
      <c r="G1636" s="117" t="s">
        <v>383</v>
      </c>
      <c r="H1636" s="115" t="s">
        <v>402</v>
      </c>
      <c r="I1636" s="111" t="s">
        <v>402</v>
      </c>
      <c r="J1636" s="111" t="s">
        <v>402</v>
      </c>
      <c r="K1636" s="115" t="s">
        <v>403</v>
      </c>
      <c r="L1636" s="55" t="s">
        <v>404</v>
      </c>
      <c r="M1636" s="113" t="s">
        <v>1173</v>
      </c>
    </row>
    <row r="1637" spans="1:13">
      <c r="A1637" s="401" t="s">
        <v>4435</v>
      </c>
      <c r="B1637" s="106" t="s">
        <v>327</v>
      </c>
      <c r="C1637" s="106" t="s">
        <v>473</v>
      </c>
      <c r="D1637" s="109" t="s">
        <v>4436</v>
      </c>
      <c r="E1637" s="109" t="s">
        <v>4437</v>
      </c>
      <c r="F1637" s="109" t="s">
        <v>4438</v>
      </c>
      <c r="G1637" s="117" t="s">
        <v>383</v>
      </c>
      <c r="H1637" s="115" t="s">
        <v>402</v>
      </c>
      <c r="I1637" s="111" t="s">
        <v>402</v>
      </c>
      <c r="J1637" s="111" t="s">
        <v>402</v>
      </c>
      <c r="K1637" s="115" t="s">
        <v>403</v>
      </c>
      <c r="L1637" s="55" t="s">
        <v>404</v>
      </c>
      <c r="M1637" s="55" t="s">
        <v>1173</v>
      </c>
    </row>
    <row r="1638" spans="1:13">
      <c r="A1638" s="408" t="s">
        <v>4439</v>
      </c>
      <c r="B1638" s="106" t="s">
        <v>327</v>
      </c>
      <c r="C1638" s="106" t="s">
        <v>473</v>
      </c>
      <c r="D1638" s="107" t="s">
        <v>4440</v>
      </c>
      <c r="E1638" s="109" t="s">
        <v>355</v>
      </c>
      <c r="F1638" s="109" t="s">
        <v>355</v>
      </c>
      <c r="G1638" s="55" t="s">
        <v>355</v>
      </c>
      <c r="H1638" s="108" t="s">
        <v>402</v>
      </c>
      <c r="I1638" s="111" t="s">
        <v>402</v>
      </c>
      <c r="J1638" s="111" t="s">
        <v>402</v>
      </c>
      <c r="K1638" s="106" t="s">
        <v>403</v>
      </c>
      <c r="L1638" s="55" t="s">
        <v>404</v>
      </c>
      <c r="M1638" s="55" t="s">
        <v>7634</v>
      </c>
    </row>
    <row r="1639" spans="1:13">
      <c r="A1639" s="401" t="s">
        <v>4441</v>
      </c>
      <c r="B1639" s="106" t="s">
        <v>327</v>
      </c>
      <c r="C1639" s="106" t="s">
        <v>473</v>
      </c>
      <c r="D1639" s="109" t="s">
        <v>4442</v>
      </c>
      <c r="E1639" s="109" t="s">
        <v>4443</v>
      </c>
      <c r="F1639" s="109" t="s">
        <v>4444</v>
      </c>
      <c r="G1639" s="117" t="s">
        <v>383</v>
      </c>
      <c r="H1639" s="115" t="s">
        <v>402</v>
      </c>
      <c r="I1639" s="111" t="s">
        <v>402</v>
      </c>
      <c r="J1639" s="111" t="s">
        <v>402</v>
      </c>
      <c r="K1639" s="115" t="s">
        <v>403</v>
      </c>
      <c r="L1639" s="55" t="s">
        <v>404</v>
      </c>
      <c r="M1639" s="113" t="s">
        <v>1173</v>
      </c>
    </row>
    <row r="1640" spans="1:13">
      <c r="A1640" s="401" t="s">
        <v>4445</v>
      </c>
      <c r="B1640" s="106" t="s">
        <v>327</v>
      </c>
      <c r="C1640" s="106" t="s">
        <v>473</v>
      </c>
      <c r="D1640" s="109" t="s">
        <v>4446</v>
      </c>
      <c r="E1640" s="110" t="s">
        <v>1886</v>
      </c>
      <c r="F1640" s="109" t="s">
        <v>4447</v>
      </c>
      <c r="G1640" s="117" t="s">
        <v>383</v>
      </c>
      <c r="H1640" s="115" t="s">
        <v>402</v>
      </c>
      <c r="I1640" s="111" t="s">
        <v>402</v>
      </c>
      <c r="J1640" s="111" t="s">
        <v>402</v>
      </c>
      <c r="K1640" s="115" t="s">
        <v>403</v>
      </c>
      <c r="L1640" s="55" t="s">
        <v>404</v>
      </c>
      <c r="M1640" s="55" t="s">
        <v>1173</v>
      </c>
    </row>
    <row r="1641" spans="1:13">
      <c r="A1641" s="578" t="s">
        <v>4448</v>
      </c>
      <c r="B1641" s="586" t="s">
        <v>473</v>
      </c>
      <c r="C1641" s="586" t="s">
        <v>473</v>
      </c>
      <c r="D1641" s="586" t="s">
        <v>4449</v>
      </c>
      <c r="E1641" s="586" t="s">
        <v>4450</v>
      </c>
      <c r="F1641" s="586" t="s">
        <v>4451</v>
      </c>
      <c r="G1641" s="586"/>
      <c r="H1641" s="586" t="s">
        <v>359</v>
      </c>
      <c r="I1641" s="587" t="s">
        <v>359</v>
      </c>
      <c r="J1641" s="586"/>
      <c r="K1641" s="586" t="s">
        <v>360</v>
      </c>
      <c r="L1641" s="586" t="s">
        <v>361</v>
      </c>
      <c r="M1641" s="55" t="s">
        <v>7634</v>
      </c>
    </row>
    <row r="1642" spans="1:13">
      <c r="A1642" s="408" t="s">
        <v>4452</v>
      </c>
      <c r="B1642" s="106" t="s">
        <v>327</v>
      </c>
      <c r="C1642" s="106" t="s">
        <v>473</v>
      </c>
      <c r="D1642" s="107" t="s">
        <v>4453</v>
      </c>
      <c r="E1642" s="109" t="s">
        <v>355</v>
      </c>
      <c r="F1642" s="109" t="s">
        <v>355</v>
      </c>
      <c r="G1642" s="55" t="s">
        <v>355</v>
      </c>
      <c r="H1642" s="108" t="s">
        <v>402</v>
      </c>
      <c r="I1642" s="111" t="s">
        <v>402</v>
      </c>
      <c r="J1642" s="111" t="s">
        <v>402</v>
      </c>
      <c r="K1642" s="106" t="s">
        <v>403</v>
      </c>
      <c r="L1642" s="55" t="s">
        <v>404</v>
      </c>
      <c r="M1642" s="55" t="s">
        <v>7634</v>
      </c>
    </row>
    <row r="1643" spans="1:13">
      <c r="A1643" s="408" t="s">
        <v>4454</v>
      </c>
      <c r="B1643" s="106" t="s">
        <v>327</v>
      </c>
      <c r="C1643" s="106" t="s">
        <v>473</v>
      </c>
      <c r="D1643" s="107" t="s">
        <v>4455</v>
      </c>
      <c r="E1643" s="109" t="s">
        <v>355</v>
      </c>
      <c r="F1643" s="109" t="s">
        <v>355</v>
      </c>
      <c r="G1643" s="55" t="s">
        <v>355</v>
      </c>
      <c r="H1643" s="108" t="s">
        <v>402</v>
      </c>
      <c r="I1643" s="111" t="s">
        <v>402</v>
      </c>
      <c r="J1643" s="111" t="s">
        <v>402</v>
      </c>
      <c r="K1643" s="106" t="s">
        <v>403</v>
      </c>
      <c r="L1643" s="55" t="s">
        <v>404</v>
      </c>
      <c r="M1643" s="55" t="s">
        <v>7634</v>
      </c>
    </row>
    <row r="1644" spans="1:13">
      <c r="A1644" s="578" t="s">
        <v>4456</v>
      </c>
      <c r="B1644" s="586" t="s">
        <v>473</v>
      </c>
      <c r="C1644" s="586" t="s">
        <v>473</v>
      </c>
      <c r="D1644" s="586" t="s">
        <v>4457</v>
      </c>
      <c r="E1644" s="586" t="s">
        <v>1225</v>
      </c>
      <c r="F1644" s="586" t="s">
        <v>4458</v>
      </c>
      <c r="G1644" s="586" t="s">
        <v>377</v>
      </c>
      <c r="H1644" s="586" t="s">
        <v>359</v>
      </c>
      <c r="I1644" s="587" t="s">
        <v>359</v>
      </c>
      <c r="J1644" s="586"/>
      <c r="K1644" s="586" t="s">
        <v>360</v>
      </c>
      <c r="L1644" s="586" t="s">
        <v>361</v>
      </c>
      <c r="M1644" s="55" t="s">
        <v>7634</v>
      </c>
    </row>
    <row r="1645" spans="1:13">
      <c r="A1645" s="408" t="s">
        <v>4459</v>
      </c>
      <c r="B1645" s="106" t="s">
        <v>327</v>
      </c>
      <c r="C1645" s="106" t="s">
        <v>473</v>
      </c>
      <c r="D1645" s="107" t="s">
        <v>4460</v>
      </c>
      <c r="E1645" s="109" t="s">
        <v>355</v>
      </c>
      <c r="F1645" s="109" t="s">
        <v>355</v>
      </c>
      <c r="G1645" s="55" t="s">
        <v>355</v>
      </c>
      <c r="H1645" s="108" t="s">
        <v>402</v>
      </c>
      <c r="I1645" s="111" t="s">
        <v>402</v>
      </c>
      <c r="J1645" s="111" t="s">
        <v>402</v>
      </c>
      <c r="K1645" s="106" t="s">
        <v>403</v>
      </c>
      <c r="L1645" s="55" t="s">
        <v>404</v>
      </c>
      <c r="M1645" s="55" t="s">
        <v>7634</v>
      </c>
    </row>
    <row r="1646" spans="1:13">
      <c r="A1646" s="408" t="s">
        <v>4461</v>
      </c>
      <c r="B1646" s="106" t="s">
        <v>327</v>
      </c>
      <c r="C1646" s="106" t="s">
        <v>473</v>
      </c>
      <c r="D1646" s="107" t="s">
        <v>4462</v>
      </c>
      <c r="E1646" s="109" t="s">
        <v>355</v>
      </c>
      <c r="F1646" s="109" t="s">
        <v>355</v>
      </c>
      <c r="G1646" s="55" t="s">
        <v>355</v>
      </c>
      <c r="H1646" s="108" t="s">
        <v>402</v>
      </c>
      <c r="I1646" s="111" t="s">
        <v>402</v>
      </c>
      <c r="J1646" s="111" t="s">
        <v>402</v>
      </c>
      <c r="K1646" s="106" t="s">
        <v>403</v>
      </c>
      <c r="L1646" s="55" t="s">
        <v>404</v>
      </c>
      <c r="M1646" s="55" t="s">
        <v>7634</v>
      </c>
    </row>
    <row r="1647" spans="1:13">
      <c r="A1647" s="408" t="s">
        <v>4463</v>
      </c>
      <c r="B1647" s="106" t="s">
        <v>327</v>
      </c>
      <c r="C1647" s="106" t="s">
        <v>473</v>
      </c>
      <c r="D1647" s="107" t="s">
        <v>4464</v>
      </c>
      <c r="E1647" s="109" t="s">
        <v>355</v>
      </c>
      <c r="F1647" s="109" t="s">
        <v>355</v>
      </c>
      <c r="G1647" s="55" t="s">
        <v>355</v>
      </c>
      <c r="H1647" s="108" t="s">
        <v>402</v>
      </c>
      <c r="I1647" s="111" t="s">
        <v>402</v>
      </c>
      <c r="J1647" s="111" t="s">
        <v>402</v>
      </c>
      <c r="K1647" s="106" t="s">
        <v>403</v>
      </c>
      <c r="L1647" s="55" t="s">
        <v>404</v>
      </c>
      <c r="M1647" s="55" t="s">
        <v>7634</v>
      </c>
    </row>
    <row r="1648" spans="1:13">
      <c r="A1648" s="408" t="s">
        <v>4465</v>
      </c>
      <c r="B1648" s="106" t="s">
        <v>327</v>
      </c>
      <c r="C1648" s="106" t="s">
        <v>473</v>
      </c>
      <c r="D1648" s="107" t="s">
        <v>4466</v>
      </c>
      <c r="E1648" s="109" t="s">
        <v>355</v>
      </c>
      <c r="F1648" s="109" t="s">
        <v>355</v>
      </c>
      <c r="G1648" s="55" t="s">
        <v>355</v>
      </c>
      <c r="H1648" s="108" t="s">
        <v>402</v>
      </c>
      <c r="I1648" s="111" t="s">
        <v>402</v>
      </c>
      <c r="J1648" s="111" t="s">
        <v>402</v>
      </c>
      <c r="K1648" s="106" t="s">
        <v>403</v>
      </c>
      <c r="L1648" s="55" t="s">
        <v>404</v>
      </c>
      <c r="M1648" s="55" t="s">
        <v>7634</v>
      </c>
    </row>
    <row r="1649" spans="1:13">
      <c r="A1649" s="408" t="s">
        <v>4467</v>
      </c>
      <c r="B1649" s="106" t="s">
        <v>327</v>
      </c>
      <c r="C1649" s="106" t="s">
        <v>473</v>
      </c>
      <c r="D1649" s="107" t="s">
        <v>4468</v>
      </c>
      <c r="E1649" s="109" t="s">
        <v>355</v>
      </c>
      <c r="F1649" s="109" t="s">
        <v>355</v>
      </c>
      <c r="G1649" s="55" t="s">
        <v>355</v>
      </c>
      <c r="H1649" s="108" t="s">
        <v>402</v>
      </c>
      <c r="I1649" s="111" t="s">
        <v>402</v>
      </c>
      <c r="J1649" s="111" t="s">
        <v>402</v>
      </c>
      <c r="K1649" s="106" t="s">
        <v>403</v>
      </c>
      <c r="L1649" s="55" t="s">
        <v>404</v>
      </c>
      <c r="M1649" s="55" t="s">
        <v>7634</v>
      </c>
    </row>
    <row r="1650" spans="1:13">
      <c r="A1650" s="408" t="s">
        <v>4469</v>
      </c>
      <c r="B1650" s="106" t="s">
        <v>327</v>
      </c>
      <c r="C1650" s="106" t="s">
        <v>473</v>
      </c>
      <c r="D1650" s="107" t="s">
        <v>4470</v>
      </c>
      <c r="E1650" s="109" t="s">
        <v>355</v>
      </c>
      <c r="F1650" s="109" t="s">
        <v>355</v>
      </c>
      <c r="G1650" s="55" t="s">
        <v>355</v>
      </c>
      <c r="H1650" s="108" t="s">
        <v>402</v>
      </c>
      <c r="I1650" s="111" t="s">
        <v>402</v>
      </c>
      <c r="J1650" s="111" t="s">
        <v>402</v>
      </c>
      <c r="K1650" s="106" t="s">
        <v>403</v>
      </c>
      <c r="L1650" s="55" t="s">
        <v>404</v>
      </c>
      <c r="M1650" s="55" t="s">
        <v>7634</v>
      </c>
    </row>
    <row r="1651" spans="1:13">
      <c r="A1651" s="408" t="s">
        <v>4471</v>
      </c>
      <c r="B1651" s="106" t="s">
        <v>327</v>
      </c>
      <c r="C1651" s="106" t="s">
        <v>473</v>
      </c>
      <c r="D1651" s="107" t="s">
        <v>4472</v>
      </c>
      <c r="E1651" s="109" t="s">
        <v>355</v>
      </c>
      <c r="F1651" s="109" t="s">
        <v>355</v>
      </c>
      <c r="G1651" s="55" t="s">
        <v>355</v>
      </c>
      <c r="H1651" s="108" t="s">
        <v>402</v>
      </c>
      <c r="I1651" s="111" t="s">
        <v>402</v>
      </c>
      <c r="J1651" s="111" t="s">
        <v>402</v>
      </c>
      <c r="K1651" s="106" t="s">
        <v>403</v>
      </c>
      <c r="L1651" s="55" t="s">
        <v>404</v>
      </c>
      <c r="M1651" s="55" t="s">
        <v>7634</v>
      </c>
    </row>
    <row r="1652" spans="1:13">
      <c r="A1652" s="408" t="s">
        <v>4473</v>
      </c>
      <c r="B1652" s="106" t="s">
        <v>327</v>
      </c>
      <c r="C1652" s="106" t="s">
        <v>473</v>
      </c>
      <c r="D1652" s="107" t="s">
        <v>4474</v>
      </c>
      <c r="E1652" s="109" t="s">
        <v>355</v>
      </c>
      <c r="F1652" s="109" t="s">
        <v>355</v>
      </c>
      <c r="G1652" s="55" t="s">
        <v>355</v>
      </c>
      <c r="H1652" s="108" t="s">
        <v>402</v>
      </c>
      <c r="I1652" s="111" t="s">
        <v>402</v>
      </c>
      <c r="J1652" s="111" t="s">
        <v>402</v>
      </c>
      <c r="K1652" s="106" t="s">
        <v>403</v>
      </c>
      <c r="L1652" s="55" t="s">
        <v>404</v>
      </c>
      <c r="M1652" s="55" t="s">
        <v>7634</v>
      </c>
    </row>
    <row r="1653" spans="1:13">
      <c r="A1653" s="408" t="s">
        <v>4475</v>
      </c>
      <c r="B1653" s="106" t="s">
        <v>327</v>
      </c>
      <c r="C1653" s="106" t="s">
        <v>473</v>
      </c>
      <c r="D1653" s="107" t="s">
        <v>4476</v>
      </c>
      <c r="E1653" s="109" t="s">
        <v>355</v>
      </c>
      <c r="F1653" s="109" t="s">
        <v>355</v>
      </c>
      <c r="G1653" s="55" t="s">
        <v>355</v>
      </c>
      <c r="H1653" s="108" t="s">
        <v>402</v>
      </c>
      <c r="I1653" s="111" t="s">
        <v>402</v>
      </c>
      <c r="J1653" s="111" t="s">
        <v>402</v>
      </c>
      <c r="K1653" s="106" t="s">
        <v>403</v>
      </c>
      <c r="L1653" s="55" t="s">
        <v>404</v>
      </c>
      <c r="M1653" s="55" t="s">
        <v>7634</v>
      </c>
    </row>
    <row r="1654" spans="1:13">
      <c r="A1654" s="408" t="s">
        <v>4477</v>
      </c>
      <c r="B1654" s="106" t="s">
        <v>327</v>
      </c>
      <c r="C1654" s="106" t="s">
        <v>473</v>
      </c>
      <c r="D1654" s="107" t="s">
        <v>4478</v>
      </c>
      <c r="E1654" s="109" t="s">
        <v>355</v>
      </c>
      <c r="F1654" s="109" t="s">
        <v>355</v>
      </c>
      <c r="G1654" s="55" t="s">
        <v>355</v>
      </c>
      <c r="H1654" s="108" t="s">
        <v>402</v>
      </c>
      <c r="I1654" s="111" t="s">
        <v>402</v>
      </c>
      <c r="J1654" s="111" t="s">
        <v>402</v>
      </c>
      <c r="K1654" s="106" t="s">
        <v>403</v>
      </c>
      <c r="L1654" s="55" t="s">
        <v>404</v>
      </c>
      <c r="M1654" s="55" t="s">
        <v>7634</v>
      </c>
    </row>
    <row r="1655" spans="1:13">
      <c r="A1655" s="408" t="s">
        <v>4479</v>
      </c>
      <c r="B1655" s="106" t="s">
        <v>327</v>
      </c>
      <c r="C1655" s="106" t="s">
        <v>473</v>
      </c>
      <c r="D1655" s="107" t="s">
        <v>4480</v>
      </c>
      <c r="E1655" s="109" t="s">
        <v>355</v>
      </c>
      <c r="F1655" s="109" t="s">
        <v>355</v>
      </c>
      <c r="G1655" s="55" t="s">
        <v>355</v>
      </c>
      <c r="H1655" s="108" t="s">
        <v>402</v>
      </c>
      <c r="I1655" s="111" t="s">
        <v>402</v>
      </c>
      <c r="J1655" s="111" t="s">
        <v>402</v>
      </c>
      <c r="K1655" s="106" t="s">
        <v>403</v>
      </c>
      <c r="L1655" s="55" t="s">
        <v>404</v>
      </c>
      <c r="M1655" s="55" t="s">
        <v>7634</v>
      </c>
    </row>
    <row r="1656" spans="1:13">
      <c r="A1656" s="408" t="s">
        <v>4481</v>
      </c>
      <c r="B1656" s="106" t="s">
        <v>327</v>
      </c>
      <c r="C1656" s="106" t="s">
        <v>473</v>
      </c>
      <c r="D1656" s="107" t="s">
        <v>4482</v>
      </c>
      <c r="E1656" s="109" t="s">
        <v>355</v>
      </c>
      <c r="F1656" s="109" t="s">
        <v>355</v>
      </c>
      <c r="G1656" s="55" t="s">
        <v>355</v>
      </c>
      <c r="H1656" s="108" t="s">
        <v>402</v>
      </c>
      <c r="I1656" s="111" t="s">
        <v>402</v>
      </c>
      <c r="J1656" s="111" t="s">
        <v>402</v>
      </c>
      <c r="K1656" s="106" t="s">
        <v>403</v>
      </c>
      <c r="L1656" s="55" t="s">
        <v>404</v>
      </c>
      <c r="M1656" s="55" t="s">
        <v>7634</v>
      </c>
    </row>
    <row r="1657" spans="1:13">
      <c r="A1657" s="408" t="s">
        <v>4483</v>
      </c>
      <c r="B1657" s="106" t="s">
        <v>327</v>
      </c>
      <c r="C1657" s="106" t="s">
        <v>473</v>
      </c>
      <c r="D1657" s="107" t="s">
        <v>4484</v>
      </c>
      <c r="E1657" s="109" t="s">
        <v>355</v>
      </c>
      <c r="F1657" s="109" t="s">
        <v>355</v>
      </c>
      <c r="G1657" s="55" t="s">
        <v>355</v>
      </c>
      <c r="H1657" s="108" t="s">
        <v>402</v>
      </c>
      <c r="I1657" s="111" t="s">
        <v>402</v>
      </c>
      <c r="J1657" s="111" t="s">
        <v>402</v>
      </c>
      <c r="K1657" s="106" t="s">
        <v>403</v>
      </c>
      <c r="L1657" s="55" t="s">
        <v>404</v>
      </c>
      <c r="M1657" s="55" t="s">
        <v>7634</v>
      </c>
    </row>
    <row r="1658" spans="1:13">
      <c r="A1658" s="408" t="s">
        <v>4485</v>
      </c>
      <c r="B1658" s="106" t="s">
        <v>327</v>
      </c>
      <c r="C1658" s="106" t="s">
        <v>473</v>
      </c>
      <c r="D1658" s="107" t="s">
        <v>4486</v>
      </c>
      <c r="E1658" s="109" t="s">
        <v>355</v>
      </c>
      <c r="F1658" s="109" t="s">
        <v>355</v>
      </c>
      <c r="G1658" s="55" t="s">
        <v>355</v>
      </c>
      <c r="H1658" s="108" t="s">
        <v>402</v>
      </c>
      <c r="I1658" s="111" t="s">
        <v>402</v>
      </c>
      <c r="J1658" s="111" t="s">
        <v>402</v>
      </c>
      <c r="K1658" s="106" t="s">
        <v>403</v>
      </c>
      <c r="L1658" s="55" t="s">
        <v>404</v>
      </c>
      <c r="M1658" s="55" t="s">
        <v>7634</v>
      </c>
    </row>
    <row r="1659" spans="1:13">
      <c r="A1659" s="408" t="s">
        <v>4487</v>
      </c>
      <c r="B1659" s="106" t="s">
        <v>327</v>
      </c>
      <c r="C1659" s="106" t="s">
        <v>473</v>
      </c>
      <c r="D1659" s="107" t="s">
        <v>4488</v>
      </c>
      <c r="E1659" s="109" t="s">
        <v>355</v>
      </c>
      <c r="F1659" s="109" t="s">
        <v>355</v>
      </c>
      <c r="G1659" s="55" t="s">
        <v>355</v>
      </c>
      <c r="H1659" s="108" t="s">
        <v>402</v>
      </c>
      <c r="I1659" s="111" t="s">
        <v>402</v>
      </c>
      <c r="J1659" s="111" t="s">
        <v>402</v>
      </c>
      <c r="K1659" s="106" t="s">
        <v>403</v>
      </c>
      <c r="L1659" s="55" t="s">
        <v>404</v>
      </c>
      <c r="M1659" s="55" t="s">
        <v>7634</v>
      </c>
    </row>
    <row r="1660" spans="1:13">
      <c r="A1660" s="408" t="s">
        <v>4489</v>
      </c>
      <c r="B1660" s="106" t="s">
        <v>327</v>
      </c>
      <c r="C1660" s="106" t="s">
        <v>473</v>
      </c>
      <c r="D1660" s="107" t="s">
        <v>4490</v>
      </c>
      <c r="E1660" s="109" t="s">
        <v>355</v>
      </c>
      <c r="F1660" s="109" t="s">
        <v>355</v>
      </c>
      <c r="G1660" s="55" t="s">
        <v>355</v>
      </c>
      <c r="H1660" s="108" t="s">
        <v>402</v>
      </c>
      <c r="I1660" s="111" t="s">
        <v>402</v>
      </c>
      <c r="J1660" s="111" t="s">
        <v>402</v>
      </c>
      <c r="K1660" s="106" t="s">
        <v>403</v>
      </c>
      <c r="L1660" s="55" t="s">
        <v>404</v>
      </c>
      <c r="M1660" s="55" t="s">
        <v>7634</v>
      </c>
    </row>
    <row r="1661" spans="1:13">
      <c r="A1661" s="401" t="s">
        <v>4491</v>
      </c>
      <c r="B1661" s="106" t="s">
        <v>327</v>
      </c>
      <c r="C1661" s="106" t="s">
        <v>473</v>
      </c>
      <c r="D1661" s="109" t="s">
        <v>4492</v>
      </c>
      <c r="E1661" s="109" t="s">
        <v>4493</v>
      </c>
      <c r="F1661" s="109" t="s">
        <v>4494</v>
      </c>
      <c r="G1661" s="117" t="s">
        <v>383</v>
      </c>
      <c r="H1661" s="115" t="s">
        <v>402</v>
      </c>
      <c r="I1661" s="111" t="s">
        <v>402</v>
      </c>
      <c r="J1661" s="111" t="s">
        <v>402</v>
      </c>
      <c r="K1661" s="115" t="s">
        <v>403</v>
      </c>
      <c r="L1661" s="55" t="s">
        <v>404</v>
      </c>
      <c r="M1661" s="113" t="s">
        <v>1173</v>
      </c>
    </row>
    <row r="1662" spans="1:13">
      <c r="A1662" s="408" t="s">
        <v>4495</v>
      </c>
      <c r="B1662" s="106" t="s">
        <v>327</v>
      </c>
      <c r="C1662" s="106" t="s">
        <v>473</v>
      </c>
      <c r="D1662" s="107" t="s">
        <v>4496</v>
      </c>
      <c r="E1662" s="109" t="s">
        <v>355</v>
      </c>
      <c r="F1662" s="109" t="s">
        <v>355</v>
      </c>
      <c r="G1662" s="55" t="s">
        <v>355</v>
      </c>
      <c r="H1662" s="108" t="s">
        <v>402</v>
      </c>
      <c r="I1662" s="111" t="s">
        <v>402</v>
      </c>
      <c r="J1662" s="111" t="s">
        <v>402</v>
      </c>
      <c r="K1662" s="106" t="s">
        <v>403</v>
      </c>
      <c r="L1662" s="55" t="s">
        <v>404</v>
      </c>
      <c r="M1662" s="55" t="s">
        <v>7634</v>
      </c>
    </row>
    <row r="1663" spans="1:13">
      <c r="A1663" s="408" t="s">
        <v>4497</v>
      </c>
      <c r="B1663" s="106" t="s">
        <v>327</v>
      </c>
      <c r="C1663" s="106" t="s">
        <v>473</v>
      </c>
      <c r="D1663" s="107" t="s">
        <v>4498</v>
      </c>
      <c r="E1663" s="109" t="s">
        <v>355</v>
      </c>
      <c r="F1663" s="109" t="s">
        <v>355</v>
      </c>
      <c r="G1663" s="55" t="s">
        <v>355</v>
      </c>
      <c r="H1663" s="108" t="s">
        <v>402</v>
      </c>
      <c r="I1663" s="111" t="s">
        <v>402</v>
      </c>
      <c r="J1663" s="111" t="s">
        <v>402</v>
      </c>
      <c r="K1663" s="106" t="s">
        <v>403</v>
      </c>
      <c r="L1663" s="55" t="s">
        <v>404</v>
      </c>
      <c r="M1663" s="55" t="s">
        <v>7634</v>
      </c>
    </row>
    <row r="1664" spans="1:13">
      <c r="A1664" s="408" t="s">
        <v>4499</v>
      </c>
      <c r="B1664" s="106" t="s">
        <v>327</v>
      </c>
      <c r="C1664" s="106" t="s">
        <v>473</v>
      </c>
      <c r="D1664" s="107" t="s">
        <v>4500</v>
      </c>
      <c r="E1664" s="109" t="s">
        <v>355</v>
      </c>
      <c r="F1664" s="109" t="s">
        <v>355</v>
      </c>
      <c r="G1664" s="55" t="s">
        <v>355</v>
      </c>
      <c r="H1664" s="108" t="s">
        <v>402</v>
      </c>
      <c r="I1664" s="111" t="s">
        <v>402</v>
      </c>
      <c r="J1664" s="111" t="s">
        <v>402</v>
      </c>
      <c r="K1664" s="106" t="s">
        <v>403</v>
      </c>
      <c r="L1664" s="55" t="s">
        <v>404</v>
      </c>
      <c r="M1664" s="55" t="s">
        <v>7634</v>
      </c>
    </row>
    <row r="1665" spans="1:13">
      <c r="A1665" s="408" t="s">
        <v>4501</v>
      </c>
      <c r="B1665" s="106" t="s">
        <v>327</v>
      </c>
      <c r="C1665" s="106" t="s">
        <v>473</v>
      </c>
      <c r="D1665" s="107" t="s">
        <v>4502</v>
      </c>
      <c r="E1665" s="109" t="s">
        <v>355</v>
      </c>
      <c r="F1665" s="109" t="s">
        <v>355</v>
      </c>
      <c r="G1665" s="55" t="s">
        <v>355</v>
      </c>
      <c r="H1665" s="108" t="s">
        <v>402</v>
      </c>
      <c r="I1665" s="111" t="s">
        <v>402</v>
      </c>
      <c r="J1665" s="111" t="s">
        <v>402</v>
      </c>
      <c r="K1665" s="106" t="s">
        <v>403</v>
      </c>
      <c r="L1665" s="55" t="s">
        <v>404</v>
      </c>
      <c r="M1665" s="55" t="s">
        <v>7634</v>
      </c>
    </row>
    <row r="1666" spans="1:13">
      <c r="A1666" s="408" t="s">
        <v>4503</v>
      </c>
      <c r="B1666" s="106" t="s">
        <v>327</v>
      </c>
      <c r="C1666" s="106" t="s">
        <v>473</v>
      </c>
      <c r="D1666" s="107" t="s">
        <v>4504</v>
      </c>
      <c r="E1666" s="109" t="s">
        <v>355</v>
      </c>
      <c r="F1666" s="109" t="s">
        <v>355</v>
      </c>
      <c r="G1666" s="55" t="s">
        <v>355</v>
      </c>
      <c r="H1666" s="108" t="s">
        <v>402</v>
      </c>
      <c r="I1666" s="111" t="s">
        <v>402</v>
      </c>
      <c r="J1666" s="111" t="s">
        <v>402</v>
      </c>
      <c r="K1666" s="106" t="s">
        <v>403</v>
      </c>
      <c r="L1666" s="55" t="s">
        <v>404</v>
      </c>
      <c r="M1666" s="55" t="s">
        <v>7634</v>
      </c>
    </row>
    <row r="1667" spans="1:13">
      <c r="A1667" s="408" t="s">
        <v>4505</v>
      </c>
      <c r="B1667" s="106" t="s">
        <v>327</v>
      </c>
      <c r="C1667" s="106" t="s">
        <v>473</v>
      </c>
      <c r="D1667" s="107" t="s">
        <v>4506</v>
      </c>
      <c r="E1667" s="109" t="s">
        <v>355</v>
      </c>
      <c r="F1667" s="109" t="s">
        <v>355</v>
      </c>
      <c r="G1667" s="55" t="s">
        <v>355</v>
      </c>
      <c r="H1667" s="108" t="s">
        <v>402</v>
      </c>
      <c r="I1667" s="111" t="s">
        <v>402</v>
      </c>
      <c r="J1667" s="111" t="s">
        <v>402</v>
      </c>
      <c r="K1667" s="106" t="s">
        <v>403</v>
      </c>
      <c r="L1667" s="55" t="s">
        <v>404</v>
      </c>
      <c r="M1667" s="55" t="s">
        <v>7634</v>
      </c>
    </row>
    <row r="1668" spans="1:13">
      <c r="A1668" s="408" t="s">
        <v>4507</v>
      </c>
      <c r="B1668" s="106" t="s">
        <v>327</v>
      </c>
      <c r="C1668" s="106" t="s">
        <v>473</v>
      </c>
      <c r="D1668" s="107" t="s">
        <v>4508</v>
      </c>
      <c r="E1668" s="109" t="s">
        <v>355</v>
      </c>
      <c r="F1668" s="109" t="s">
        <v>355</v>
      </c>
      <c r="G1668" s="55" t="s">
        <v>355</v>
      </c>
      <c r="H1668" s="108" t="s">
        <v>402</v>
      </c>
      <c r="I1668" s="111" t="s">
        <v>402</v>
      </c>
      <c r="J1668" s="111" t="s">
        <v>402</v>
      </c>
      <c r="K1668" s="106" t="s">
        <v>403</v>
      </c>
      <c r="L1668" s="55" t="s">
        <v>404</v>
      </c>
      <c r="M1668" s="55" t="s">
        <v>7634</v>
      </c>
    </row>
    <row r="1669" spans="1:13">
      <c r="A1669" s="408" t="s">
        <v>4509</v>
      </c>
      <c r="B1669" s="106" t="s">
        <v>327</v>
      </c>
      <c r="C1669" s="106" t="s">
        <v>473</v>
      </c>
      <c r="D1669" s="107" t="s">
        <v>4510</v>
      </c>
      <c r="E1669" s="109" t="s">
        <v>355</v>
      </c>
      <c r="F1669" s="109" t="s">
        <v>355</v>
      </c>
      <c r="G1669" s="55" t="s">
        <v>355</v>
      </c>
      <c r="H1669" s="108" t="s">
        <v>402</v>
      </c>
      <c r="I1669" s="111" t="s">
        <v>402</v>
      </c>
      <c r="J1669" s="111" t="s">
        <v>402</v>
      </c>
      <c r="K1669" s="106" t="s">
        <v>403</v>
      </c>
      <c r="L1669" s="55" t="s">
        <v>404</v>
      </c>
      <c r="M1669" s="55" t="s">
        <v>7634</v>
      </c>
    </row>
    <row r="1670" spans="1:13">
      <c r="A1670" s="408" t="s">
        <v>4511</v>
      </c>
      <c r="B1670" s="106" t="s">
        <v>327</v>
      </c>
      <c r="C1670" s="106" t="s">
        <v>473</v>
      </c>
      <c r="D1670" s="107" t="s">
        <v>4512</v>
      </c>
      <c r="E1670" s="109" t="s">
        <v>355</v>
      </c>
      <c r="F1670" s="109" t="s">
        <v>355</v>
      </c>
      <c r="G1670" s="55" t="s">
        <v>355</v>
      </c>
      <c r="H1670" s="108" t="s">
        <v>402</v>
      </c>
      <c r="I1670" s="111" t="s">
        <v>402</v>
      </c>
      <c r="J1670" s="111" t="s">
        <v>402</v>
      </c>
      <c r="K1670" s="106" t="s">
        <v>403</v>
      </c>
      <c r="L1670" s="55" t="s">
        <v>404</v>
      </c>
      <c r="M1670" s="55" t="s">
        <v>7634</v>
      </c>
    </row>
    <row r="1671" spans="1:13">
      <c r="A1671" s="401" t="s">
        <v>4513</v>
      </c>
      <c r="B1671" s="106" t="s">
        <v>327</v>
      </c>
      <c r="C1671" s="106" t="s">
        <v>473</v>
      </c>
      <c r="D1671" s="109" t="s">
        <v>4514</v>
      </c>
      <c r="E1671" s="109" t="s">
        <v>4515</v>
      </c>
      <c r="F1671" s="109" t="s">
        <v>4516</v>
      </c>
      <c r="G1671" s="117" t="s">
        <v>383</v>
      </c>
      <c r="H1671" s="115" t="s">
        <v>402</v>
      </c>
      <c r="I1671" s="111" t="s">
        <v>402</v>
      </c>
      <c r="J1671" s="111" t="s">
        <v>402</v>
      </c>
      <c r="K1671" s="106" t="s">
        <v>403</v>
      </c>
      <c r="L1671" s="55" t="s">
        <v>404</v>
      </c>
      <c r="M1671" s="113" t="s">
        <v>1173</v>
      </c>
    </row>
    <row r="1672" spans="1:13">
      <c r="A1672" s="408" t="s">
        <v>4517</v>
      </c>
      <c r="B1672" s="106" t="s">
        <v>327</v>
      </c>
      <c r="C1672" s="106" t="s">
        <v>473</v>
      </c>
      <c r="D1672" s="107" t="s">
        <v>4518</v>
      </c>
      <c r="E1672" s="109" t="s">
        <v>355</v>
      </c>
      <c r="F1672" s="109" t="s">
        <v>355</v>
      </c>
      <c r="G1672" s="55" t="s">
        <v>355</v>
      </c>
      <c r="H1672" s="108" t="s">
        <v>402</v>
      </c>
      <c r="I1672" s="111" t="s">
        <v>402</v>
      </c>
      <c r="J1672" s="111" t="s">
        <v>402</v>
      </c>
      <c r="K1672" s="106" t="s">
        <v>403</v>
      </c>
      <c r="L1672" s="55" t="s">
        <v>404</v>
      </c>
      <c r="M1672" s="55" t="s">
        <v>7634</v>
      </c>
    </row>
    <row r="1673" spans="1:13">
      <c r="A1673" s="408" t="s">
        <v>4519</v>
      </c>
      <c r="B1673" s="106" t="s">
        <v>327</v>
      </c>
      <c r="C1673" s="106" t="s">
        <v>473</v>
      </c>
      <c r="D1673" s="107" t="s">
        <v>4520</v>
      </c>
      <c r="E1673" s="109" t="s">
        <v>355</v>
      </c>
      <c r="F1673" s="109" t="s">
        <v>355</v>
      </c>
      <c r="G1673" s="55" t="s">
        <v>355</v>
      </c>
      <c r="H1673" s="108" t="s">
        <v>402</v>
      </c>
      <c r="I1673" s="111" t="s">
        <v>402</v>
      </c>
      <c r="J1673" s="111" t="s">
        <v>402</v>
      </c>
      <c r="K1673" s="106" t="s">
        <v>403</v>
      </c>
      <c r="L1673" s="55" t="s">
        <v>404</v>
      </c>
      <c r="M1673" s="55" t="s">
        <v>7634</v>
      </c>
    </row>
    <row r="1674" spans="1:13">
      <c r="A1674" s="408" t="s">
        <v>4521</v>
      </c>
      <c r="B1674" s="106" t="s">
        <v>327</v>
      </c>
      <c r="C1674" s="106" t="s">
        <v>473</v>
      </c>
      <c r="D1674" s="107" t="s">
        <v>4522</v>
      </c>
      <c r="E1674" s="109" t="s">
        <v>355</v>
      </c>
      <c r="F1674" s="109" t="s">
        <v>355</v>
      </c>
      <c r="G1674" s="55" t="s">
        <v>355</v>
      </c>
      <c r="H1674" s="108" t="s">
        <v>402</v>
      </c>
      <c r="I1674" s="111" t="s">
        <v>402</v>
      </c>
      <c r="J1674" s="111" t="s">
        <v>402</v>
      </c>
      <c r="K1674" s="106" t="s">
        <v>403</v>
      </c>
      <c r="L1674" s="55" t="s">
        <v>404</v>
      </c>
      <c r="M1674" s="55" t="s">
        <v>7634</v>
      </c>
    </row>
    <row r="1675" spans="1:13">
      <c r="A1675" s="408" t="s">
        <v>4523</v>
      </c>
      <c r="B1675" s="106" t="s">
        <v>327</v>
      </c>
      <c r="C1675" s="106" t="s">
        <v>473</v>
      </c>
      <c r="D1675" s="107" t="s">
        <v>4524</v>
      </c>
      <c r="E1675" s="109" t="s">
        <v>355</v>
      </c>
      <c r="F1675" s="109" t="s">
        <v>355</v>
      </c>
      <c r="G1675" s="55" t="s">
        <v>355</v>
      </c>
      <c r="H1675" s="108" t="s">
        <v>402</v>
      </c>
      <c r="I1675" s="111" t="s">
        <v>402</v>
      </c>
      <c r="J1675" s="111" t="s">
        <v>402</v>
      </c>
      <c r="K1675" s="106" t="s">
        <v>403</v>
      </c>
      <c r="L1675" s="55" t="s">
        <v>404</v>
      </c>
      <c r="M1675" s="55" t="s">
        <v>7634</v>
      </c>
    </row>
    <row r="1676" spans="1:13">
      <c r="A1676" s="408" t="s">
        <v>4525</v>
      </c>
      <c r="B1676" s="106" t="s">
        <v>327</v>
      </c>
      <c r="C1676" s="106" t="s">
        <v>473</v>
      </c>
      <c r="D1676" s="107" t="s">
        <v>4526</v>
      </c>
      <c r="E1676" s="107" t="s">
        <v>4527</v>
      </c>
      <c r="F1676" s="107" t="s">
        <v>4528</v>
      </c>
      <c r="G1676" s="114"/>
      <c r="H1676" s="108" t="s">
        <v>402</v>
      </c>
      <c r="I1676" s="111" t="s">
        <v>402</v>
      </c>
      <c r="J1676" s="111" t="s">
        <v>402</v>
      </c>
      <c r="K1676" s="106" t="s">
        <v>403</v>
      </c>
      <c r="L1676" s="55" t="s">
        <v>404</v>
      </c>
      <c r="M1676" s="55" t="s">
        <v>7634</v>
      </c>
    </row>
    <row r="1677" spans="1:13">
      <c r="A1677" s="408" t="s">
        <v>4529</v>
      </c>
      <c r="B1677" s="106" t="s">
        <v>327</v>
      </c>
      <c r="C1677" s="106" t="s">
        <v>473</v>
      </c>
      <c r="D1677" s="107" t="s">
        <v>4530</v>
      </c>
      <c r="E1677" s="109" t="s">
        <v>355</v>
      </c>
      <c r="F1677" s="109" t="s">
        <v>355</v>
      </c>
      <c r="G1677" s="55" t="s">
        <v>355</v>
      </c>
      <c r="H1677" s="108" t="s">
        <v>402</v>
      </c>
      <c r="I1677" s="111" t="s">
        <v>402</v>
      </c>
      <c r="J1677" s="111" t="s">
        <v>402</v>
      </c>
      <c r="K1677" s="106" t="s">
        <v>403</v>
      </c>
      <c r="L1677" s="55" t="s">
        <v>404</v>
      </c>
      <c r="M1677" s="55" t="s">
        <v>7634</v>
      </c>
    </row>
    <row r="1678" spans="1:13">
      <c r="A1678" s="408" t="s">
        <v>4531</v>
      </c>
      <c r="B1678" s="106" t="s">
        <v>327</v>
      </c>
      <c r="C1678" s="106" t="s">
        <v>473</v>
      </c>
      <c r="D1678" s="107" t="s">
        <v>4532</v>
      </c>
      <c r="E1678" s="109" t="s">
        <v>355</v>
      </c>
      <c r="F1678" s="109" t="s">
        <v>355</v>
      </c>
      <c r="G1678" s="55" t="s">
        <v>355</v>
      </c>
      <c r="H1678" s="108" t="s">
        <v>402</v>
      </c>
      <c r="I1678" s="111" t="s">
        <v>402</v>
      </c>
      <c r="J1678" s="111" t="s">
        <v>402</v>
      </c>
      <c r="K1678" s="106" t="s">
        <v>403</v>
      </c>
      <c r="L1678" s="55" t="s">
        <v>404</v>
      </c>
      <c r="M1678" s="55" t="s">
        <v>7634</v>
      </c>
    </row>
    <row r="1679" spans="1:13">
      <c r="A1679" s="408" t="s">
        <v>4533</v>
      </c>
      <c r="B1679" s="106" t="s">
        <v>327</v>
      </c>
      <c r="C1679" s="106" t="s">
        <v>473</v>
      </c>
      <c r="D1679" s="107" t="s">
        <v>4534</v>
      </c>
      <c r="E1679" s="109" t="s">
        <v>355</v>
      </c>
      <c r="F1679" s="109" t="s">
        <v>355</v>
      </c>
      <c r="G1679" s="55" t="s">
        <v>355</v>
      </c>
      <c r="H1679" s="108" t="s">
        <v>402</v>
      </c>
      <c r="I1679" s="111" t="s">
        <v>402</v>
      </c>
      <c r="J1679" s="111" t="s">
        <v>402</v>
      </c>
      <c r="K1679" s="106" t="s">
        <v>403</v>
      </c>
      <c r="L1679" s="55" t="s">
        <v>404</v>
      </c>
      <c r="M1679" s="55" t="s">
        <v>7634</v>
      </c>
    </row>
    <row r="1680" spans="1:13">
      <c r="A1680" s="408" t="s">
        <v>4535</v>
      </c>
      <c r="B1680" s="106" t="s">
        <v>327</v>
      </c>
      <c r="C1680" s="106" t="s">
        <v>473</v>
      </c>
      <c r="D1680" s="107" t="s">
        <v>4536</v>
      </c>
      <c r="E1680" s="109" t="s">
        <v>355</v>
      </c>
      <c r="F1680" s="109" t="s">
        <v>355</v>
      </c>
      <c r="G1680" s="55" t="s">
        <v>355</v>
      </c>
      <c r="H1680" s="108" t="s">
        <v>402</v>
      </c>
      <c r="I1680" s="111" t="s">
        <v>402</v>
      </c>
      <c r="J1680" s="111" t="s">
        <v>402</v>
      </c>
      <c r="K1680" s="106" t="s">
        <v>403</v>
      </c>
      <c r="L1680" s="55" t="s">
        <v>404</v>
      </c>
      <c r="M1680" s="55" t="s">
        <v>7634</v>
      </c>
    </row>
    <row r="1681" spans="1:13">
      <c r="A1681" s="408" t="s">
        <v>4537</v>
      </c>
      <c r="B1681" s="106" t="s">
        <v>327</v>
      </c>
      <c r="C1681" s="106" t="s">
        <v>473</v>
      </c>
      <c r="D1681" s="107" t="s">
        <v>4538</v>
      </c>
      <c r="E1681" s="109" t="s">
        <v>355</v>
      </c>
      <c r="F1681" s="109" t="s">
        <v>355</v>
      </c>
      <c r="G1681" s="55" t="s">
        <v>355</v>
      </c>
      <c r="H1681" s="108" t="s">
        <v>402</v>
      </c>
      <c r="I1681" s="111" t="s">
        <v>402</v>
      </c>
      <c r="J1681" s="111" t="s">
        <v>402</v>
      </c>
      <c r="K1681" s="106" t="s">
        <v>403</v>
      </c>
      <c r="L1681" s="55" t="s">
        <v>404</v>
      </c>
      <c r="M1681" s="55" t="s">
        <v>7634</v>
      </c>
    </row>
    <row r="1682" spans="1:13">
      <c r="A1682" s="408" t="s">
        <v>4539</v>
      </c>
      <c r="B1682" s="106" t="s">
        <v>327</v>
      </c>
      <c r="C1682" s="106" t="s">
        <v>473</v>
      </c>
      <c r="D1682" s="107" t="s">
        <v>4540</v>
      </c>
      <c r="E1682" s="109" t="s">
        <v>355</v>
      </c>
      <c r="F1682" s="109" t="s">
        <v>355</v>
      </c>
      <c r="G1682" s="55" t="s">
        <v>355</v>
      </c>
      <c r="H1682" s="108" t="s">
        <v>402</v>
      </c>
      <c r="I1682" s="111" t="s">
        <v>402</v>
      </c>
      <c r="J1682" s="111" t="s">
        <v>402</v>
      </c>
      <c r="K1682" s="106" t="s">
        <v>403</v>
      </c>
      <c r="L1682" s="55" t="s">
        <v>404</v>
      </c>
      <c r="M1682" s="55" t="s">
        <v>7634</v>
      </c>
    </row>
    <row r="1683" spans="1:13">
      <c r="A1683" s="408" t="s">
        <v>4541</v>
      </c>
      <c r="B1683" s="106" t="s">
        <v>327</v>
      </c>
      <c r="C1683" s="106" t="s">
        <v>473</v>
      </c>
      <c r="D1683" s="107" t="s">
        <v>4542</v>
      </c>
      <c r="E1683" s="109" t="s">
        <v>355</v>
      </c>
      <c r="F1683" s="109" t="s">
        <v>355</v>
      </c>
      <c r="G1683" s="55" t="s">
        <v>355</v>
      </c>
      <c r="H1683" s="108" t="s">
        <v>402</v>
      </c>
      <c r="I1683" s="111" t="s">
        <v>402</v>
      </c>
      <c r="J1683" s="111" t="s">
        <v>402</v>
      </c>
      <c r="K1683" s="106" t="s">
        <v>403</v>
      </c>
      <c r="L1683" s="55" t="s">
        <v>404</v>
      </c>
      <c r="M1683" s="55" t="s">
        <v>7634</v>
      </c>
    </row>
    <row r="1684" spans="1:13">
      <c r="A1684" s="408" t="s">
        <v>4543</v>
      </c>
      <c r="B1684" s="106" t="s">
        <v>327</v>
      </c>
      <c r="C1684" s="106" t="s">
        <v>473</v>
      </c>
      <c r="D1684" s="107" t="s">
        <v>4544</v>
      </c>
      <c r="E1684" s="109" t="s">
        <v>355</v>
      </c>
      <c r="F1684" s="109" t="s">
        <v>355</v>
      </c>
      <c r="G1684" s="55" t="s">
        <v>355</v>
      </c>
      <c r="H1684" s="108" t="s">
        <v>402</v>
      </c>
      <c r="I1684" s="111" t="s">
        <v>402</v>
      </c>
      <c r="J1684" s="111" t="s">
        <v>402</v>
      </c>
      <c r="K1684" s="106" t="s">
        <v>403</v>
      </c>
      <c r="L1684" s="55" t="s">
        <v>404</v>
      </c>
      <c r="M1684" s="55" t="s">
        <v>7634</v>
      </c>
    </row>
    <row r="1685" spans="1:13">
      <c r="A1685" s="408" t="s">
        <v>4545</v>
      </c>
      <c r="B1685" s="106" t="s">
        <v>327</v>
      </c>
      <c r="C1685" s="106" t="s">
        <v>473</v>
      </c>
      <c r="D1685" s="107" t="s">
        <v>4546</v>
      </c>
      <c r="E1685" s="109" t="s">
        <v>355</v>
      </c>
      <c r="F1685" s="109" t="s">
        <v>355</v>
      </c>
      <c r="G1685" s="55" t="s">
        <v>355</v>
      </c>
      <c r="H1685" s="108" t="s">
        <v>402</v>
      </c>
      <c r="I1685" s="111" t="s">
        <v>402</v>
      </c>
      <c r="J1685" s="111" t="s">
        <v>402</v>
      </c>
      <c r="K1685" s="106" t="s">
        <v>403</v>
      </c>
      <c r="L1685" s="55" t="s">
        <v>404</v>
      </c>
      <c r="M1685" s="55" t="s">
        <v>7634</v>
      </c>
    </row>
    <row r="1686" spans="1:13">
      <c r="A1686" s="408" t="s">
        <v>4547</v>
      </c>
      <c r="B1686" s="106" t="s">
        <v>327</v>
      </c>
      <c r="C1686" s="106" t="s">
        <v>473</v>
      </c>
      <c r="D1686" s="107" t="s">
        <v>4548</v>
      </c>
      <c r="E1686" s="109" t="s">
        <v>355</v>
      </c>
      <c r="F1686" s="109" t="s">
        <v>355</v>
      </c>
      <c r="G1686" s="55" t="s">
        <v>355</v>
      </c>
      <c r="H1686" s="108" t="s">
        <v>402</v>
      </c>
      <c r="I1686" s="111" t="s">
        <v>402</v>
      </c>
      <c r="J1686" s="111" t="s">
        <v>402</v>
      </c>
      <c r="K1686" s="106" t="s">
        <v>403</v>
      </c>
      <c r="L1686" s="55" t="s">
        <v>404</v>
      </c>
      <c r="M1686" s="55" t="s">
        <v>7634</v>
      </c>
    </row>
    <row r="1687" spans="1:13">
      <c r="A1687" s="408" t="s">
        <v>4549</v>
      </c>
      <c r="B1687" s="106" t="s">
        <v>327</v>
      </c>
      <c r="C1687" s="106" t="s">
        <v>473</v>
      </c>
      <c r="D1687" s="107" t="s">
        <v>4550</v>
      </c>
      <c r="E1687" s="109" t="s">
        <v>355</v>
      </c>
      <c r="F1687" s="109" t="s">
        <v>355</v>
      </c>
      <c r="G1687" s="55" t="s">
        <v>355</v>
      </c>
      <c r="H1687" s="108" t="s">
        <v>402</v>
      </c>
      <c r="I1687" s="111" t="s">
        <v>402</v>
      </c>
      <c r="J1687" s="111" t="s">
        <v>402</v>
      </c>
      <c r="K1687" s="106" t="s">
        <v>403</v>
      </c>
      <c r="L1687" s="55" t="s">
        <v>404</v>
      </c>
      <c r="M1687" s="55" t="s">
        <v>7634</v>
      </c>
    </row>
    <row r="1688" spans="1:13">
      <c r="A1688" s="408" t="s">
        <v>4551</v>
      </c>
      <c r="B1688" s="106" t="s">
        <v>327</v>
      </c>
      <c r="C1688" s="106" t="s">
        <v>473</v>
      </c>
      <c r="D1688" s="107" t="s">
        <v>4552</v>
      </c>
      <c r="E1688" s="107" t="s">
        <v>4553</v>
      </c>
      <c r="F1688" s="107" t="s">
        <v>4554</v>
      </c>
      <c r="G1688" s="114"/>
      <c r="H1688" s="108" t="s">
        <v>402</v>
      </c>
      <c r="I1688" s="111" t="s">
        <v>402</v>
      </c>
      <c r="J1688" s="111" t="s">
        <v>402</v>
      </c>
      <c r="K1688" s="106" t="s">
        <v>403</v>
      </c>
      <c r="L1688" s="55" t="s">
        <v>404</v>
      </c>
      <c r="M1688" s="55" t="s">
        <v>7634</v>
      </c>
    </row>
    <row r="1689" spans="1:13">
      <c r="A1689" s="408" t="s">
        <v>4555</v>
      </c>
      <c r="B1689" s="106" t="s">
        <v>327</v>
      </c>
      <c r="C1689" s="106" t="s">
        <v>473</v>
      </c>
      <c r="D1689" s="107" t="s">
        <v>4556</v>
      </c>
      <c r="E1689" s="109" t="s">
        <v>355</v>
      </c>
      <c r="F1689" s="109" t="s">
        <v>355</v>
      </c>
      <c r="G1689" s="55" t="s">
        <v>355</v>
      </c>
      <c r="H1689" s="108" t="s">
        <v>402</v>
      </c>
      <c r="I1689" s="111" t="s">
        <v>402</v>
      </c>
      <c r="J1689" s="111" t="s">
        <v>402</v>
      </c>
      <c r="K1689" s="106" t="s">
        <v>403</v>
      </c>
      <c r="L1689" s="55" t="s">
        <v>404</v>
      </c>
      <c r="M1689" s="55" t="s">
        <v>7634</v>
      </c>
    </row>
    <row r="1690" spans="1:13">
      <c r="A1690" s="408" t="s">
        <v>4557</v>
      </c>
      <c r="B1690" s="106" t="s">
        <v>327</v>
      </c>
      <c r="C1690" s="106" t="s">
        <v>473</v>
      </c>
      <c r="D1690" s="107" t="s">
        <v>4558</v>
      </c>
      <c r="E1690" s="109" t="s">
        <v>355</v>
      </c>
      <c r="F1690" s="109" t="s">
        <v>355</v>
      </c>
      <c r="G1690" s="55" t="s">
        <v>355</v>
      </c>
      <c r="H1690" s="108" t="s">
        <v>402</v>
      </c>
      <c r="I1690" s="111" t="s">
        <v>402</v>
      </c>
      <c r="J1690" s="111" t="s">
        <v>402</v>
      </c>
      <c r="K1690" s="106" t="s">
        <v>403</v>
      </c>
      <c r="L1690" s="55" t="s">
        <v>404</v>
      </c>
      <c r="M1690" s="55" t="s">
        <v>7634</v>
      </c>
    </row>
    <row r="1691" spans="1:13">
      <c r="A1691" s="408" t="s">
        <v>4559</v>
      </c>
      <c r="B1691" s="106" t="s">
        <v>327</v>
      </c>
      <c r="C1691" s="106" t="s">
        <v>473</v>
      </c>
      <c r="D1691" s="107" t="s">
        <v>4560</v>
      </c>
      <c r="E1691" s="109" t="s">
        <v>355</v>
      </c>
      <c r="F1691" s="109" t="s">
        <v>355</v>
      </c>
      <c r="G1691" s="55" t="s">
        <v>355</v>
      </c>
      <c r="H1691" s="108" t="s">
        <v>402</v>
      </c>
      <c r="I1691" s="111" t="s">
        <v>402</v>
      </c>
      <c r="J1691" s="111" t="s">
        <v>402</v>
      </c>
      <c r="K1691" s="106" t="s">
        <v>403</v>
      </c>
      <c r="L1691" s="55" t="s">
        <v>404</v>
      </c>
      <c r="M1691" s="55" t="s">
        <v>7634</v>
      </c>
    </row>
    <row r="1692" spans="1:13">
      <c r="A1692" s="401" t="s">
        <v>4561</v>
      </c>
      <c r="B1692" s="106" t="s">
        <v>327</v>
      </c>
      <c r="C1692" s="106" t="s">
        <v>473</v>
      </c>
      <c r="D1692" s="109" t="s">
        <v>4562</v>
      </c>
      <c r="E1692" s="109" t="s">
        <v>4563</v>
      </c>
      <c r="F1692" s="109" t="s">
        <v>4564</v>
      </c>
      <c r="G1692" s="117" t="s">
        <v>383</v>
      </c>
      <c r="H1692" s="115" t="s">
        <v>402</v>
      </c>
      <c r="I1692" s="111" t="s">
        <v>402</v>
      </c>
      <c r="J1692" s="111" t="s">
        <v>402</v>
      </c>
      <c r="K1692" s="106" t="s">
        <v>403</v>
      </c>
      <c r="L1692" s="55" t="s">
        <v>404</v>
      </c>
      <c r="M1692" s="55" t="s">
        <v>1173</v>
      </c>
    </row>
    <row r="1693" spans="1:13">
      <c r="A1693" s="401" t="s">
        <v>4565</v>
      </c>
      <c r="B1693" s="106" t="s">
        <v>327</v>
      </c>
      <c r="C1693" s="106" t="s">
        <v>473</v>
      </c>
      <c r="D1693" s="109" t="s">
        <v>4566</v>
      </c>
      <c r="E1693" s="109" t="s">
        <v>1886</v>
      </c>
      <c r="F1693" s="109" t="s">
        <v>4567</v>
      </c>
      <c r="G1693" s="117" t="s">
        <v>383</v>
      </c>
      <c r="H1693" s="115" t="s">
        <v>402</v>
      </c>
      <c r="I1693" s="111" t="s">
        <v>402</v>
      </c>
      <c r="J1693" s="111" t="s">
        <v>402</v>
      </c>
      <c r="K1693" s="115" t="s">
        <v>403</v>
      </c>
      <c r="L1693" s="55" t="s">
        <v>404</v>
      </c>
      <c r="M1693" s="113" t="s">
        <v>1173</v>
      </c>
    </row>
    <row r="1694" spans="1:13">
      <c r="A1694" s="408" t="s">
        <v>4568</v>
      </c>
      <c r="B1694" s="106" t="s">
        <v>327</v>
      </c>
      <c r="C1694" s="106" t="s">
        <v>473</v>
      </c>
      <c r="D1694" s="107" t="s">
        <v>4569</v>
      </c>
      <c r="E1694" s="109" t="s">
        <v>355</v>
      </c>
      <c r="F1694" s="109" t="s">
        <v>355</v>
      </c>
      <c r="G1694" s="55" t="s">
        <v>355</v>
      </c>
      <c r="H1694" s="108" t="s">
        <v>402</v>
      </c>
      <c r="I1694" s="111" t="s">
        <v>402</v>
      </c>
      <c r="J1694" s="111" t="s">
        <v>402</v>
      </c>
      <c r="K1694" s="106" t="s">
        <v>403</v>
      </c>
      <c r="L1694" s="55" t="s">
        <v>404</v>
      </c>
      <c r="M1694" s="55" t="s">
        <v>7634</v>
      </c>
    </row>
    <row r="1695" spans="1:13">
      <c r="A1695" s="408" t="s">
        <v>4570</v>
      </c>
      <c r="B1695" s="106" t="s">
        <v>327</v>
      </c>
      <c r="C1695" s="106" t="s">
        <v>473</v>
      </c>
      <c r="D1695" s="107" t="s">
        <v>4571</v>
      </c>
      <c r="E1695" s="109" t="s">
        <v>355</v>
      </c>
      <c r="F1695" s="109" t="s">
        <v>355</v>
      </c>
      <c r="G1695" s="55" t="s">
        <v>355</v>
      </c>
      <c r="H1695" s="108" t="s">
        <v>402</v>
      </c>
      <c r="I1695" s="111" t="s">
        <v>402</v>
      </c>
      <c r="J1695" s="111" t="s">
        <v>402</v>
      </c>
      <c r="K1695" s="106" t="s">
        <v>403</v>
      </c>
      <c r="L1695" s="55" t="s">
        <v>404</v>
      </c>
      <c r="M1695" s="55" t="s">
        <v>7634</v>
      </c>
    </row>
    <row r="1696" spans="1:13">
      <c r="A1696" s="408" t="s">
        <v>4572</v>
      </c>
      <c r="B1696" s="106" t="s">
        <v>327</v>
      </c>
      <c r="C1696" s="106" t="s">
        <v>473</v>
      </c>
      <c r="D1696" s="107" t="s">
        <v>4573</v>
      </c>
      <c r="E1696" s="109" t="s">
        <v>355</v>
      </c>
      <c r="F1696" s="109" t="s">
        <v>355</v>
      </c>
      <c r="G1696" s="55" t="s">
        <v>355</v>
      </c>
      <c r="H1696" s="108" t="s">
        <v>402</v>
      </c>
      <c r="I1696" s="111" t="s">
        <v>402</v>
      </c>
      <c r="J1696" s="111" t="s">
        <v>402</v>
      </c>
      <c r="K1696" s="106" t="s">
        <v>403</v>
      </c>
      <c r="L1696" s="55" t="s">
        <v>404</v>
      </c>
      <c r="M1696" s="55" t="s">
        <v>7634</v>
      </c>
    </row>
    <row r="1697" spans="1:13">
      <c r="A1697" s="408" t="s">
        <v>4574</v>
      </c>
      <c r="B1697" s="106" t="s">
        <v>327</v>
      </c>
      <c r="C1697" s="106" t="s">
        <v>473</v>
      </c>
      <c r="D1697" s="107" t="s">
        <v>4575</v>
      </c>
      <c r="E1697" s="109" t="s">
        <v>355</v>
      </c>
      <c r="F1697" s="109" t="s">
        <v>355</v>
      </c>
      <c r="G1697" s="55" t="s">
        <v>355</v>
      </c>
      <c r="H1697" s="108" t="s">
        <v>402</v>
      </c>
      <c r="I1697" s="111" t="s">
        <v>402</v>
      </c>
      <c r="J1697" s="111" t="s">
        <v>402</v>
      </c>
      <c r="K1697" s="106" t="s">
        <v>403</v>
      </c>
      <c r="L1697" s="55" t="s">
        <v>404</v>
      </c>
      <c r="M1697" s="55" t="s">
        <v>7634</v>
      </c>
    </row>
    <row r="1698" spans="1:13">
      <c r="A1698" s="408" t="s">
        <v>4576</v>
      </c>
      <c r="B1698" s="106" t="s">
        <v>327</v>
      </c>
      <c r="C1698" s="106" t="s">
        <v>473</v>
      </c>
      <c r="D1698" s="107" t="s">
        <v>4577</v>
      </c>
      <c r="E1698" s="109" t="s">
        <v>355</v>
      </c>
      <c r="F1698" s="109" t="s">
        <v>355</v>
      </c>
      <c r="G1698" s="55" t="s">
        <v>355</v>
      </c>
      <c r="H1698" s="108" t="s">
        <v>402</v>
      </c>
      <c r="I1698" s="111" t="s">
        <v>402</v>
      </c>
      <c r="J1698" s="111" t="s">
        <v>402</v>
      </c>
      <c r="K1698" s="106" t="s">
        <v>403</v>
      </c>
      <c r="L1698" s="55" t="s">
        <v>404</v>
      </c>
      <c r="M1698" s="55" t="s">
        <v>7634</v>
      </c>
    </row>
    <row r="1699" spans="1:13">
      <c r="A1699" s="408" t="s">
        <v>4578</v>
      </c>
      <c r="B1699" s="106" t="s">
        <v>327</v>
      </c>
      <c r="C1699" s="106" t="s">
        <v>473</v>
      </c>
      <c r="D1699" s="107" t="s">
        <v>4579</v>
      </c>
      <c r="E1699" s="109" t="s">
        <v>355</v>
      </c>
      <c r="F1699" s="109" t="s">
        <v>355</v>
      </c>
      <c r="G1699" s="55" t="s">
        <v>355</v>
      </c>
      <c r="H1699" s="108" t="s">
        <v>402</v>
      </c>
      <c r="I1699" s="111" t="s">
        <v>402</v>
      </c>
      <c r="J1699" s="111" t="s">
        <v>402</v>
      </c>
      <c r="K1699" s="106" t="s">
        <v>403</v>
      </c>
      <c r="L1699" s="55" t="s">
        <v>404</v>
      </c>
      <c r="M1699" s="55" t="s">
        <v>7634</v>
      </c>
    </row>
    <row r="1700" spans="1:13">
      <c r="A1700" s="408" t="s">
        <v>4580</v>
      </c>
      <c r="B1700" s="106" t="s">
        <v>327</v>
      </c>
      <c r="C1700" s="106" t="s">
        <v>473</v>
      </c>
      <c r="D1700" s="107" t="s">
        <v>4581</v>
      </c>
      <c r="E1700" s="109" t="s">
        <v>355</v>
      </c>
      <c r="F1700" s="109" t="s">
        <v>355</v>
      </c>
      <c r="G1700" s="55" t="s">
        <v>355</v>
      </c>
      <c r="H1700" s="108" t="s">
        <v>402</v>
      </c>
      <c r="I1700" s="111" t="s">
        <v>402</v>
      </c>
      <c r="J1700" s="111" t="s">
        <v>402</v>
      </c>
      <c r="K1700" s="106" t="s">
        <v>403</v>
      </c>
      <c r="L1700" s="55" t="s">
        <v>404</v>
      </c>
      <c r="M1700" s="55" t="s">
        <v>7634</v>
      </c>
    </row>
    <row r="1701" spans="1:13">
      <c r="A1701" s="408" t="s">
        <v>4582</v>
      </c>
      <c r="B1701" s="106" t="s">
        <v>327</v>
      </c>
      <c r="C1701" s="106" t="s">
        <v>473</v>
      </c>
      <c r="D1701" s="107" t="s">
        <v>4581</v>
      </c>
      <c r="E1701" s="109" t="s">
        <v>355</v>
      </c>
      <c r="F1701" s="109" t="s">
        <v>355</v>
      </c>
      <c r="G1701" s="55" t="s">
        <v>355</v>
      </c>
      <c r="H1701" s="108" t="s">
        <v>402</v>
      </c>
      <c r="I1701" s="111" t="s">
        <v>402</v>
      </c>
      <c r="J1701" s="111" t="s">
        <v>402</v>
      </c>
      <c r="K1701" s="106" t="s">
        <v>403</v>
      </c>
      <c r="L1701" s="55" t="s">
        <v>404</v>
      </c>
      <c r="M1701" s="55" t="s">
        <v>7634</v>
      </c>
    </row>
    <row r="1702" spans="1:13">
      <c r="A1702" s="408" t="s">
        <v>4583</v>
      </c>
      <c r="B1702" s="106" t="s">
        <v>327</v>
      </c>
      <c r="C1702" s="106" t="s">
        <v>473</v>
      </c>
      <c r="D1702" s="107" t="s">
        <v>4584</v>
      </c>
      <c r="E1702" s="109" t="s">
        <v>355</v>
      </c>
      <c r="F1702" s="109" t="s">
        <v>355</v>
      </c>
      <c r="G1702" s="55" t="s">
        <v>355</v>
      </c>
      <c r="H1702" s="108" t="s">
        <v>402</v>
      </c>
      <c r="I1702" s="111" t="s">
        <v>402</v>
      </c>
      <c r="J1702" s="111" t="s">
        <v>402</v>
      </c>
      <c r="K1702" s="106" t="s">
        <v>403</v>
      </c>
      <c r="L1702" s="55" t="s">
        <v>404</v>
      </c>
      <c r="M1702" s="55" t="s">
        <v>7634</v>
      </c>
    </row>
    <row r="1703" spans="1:13">
      <c r="A1703" s="401" t="s">
        <v>4585</v>
      </c>
      <c r="B1703" s="106" t="s">
        <v>327</v>
      </c>
      <c r="C1703" s="106" t="s">
        <v>473</v>
      </c>
      <c r="D1703" s="109" t="s">
        <v>4586</v>
      </c>
      <c r="E1703" s="109" t="s">
        <v>1748</v>
      </c>
      <c r="F1703" s="109" t="s">
        <v>4587</v>
      </c>
      <c r="G1703" s="114" t="s">
        <v>383</v>
      </c>
      <c r="H1703" s="115" t="s">
        <v>402</v>
      </c>
      <c r="I1703" s="111" t="s">
        <v>402</v>
      </c>
      <c r="J1703" s="111" t="s">
        <v>402</v>
      </c>
      <c r="K1703" s="115" t="s">
        <v>403</v>
      </c>
      <c r="L1703" s="55" t="s">
        <v>404</v>
      </c>
      <c r="M1703" s="113" t="s">
        <v>1173</v>
      </c>
    </row>
    <row r="1704" spans="1:13">
      <c r="A1704" s="408" t="s">
        <v>4588</v>
      </c>
      <c r="B1704" s="106" t="s">
        <v>327</v>
      </c>
      <c r="C1704" s="106" t="s">
        <v>473</v>
      </c>
      <c r="D1704" s="107" t="s">
        <v>4589</v>
      </c>
      <c r="E1704" s="109" t="s">
        <v>355</v>
      </c>
      <c r="F1704" s="109" t="s">
        <v>355</v>
      </c>
      <c r="G1704" s="55" t="s">
        <v>355</v>
      </c>
      <c r="H1704" s="108" t="s">
        <v>402</v>
      </c>
      <c r="I1704" s="111" t="s">
        <v>402</v>
      </c>
      <c r="J1704" s="111" t="s">
        <v>402</v>
      </c>
      <c r="K1704" s="106" t="s">
        <v>403</v>
      </c>
      <c r="L1704" s="55" t="s">
        <v>404</v>
      </c>
      <c r="M1704" s="55" t="s">
        <v>7634</v>
      </c>
    </row>
    <row r="1705" spans="1:13">
      <c r="A1705" s="408" t="s">
        <v>4590</v>
      </c>
      <c r="B1705" s="106" t="s">
        <v>327</v>
      </c>
      <c r="C1705" s="106" t="s">
        <v>473</v>
      </c>
      <c r="D1705" s="107" t="s">
        <v>4591</v>
      </c>
      <c r="E1705" s="109" t="s">
        <v>355</v>
      </c>
      <c r="F1705" s="109" t="s">
        <v>355</v>
      </c>
      <c r="G1705" s="55" t="s">
        <v>355</v>
      </c>
      <c r="H1705" s="108" t="s">
        <v>402</v>
      </c>
      <c r="I1705" s="111" t="s">
        <v>402</v>
      </c>
      <c r="J1705" s="111" t="s">
        <v>402</v>
      </c>
      <c r="K1705" s="106" t="s">
        <v>403</v>
      </c>
      <c r="L1705" s="55" t="s">
        <v>404</v>
      </c>
      <c r="M1705" s="55" t="s">
        <v>7634</v>
      </c>
    </row>
    <row r="1706" spans="1:13">
      <c r="A1706" s="408" t="s">
        <v>4592</v>
      </c>
      <c r="B1706" s="106" t="s">
        <v>327</v>
      </c>
      <c r="C1706" s="106" t="s">
        <v>473</v>
      </c>
      <c r="D1706" s="107" t="s">
        <v>4593</v>
      </c>
      <c r="E1706" s="109" t="s">
        <v>355</v>
      </c>
      <c r="F1706" s="109" t="s">
        <v>355</v>
      </c>
      <c r="G1706" s="55" t="s">
        <v>355</v>
      </c>
      <c r="H1706" s="108" t="s">
        <v>402</v>
      </c>
      <c r="I1706" s="111" t="s">
        <v>402</v>
      </c>
      <c r="J1706" s="111" t="s">
        <v>402</v>
      </c>
      <c r="K1706" s="106" t="s">
        <v>403</v>
      </c>
      <c r="L1706" s="55" t="s">
        <v>404</v>
      </c>
      <c r="M1706" s="55" t="s">
        <v>7634</v>
      </c>
    </row>
    <row r="1707" spans="1:13">
      <c r="A1707" s="401" t="s">
        <v>4594</v>
      </c>
      <c r="B1707" s="106" t="s">
        <v>327</v>
      </c>
      <c r="C1707" s="106" t="s">
        <v>473</v>
      </c>
      <c r="D1707" s="109" t="s">
        <v>4595</v>
      </c>
      <c r="E1707" s="109" t="s">
        <v>4596</v>
      </c>
      <c r="F1707" s="109" t="s">
        <v>4597</v>
      </c>
      <c r="G1707" s="117" t="s">
        <v>383</v>
      </c>
      <c r="H1707" s="115" t="s">
        <v>402</v>
      </c>
      <c r="I1707" s="111" t="s">
        <v>402</v>
      </c>
      <c r="J1707" s="111" t="s">
        <v>402</v>
      </c>
      <c r="K1707" s="106" t="s">
        <v>403</v>
      </c>
      <c r="L1707" s="55" t="s">
        <v>404</v>
      </c>
      <c r="M1707" s="55" t="s">
        <v>1173</v>
      </c>
    </row>
    <row r="1708" spans="1:13">
      <c r="A1708" s="401" t="s">
        <v>4598</v>
      </c>
      <c r="B1708" s="106" t="s">
        <v>327</v>
      </c>
      <c r="C1708" s="106" t="s">
        <v>473</v>
      </c>
      <c r="D1708" s="107" t="s">
        <v>4599</v>
      </c>
      <c r="E1708" s="107" t="s">
        <v>4600</v>
      </c>
      <c r="F1708" s="107" t="s">
        <v>4601</v>
      </c>
      <c r="G1708" s="114" t="s">
        <v>355</v>
      </c>
      <c r="H1708" s="115" t="s">
        <v>402</v>
      </c>
      <c r="I1708" s="111" t="s">
        <v>402</v>
      </c>
      <c r="J1708" s="111" t="s">
        <v>402</v>
      </c>
      <c r="K1708" s="106" t="s">
        <v>403</v>
      </c>
      <c r="L1708" s="55" t="s">
        <v>404</v>
      </c>
      <c r="M1708" s="55" t="s">
        <v>355</v>
      </c>
    </row>
    <row r="1709" spans="1:13">
      <c r="A1709" s="408" t="s">
        <v>4602</v>
      </c>
      <c r="B1709" s="106" t="s">
        <v>327</v>
      </c>
      <c r="C1709" s="106" t="s">
        <v>473</v>
      </c>
      <c r="D1709" s="107" t="s">
        <v>4603</v>
      </c>
      <c r="E1709" s="109" t="s">
        <v>355</v>
      </c>
      <c r="F1709" s="109" t="s">
        <v>355</v>
      </c>
      <c r="G1709" s="55" t="s">
        <v>355</v>
      </c>
      <c r="H1709" s="108" t="s">
        <v>402</v>
      </c>
      <c r="I1709" s="111" t="s">
        <v>402</v>
      </c>
      <c r="J1709" s="111" t="s">
        <v>402</v>
      </c>
      <c r="K1709" s="106" t="s">
        <v>403</v>
      </c>
      <c r="L1709" s="55" t="s">
        <v>404</v>
      </c>
      <c r="M1709" s="55" t="s">
        <v>7634</v>
      </c>
    </row>
    <row r="1710" spans="1:13">
      <c r="A1710" s="408" t="s">
        <v>4604</v>
      </c>
      <c r="B1710" s="106" t="s">
        <v>327</v>
      </c>
      <c r="C1710" s="106" t="s">
        <v>473</v>
      </c>
      <c r="D1710" s="107" t="s">
        <v>4605</v>
      </c>
      <c r="E1710" s="109" t="s">
        <v>355</v>
      </c>
      <c r="F1710" s="109" t="s">
        <v>355</v>
      </c>
      <c r="G1710" s="55" t="s">
        <v>355</v>
      </c>
      <c r="H1710" s="108" t="s">
        <v>402</v>
      </c>
      <c r="I1710" s="111" t="s">
        <v>402</v>
      </c>
      <c r="J1710" s="111" t="s">
        <v>402</v>
      </c>
      <c r="K1710" s="106" t="s">
        <v>403</v>
      </c>
      <c r="L1710" s="55" t="s">
        <v>404</v>
      </c>
      <c r="M1710" s="55" t="s">
        <v>7634</v>
      </c>
    </row>
    <row r="1711" spans="1:13">
      <c r="A1711" s="401" t="s">
        <v>4606</v>
      </c>
      <c r="B1711" s="106" t="s">
        <v>327</v>
      </c>
      <c r="C1711" s="106" t="s">
        <v>473</v>
      </c>
      <c r="D1711" s="109" t="s">
        <v>4607</v>
      </c>
      <c r="E1711" s="109" t="s">
        <v>1886</v>
      </c>
      <c r="F1711" s="109" t="s">
        <v>4608</v>
      </c>
      <c r="G1711" s="117" t="s">
        <v>383</v>
      </c>
      <c r="H1711" s="115" t="s">
        <v>402</v>
      </c>
      <c r="I1711" s="111" t="s">
        <v>402</v>
      </c>
      <c r="J1711" s="111" t="s">
        <v>402</v>
      </c>
      <c r="K1711" s="115" t="s">
        <v>403</v>
      </c>
      <c r="L1711" s="55" t="s">
        <v>404</v>
      </c>
      <c r="M1711" s="113" t="s">
        <v>1173</v>
      </c>
    </row>
    <row r="1712" spans="1:13">
      <c r="A1712" s="408" t="s">
        <v>4609</v>
      </c>
      <c r="B1712" s="106" t="s">
        <v>327</v>
      </c>
      <c r="C1712" s="106" t="s">
        <v>473</v>
      </c>
      <c r="D1712" s="107" t="s">
        <v>4610</v>
      </c>
      <c r="E1712" s="109" t="s">
        <v>355</v>
      </c>
      <c r="F1712" s="109" t="s">
        <v>355</v>
      </c>
      <c r="G1712" s="55" t="s">
        <v>355</v>
      </c>
      <c r="H1712" s="108" t="s">
        <v>402</v>
      </c>
      <c r="I1712" s="111" t="s">
        <v>402</v>
      </c>
      <c r="J1712" s="111" t="s">
        <v>402</v>
      </c>
      <c r="K1712" s="106" t="s">
        <v>403</v>
      </c>
      <c r="L1712" s="55" t="s">
        <v>404</v>
      </c>
      <c r="M1712" s="55" t="s">
        <v>7634</v>
      </c>
    </row>
    <row r="1713" spans="1:13">
      <c r="A1713" s="408" t="s">
        <v>4611</v>
      </c>
      <c r="B1713" s="106" t="s">
        <v>327</v>
      </c>
      <c r="C1713" s="106" t="s">
        <v>473</v>
      </c>
      <c r="D1713" s="107" t="s">
        <v>4612</v>
      </c>
      <c r="E1713" s="109" t="s">
        <v>355</v>
      </c>
      <c r="F1713" s="109" t="s">
        <v>355</v>
      </c>
      <c r="G1713" s="55" t="s">
        <v>355</v>
      </c>
      <c r="H1713" s="108" t="s">
        <v>402</v>
      </c>
      <c r="I1713" s="111" t="s">
        <v>402</v>
      </c>
      <c r="J1713" s="111" t="s">
        <v>402</v>
      </c>
      <c r="K1713" s="106" t="s">
        <v>403</v>
      </c>
      <c r="L1713" s="55" t="s">
        <v>404</v>
      </c>
      <c r="M1713" s="55" t="s">
        <v>7634</v>
      </c>
    </row>
    <row r="1714" spans="1:13">
      <c r="A1714" s="408" t="s">
        <v>4613</v>
      </c>
      <c r="B1714" s="106" t="s">
        <v>327</v>
      </c>
      <c r="C1714" s="106" t="s">
        <v>473</v>
      </c>
      <c r="D1714" s="107" t="s">
        <v>4614</v>
      </c>
      <c r="E1714" s="109" t="s">
        <v>355</v>
      </c>
      <c r="F1714" s="109" t="s">
        <v>355</v>
      </c>
      <c r="G1714" s="55" t="s">
        <v>355</v>
      </c>
      <c r="H1714" s="108" t="s">
        <v>402</v>
      </c>
      <c r="I1714" s="111" t="s">
        <v>402</v>
      </c>
      <c r="J1714" s="111" t="s">
        <v>402</v>
      </c>
      <c r="K1714" s="106" t="s">
        <v>403</v>
      </c>
      <c r="L1714" s="55" t="s">
        <v>404</v>
      </c>
      <c r="M1714" s="55" t="s">
        <v>7634</v>
      </c>
    </row>
    <row r="1715" spans="1:13">
      <c r="A1715" s="408" t="s">
        <v>4615</v>
      </c>
      <c r="B1715" s="106" t="s">
        <v>327</v>
      </c>
      <c r="C1715" s="106" t="s">
        <v>473</v>
      </c>
      <c r="D1715" s="107" t="s">
        <v>4616</v>
      </c>
      <c r="E1715" s="109" t="s">
        <v>355</v>
      </c>
      <c r="F1715" s="109" t="s">
        <v>355</v>
      </c>
      <c r="G1715" s="55" t="s">
        <v>355</v>
      </c>
      <c r="H1715" s="108" t="s">
        <v>402</v>
      </c>
      <c r="I1715" s="111" t="s">
        <v>402</v>
      </c>
      <c r="J1715" s="111" t="s">
        <v>402</v>
      </c>
      <c r="K1715" s="106" t="s">
        <v>403</v>
      </c>
      <c r="L1715" s="55" t="s">
        <v>404</v>
      </c>
      <c r="M1715" s="55" t="s">
        <v>7634</v>
      </c>
    </row>
    <row r="1716" spans="1:13">
      <c r="A1716" s="408" t="s">
        <v>4617</v>
      </c>
      <c r="B1716" s="106" t="s">
        <v>327</v>
      </c>
      <c r="C1716" s="106" t="s">
        <v>473</v>
      </c>
      <c r="D1716" s="107" t="s">
        <v>4618</v>
      </c>
      <c r="E1716" s="109" t="s">
        <v>355</v>
      </c>
      <c r="F1716" s="109" t="s">
        <v>355</v>
      </c>
      <c r="G1716" s="55" t="s">
        <v>355</v>
      </c>
      <c r="H1716" s="108" t="s">
        <v>402</v>
      </c>
      <c r="I1716" s="111" t="s">
        <v>402</v>
      </c>
      <c r="J1716" s="111" t="s">
        <v>402</v>
      </c>
      <c r="K1716" s="106" t="s">
        <v>403</v>
      </c>
      <c r="L1716" s="55" t="s">
        <v>404</v>
      </c>
      <c r="M1716" s="55" t="s">
        <v>7634</v>
      </c>
    </row>
    <row r="1717" spans="1:13">
      <c r="A1717" s="408" t="s">
        <v>4619</v>
      </c>
      <c r="B1717" s="106" t="s">
        <v>327</v>
      </c>
      <c r="C1717" s="106" t="s">
        <v>473</v>
      </c>
      <c r="D1717" s="107" t="s">
        <v>4620</v>
      </c>
      <c r="E1717" s="109" t="s">
        <v>355</v>
      </c>
      <c r="F1717" s="109" t="s">
        <v>355</v>
      </c>
      <c r="G1717" s="55" t="s">
        <v>355</v>
      </c>
      <c r="H1717" s="108" t="s">
        <v>402</v>
      </c>
      <c r="I1717" s="111" t="s">
        <v>402</v>
      </c>
      <c r="J1717" s="111" t="s">
        <v>402</v>
      </c>
      <c r="K1717" s="106" t="s">
        <v>403</v>
      </c>
      <c r="L1717" s="55" t="s">
        <v>404</v>
      </c>
      <c r="M1717" s="55" t="s">
        <v>7634</v>
      </c>
    </row>
    <row r="1718" spans="1:13">
      <c r="A1718" s="408" t="s">
        <v>4621</v>
      </c>
      <c r="B1718" s="106" t="s">
        <v>327</v>
      </c>
      <c r="C1718" s="106" t="s">
        <v>473</v>
      </c>
      <c r="D1718" s="107" t="s">
        <v>4622</v>
      </c>
      <c r="E1718" s="109" t="s">
        <v>4623</v>
      </c>
      <c r="F1718" s="109" t="s">
        <v>4624</v>
      </c>
      <c r="G1718" s="592" t="s">
        <v>4625</v>
      </c>
      <c r="H1718" s="108" t="s">
        <v>402</v>
      </c>
      <c r="I1718" s="111" t="s">
        <v>402</v>
      </c>
      <c r="J1718" s="111" t="s">
        <v>402</v>
      </c>
      <c r="K1718" s="106" t="s">
        <v>403</v>
      </c>
      <c r="L1718" s="55" t="s">
        <v>404</v>
      </c>
      <c r="M1718" s="55" t="s">
        <v>7634</v>
      </c>
    </row>
    <row r="1719" spans="1:13">
      <c r="A1719" s="408" t="s">
        <v>4626</v>
      </c>
      <c r="B1719" s="106" t="s">
        <v>327</v>
      </c>
      <c r="C1719" s="106" t="s">
        <v>473</v>
      </c>
      <c r="D1719" s="107" t="s">
        <v>4627</v>
      </c>
      <c r="E1719" s="109" t="s">
        <v>355</v>
      </c>
      <c r="F1719" s="109" t="s">
        <v>355</v>
      </c>
      <c r="G1719" s="55" t="s">
        <v>355</v>
      </c>
      <c r="H1719" s="108" t="s">
        <v>402</v>
      </c>
      <c r="I1719" s="111" t="s">
        <v>402</v>
      </c>
      <c r="J1719" s="111" t="s">
        <v>402</v>
      </c>
      <c r="K1719" s="106" t="s">
        <v>403</v>
      </c>
      <c r="L1719" s="55" t="s">
        <v>404</v>
      </c>
      <c r="M1719" s="55" t="s">
        <v>7634</v>
      </c>
    </row>
    <row r="1720" spans="1:13">
      <c r="A1720" s="408" t="s">
        <v>4628</v>
      </c>
      <c r="B1720" s="106" t="s">
        <v>327</v>
      </c>
      <c r="C1720" s="106" t="s">
        <v>473</v>
      </c>
      <c r="D1720" s="107" t="s">
        <v>4629</v>
      </c>
      <c r="E1720" s="109" t="s">
        <v>355</v>
      </c>
      <c r="F1720" s="109" t="s">
        <v>355</v>
      </c>
      <c r="G1720" s="55" t="s">
        <v>355</v>
      </c>
      <c r="H1720" s="108" t="s">
        <v>402</v>
      </c>
      <c r="I1720" s="111" t="s">
        <v>402</v>
      </c>
      <c r="J1720" s="111" t="s">
        <v>402</v>
      </c>
      <c r="K1720" s="106" t="s">
        <v>403</v>
      </c>
      <c r="L1720" s="55" t="s">
        <v>404</v>
      </c>
      <c r="M1720" s="55" t="s">
        <v>7634</v>
      </c>
    </row>
    <row r="1721" spans="1:13">
      <c r="A1721" s="408" t="s">
        <v>4630</v>
      </c>
      <c r="B1721" s="106" t="s">
        <v>327</v>
      </c>
      <c r="C1721" s="106" t="s">
        <v>473</v>
      </c>
      <c r="D1721" s="107" t="s">
        <v>4631</v>
      </c>
      <c r="E1721" s="109" t="s">
        <v>355</v>
      </c>
      <c r="F1721" s="109" t="s">
        <v>355</v>
      </c>
      <c r="G1721" s="55" t="s">
        <v>355</v>
      </c>
      <c r="H1721" s="108" t="s">
        <v>402</v>
      </c>
      <c r="I1721" s="111" t="s">
        <v>402</v>
      </c>
      <c r="J1721" s="111" t="s">
        <v>402</v>
      </c>
      <c r="K1721" s="106" t="s">
        <v>403</v>
      </c>
      <c r="L1721" s="55" t="s">
        <v>404</v>
      </c>
      <c r="M1721" s="55" t="s">
        <v>7634</v>
      </c>
    </row>
    <row r="1722" spans="1:13">
      <c r="A1722" s="408" t="s">
        <v>4632</v>
      </c>
      <c r="B1722" s="106" t="s">
        <v>327</v>
      </c>
      <c r="C1722" s="106" t="s">
        <v>473</v>
      </c>
      <c r="D1722" s="107" t="s">
        <v>4633</v>
      </c>
      <c r="E1722" s="109" t="s">
        <v>355</v>
      </c>
      <c r="F1722" s="109" t="s">
        <v>355</v>
      </c>
      <c r="G1722" s="55" t="s">
        <v>355</v>
      </c>
      <c r="H1722" s="108" t="s">
        <v>402</v>
      </c>
      <c r="I1722" s="111" t="s">
        <v>402</v>
      </c>
      <c r="J1722" s="111" t="s">
        <v>402</v>
      </c>
      <c r="K1722" s="106" t="s">
        <v>403</v>
      </c>
      <c r="L1722" s="55" t="s">
        <v>404</v>
      </c>
      <c r="M1722" s="55" t="s">
        <v>7634</v>
      </c>
    </row>
    <row r="1723" spans="1:13">
      <c r="A1723" s="408" t="s">
        <v>4634</v>
      </c>
      <c r="B1723" s="106" t="s">
        <v>327</v>
      </c>
      <c r="C1723" s="106" t="s">
        <v>473</v>
      </c>
      <c r="D1723" s="107" t="s">
        <v>4635</v>
      </c>
      <c r="E1723" s="107" t="s">
        <v>4636</v>
      </c>
      <c r="F1723" s="107" t="s">
        <v>4637</v>
      </c>
      <c r="G1723" s="114" t="s">
        <v>355</v>
      </c>
      <c r="H1723" s="108" t="s">
        <v>402</v>
      </c>
      <c r="I1723" s="111" t="s">
        <v>402</v>
      </c>
      <c r="J1723" s="111" t="s">
        <v>402</v>
      </c>
      <c r="K1723" s="106" t="s">
        <v>403</v>
      </c>
      <c r="L1723" s="55" t="s">
        <v>404</v>
      </c>
      <c r="M1723" s="55" t="s">
        <v>7634</v>
      </c>
    </row>
    <row r="1724" spans="1:13">
      <c r="A1724" s="578" t="s">
        <v>4638</v>
      </c>
      <c r="B1724" s="586" t="s">
        <v>473</v>
      </c>
      <c r="C1724" s="586" t="s">
        <v>473</v>
      </c>
      <c r="D1724" s="586" t="s">
        <v>4639</v>
      </c>
      <c r="E1724" s="586" t="s">
        <v>4640</v>
      </c>
      <c r="F1724" s="586" t="s">
        <v>4641</v>
      </c>
      <c r="G1724" s="586"/>
      <c r="H1724" s="586" t="s">
        <v>359</v>
      </c>
      <c r="I1724" s="587" t="s">
        <v>359</v>
      </c>
      <c r="J1724" s="586"/>
      <c r="K1724" s="586" t="s">
        <v>360</v>
      </c>
      <c r="L1724" s="586" t="s">
        <v>361</v>
      </c>
      <c r="M1724" s="55" t="s">
        <v>7634</v>
      </c>
    </row>
    <row r="1725" spans="1:13">
      <c r="A1725" s="408" t="s">
        <v>4642</v>
      </c>
      <c r="B1725" s="106" t="s">
        <v>327</v>
      </c>
      <c r="C1725" s="106" t="s">
        <v>473</v>
      </c>
      <c r="D1725" s="107" t="s">
        <v>4643</v>
      </c>
      <c r="E1725" s="109" t="s">
        <v>355</v>
      </c>
      <c r="F1725" s="109" t="s">
        <v>355</v>
      </c>
      <c r="G1725" s="55" t="s">
        <v>355</v>
      </c>
      <c r="H1725" s="108" t="s">
        <v>402</v>
      </c>
      <c r="I1725" s="111" t="s">
        <v>402</v>
      </c>
      <c r="J1725" s="111" t="s">
        <v>402</v>
      </c>
      <c r="K1725" s="106" t="s">
        <v>403</v>
      </c>
      <c r="L1725" s="55" t="s">
        <v>404</v>
      </c>
      <c r="M1725" s="55" t="s">
        <v>7634</v>
      </c>
    </row>
    <row r="1726" spans="1:13">
      <c r="A1726" s="401" t="s">
        <v>4644</v>
      </c>
      <c r="B1726" s="106" t="s">
        <v>327</v>
      </c>
      <c r="C1726" s="106" t="s">
        <v>473</v>
      </c>
      <c r="D1726" s="109" t="s">
        <v>4645</v>
      </c>
      <c r="E1726" s="109" t="s">
        <v>4646</v>
      </c>
      <c r="F1726" s="109" t="s">
        <v>4647</v>
      </c>
      <c r="G1726" s="117" t="s">
        <v>383</v>
      </c>
      <c r="H1726" s="115" t="s">
        <v>402</v>
      </c>
      <c r="I1726" s="111" t="s">
        <v>402</v>
      </c>
      <c r="J1726" s="111" t="s">
        <v>402</v>
      </c>
      <c r="K1726" s="115" t="s">
        <v>403</v>
      </c>
      <c r="L1726" s="55" t="s">
        <v>404</v>
      </c>
      <c r="M1726" s="55" t="s">
        <v>1173</v>
      </c>
    </row>
    <row r="1727" spans="1:13">
      <c r="A1727" s="408" t="s">
        <v>4648</v>
      </c>
      <c r="B1727" s="106" t="s">
        <v>327</v>
      </c>
      <c r="C1727" s="106" t="s">
        <v>473</v>
      </c>
      <c r="D1727" s="107" t="s">
        <v>4649</v>
      </c>
      <c r="E1727" s="109" t="s">
        <v>355</v>
      </c>
      <c r="F1727" s="109" t="s">
        <v>355</v>
      </c>
      <c r="G1727" s="55" t="s">
        <v>355</v>
      </c>
      <c r="H1727" s="108" t="s">
        <v>402</v>
      </c>
      <c r="I1727" s="111" t="s">
        <v>402</v>
      </c>
      <c r="J1727" s="111" t="s">
        <v>402</v>
      </c>
      <c r="K1727" s="106" t="s">
        <v>403</v>
      </c>
      <c r="L1727" s="55" t="s">
        <v>404</v>
      </c>
      <c r="M1727" s="55" t="s">
        <v>7634</v>
      </c>
    </row>
    <row r="1728" spans="1:13">
      <c r="A1728" s="401" t="s">
        <v>4650</v>
      </c>
      <c r="B1728" s="106" t="s">
        <v>327</v>
      </c>
      <c r="C1728" s="106" t="s">
        <v>473</v>
      </c>
      <c r="D1728" s="109" t="s">
        <v>4651</v>
      </c>
      <c r="E1728" s="109" t="s">
        <v>1886</v>
      </c>
      <c r="F1728" s="109" t="s">
        <v>4652</v>
      </c>
      <c r="G1728" s="117" t="s">
        <v>383</v>
      </c>
      <c r="H1728" s="115" t="s">
        <v>402</v>
      </c>
      <c r="I1728" s="111" t="s">
        <v>402</v>
      </c>
      <c r="J1728" s="111" t="s">
        <v>402</v>
      </c>
      <c r="K1728" s="115" t="s">
        <v>403</v>
      </c>
      <c r="L1728" s="55" t="s">
        <v>404</v>
      </c>
      <c r="M1728" s="113" t="s">
        <v>1173</v>
      </c>
    </row>
    <row r="1729" spans="1:13">
      <c r="A1729" s="408" t="s">
        <v>4653</v>
      </c>
      <c r="B1729" s="106" t="s">
        <v>327</v>
      </c>
      <c r="C1729" s="106" t="s">
        <v>473</v>
      </c>
      <c r="D1729" s="107" t="s">
        <v>4654</v>
      </c>
      <c r="E1729" s="109" t="s">
        <v>355</v>
      </c>
      <c r="F1729" s="109" t="s">
        <v>355</v>
      </c>
      <c r="G1729" s="55" t="s">
        <v>355</v>
      </c>
      <c r="H1729" s="108" t="s">
        <v>402</v>
      </c>
      <c r="I1729" s="111" t="s">
        <v>402</v>
      </c>
      <c r="J1729" s="111" t="s">
        <v>402</v>
      </c>
      <c r="K1729" s="106" t="s">
        <v>403</v>
      </c>
      <c r="L1729" s="55" t="s">
        <v>404</v>
      </c>
      <c r="M1729" s="55" t="s">
        <v>7634</v>
      </c>
    </row>
    <row r="1730" spans="1:13">
      <c r="A1730" s="408" t="s">
        <v>4655</v>
      </c>
      <c r="B1730" s="106" t="s">
        <v>327</v>
      </c>
      <c r="C1730" s="106" t="s">
        <v>473</v>
      </c>
      <c r="D1730" s="107" t="s">
        <v>4656</v>
      </c>
      <c r="E1730" s="109" t="s">
        <v>355</v>
      </c>
      <c r="F1730" s="109" t="s">
        <v>355</v>
      </c>
      <c r="G1730" s="55" t="s">
        <v>355</v>
      </c>
      <c r="H1730" s="108" t="s">
        <v>402</v>
      </c>
      <c r="I1730" s="111" t="s">
        <v>402</v>
      </c>
      <c r="J1730" s="111" t="s">
        <v>402</v>
      </c>
      <c r="K1730" s="106" t="s">
        <v>403</v>
      </c>
      <c r="L1730" s="55" t="s">
        <v>404</v>
      </c>
      <c r="M1730" s="55" t="s">
        <v>7634</v>
      </c>
    </row>
    <row r="1731" spans="1:13">
      <c r="A1731" s="408" t="s">
        <v>4657</v>
      </c>
      <c r="B1731" s="106" t="s">
        <v>327</v>
      </c>
      <c r="C1731" s="106" t="s">
        <v>473</v>
      </c>
      <c r="D1731" s="107" t="s">
        <v>4658</v>
      </c>
      <c r="E1731" s="109" t="s">
        <v>355</v>
      </c>
      <c r="F1731" s="109" t="s">
        <v>355</v>
      </c>
      <c r="G1731" s="55" t="s">
        <v>355</v>
      </c>
      <c r="H1731" s="108" t="s">
        <v>402</v>
      </c>
      <c r="I1731" s="111" t="s">
        <v>402</v>
      </c>
      <c r="J1731" s="111" t="s">
        <v>402</v>
      </c>
      <c r="K1731" s="106" t="s">
        <v>403</v>
      </c>
      <c r="L1731" s="55" t="s">
        <v>404</v>
      </c>
      <c r="M1731" s="55" t="s">
        <v>7634</v>
      </c>
    </row>
    <row r="1732" spans="1:13">
      <c r="A1732" s="408" t="s">
        <v>4659</v>
      </c>
      <c r="B1732" s="106" t="s">
        <v>327</v>
      </c>
      <c r="C1732" s="106" t="s">
        <v>473</v>
      </c>
      <c r="D1732" s="107" t="s">
        <v>4660</v>
      </c>
      <c r="E1732" s="109" t="s">
        <v>355</v>
      </c>
      <c r="F1732" s="109" t="s">
        <v>355</v>
      </c>
      <c r="G1732" s="55" t="s">
        <v>355</v>
      </c>
      <c r="H1732" s="108" t="s">
        <v>402</v>
      </c>
      <c r="I1732" s="111" t="s">
        <v>402</v>
      </c>
      <c r="J1732" s="111" t="s">
        <v>402</v>
      </c>
      <c r="K1732" s="106" t="s">
        <v>403</v>
      </c>
      <c r="L1732" s="55" t="s">
        <v>404</v>
      </c>
      <c r="M1732" s="55" t="s">
        <v>7634</v>
      </c>
    </row>
    <row r="1733" spans="1:13">
      <c r="A1733" s="408" t="s">
        <v>4661</v>
      </c>
      <c r="B1733" s="106" t="s">
        <v>327</v>
      </c>
      <c r="C1733" s="106" t="s">
        <v>473</v>
      </c>
      <c r="D1733" s="107" t="s">
        <v>4662</v>
      </c>
      <c r="E1733" s="109" t="s">
        <v>355</v>
      </c>
      <c r="F1733" s="109" t="s">
        <v>355</v>
      </c>
      <c r="G1733" s="55" t="s">
        <v>355</v>
      </c>
      <c r="H1733" s="108" t="s">
        <v>402</v>
      </c>
      <c r="I1733" s="111" t="s">
        <v>402</v>
      </c>
      <c r="J1733" s="111" t="s">
        <v>402</v>
      </c>
      <c r="K1733" s="106" t="s">
        <v>403</v>
      </c>
      <c r="L1733" s="55" t="s">
        <v>404</v>
      </c>
      <c r="M1733" s="55" t="s">
        <v>7634</v>
      </c>
    </row>
    <row r="1734" spans="1:13">
      <c r="A1734" s="408" t="s">
        <v>4663</v>
      </c>
      <c r="B1734" s="106" t="s">
        <v>327</v>
      </c>
      <c r="C1734" s="106" t="s">
        <v>473</v>
      </c>
      <c r="D1734" s="107" t="s">
        <v>4664</v>
      </c>
      <c r="E1734" s="109" t="s">
        <v>355</v>
      </c>
      <c r="F1734" s="109" t="s">
        <v>355</v>
      </c>
      <c r="G1734" s="55" t="s">
        <v>355</v>
      </c>
      <c r="H1734" s="108" t="s">
        <v>402</v>
      </c>
      <c r="I1734" s="111" t="s">
        <v>402</v>
      </c>
      <c r="J1734" s="111" t="s">
        <v>402</v>
      </c>
      <c r="K1734" s="106" t="s">
        <v>403</v>
      </c>
      <c r="L1734" s="55" t="s">
        <v>404</v>
      </c>
      <c r="M1734" s="55" t="s">
        <v>7634</v>
      </c>
    </row>
    <row r="1735" spans="1:13">
      <c r="A1735" s="408" t="s">
        <v>4665</v>
      </c>
      <c r="B1735" s="106" t="s">
        <v>327</v>
      </c>
      <c r="C1735" s="106" t="s">
        <v>473</v>
      </c>
      <c r="D1735" s="107" t="s">
        <v>4666</v>
      </c>
      <c r="E1735" s="109" t="s">
        <v>355</v>
      </c>
      <c r="F1735" s="109" t="s">
        <v>355</v>
      </c>
      <c r="G1735" s="55" t="s">
        <v>355</v>
      </c>
      <c r="H1735" s="108" t="s">
        <v>402</v>
      </c>
      <c r="I1735" s="111" t="s">
        <v>402</v>
      </c>
      <c r="J1735" s="111" t="s">
        <v>402</v>
      </c>
      <c r="K1735" s="106" t="s">
        <v>403</v>
      </c>
      <c r="L1735" s="55" t="s">
        <v>404</v>
      </c>
      <c r="M1735" s="55" t="s">
        <v>7634</v>
      </c>
    </row>
    <row r="1736" spans="1:13">
      <c r="A1736" s="408" t="s">
        <v>4667</v>
      </c>
      <c r="B1736" s="106" t="s">
        <v>327</v>
      </c>
      <c r="C1736" s="106" t="s">
        <v>473</v>
      </c>
      <c r="D1736" s="107" t="s">
        <v>4668</v>
      </c>
      <c r="E1736" s="109" t="s">
        <v>355</v>
      </c>
      <c r="F1736" s="109" t="s">
        <v>355</v>
      </c>
      <c r="G1736" s="55" t="s">
        <v>355</v>
      </c>
      <c r="H1736" s="108" t="s">
        <v>402</v>
      </c>
      <c r="I1736" s="111" t="s">
        <v>402</v>
      </c>
      <c r="J1736" s="111" t="s">
        <v>402</v>
      </c>
      <c r="K1736" s="106" t="s">
        <v>403</v>
      </c>
      <c r="L1736" s="55" t="s">
        <v>404</v>
      </c>
      <c r="M1736" s="55" t="s">
        <v>7634</v>
      </c>
    </row>
    <row r="1737" spans="1:13">
      <c r="A1737" s="408" t="s">
        <v>4669</v>
      </c>
      <c r="B1737" s="106" t="s">
        <v>327</v>
      </c>
      <c r="C1737" s="106" t="s">
        <v>473</v>
      </c>
      <c r="D1737" s="107" t="s">
        <v>4670</v>
      </c>
      <c r="E1737" s="109" t="s">
        <v>355</v>
      </c>
      <c r="F1737" s="109" t="s">
        <v>355</v>
      </c>
      <c r="G1737" s="55" t="s">
        <v>355</v>
      </c>
      <c r="H1737" s="108" t="s">
        <v>402</v>
      </c>
      <c r="I1737" s="111" t="s">
        <v>402</v>
      </c>
      <c r="J1737" s="111" t="s">
        <v>402</v>
      </c>
      <c r="K1737" s="106" t="s">
        <v>403</v>
      </c>
      <c r="L1737" s="55" t="s">
        <v>404</v>
      </c>
      <c r="M1737" s="55" t="s">
        <v>7634</v>
      </c>
    </row>
    <row r="1738" spans="1:13">
      <c r="A1738" s="401" t="s">
        <v>4671</v>
      </c>
      <c r="B1738" s="106" t="s">
        <v>327</v>
      </c>
      <c r="C1738" s="106" t="s">
        <v>473</v>
      </c>
      <c r="D1738" s="109" t="s">
        <v>4672</v>
      </c>
      <c r="E1738" s="109" t="s">
        <v>2303</v>
      </c>
      <c r="F1738" s="109" t="s">
        <v>4673</v>
      </c>
      <c r="G1738" s="117" t="s">
        <v>383</v>
      </c>
      <c r="H1738" s="115" t="s">
        <v>402</v>
      </c>
      <c r="I1738" s="111" t="s">
        <v>402</v>
      </c>
      <c r="J1738" s="111" t="s">
        <v>402</v>
      </c>
      <c r="K1738" s="115" t="s">
        <v>403</v>
      </c>
      <c r="L1738" s="55" t="s">
        <v>404</v>
      </c>
      <c r="M1738" s="113" t="s">
        <v>1173</v>
      </c>
    </row>
    <row r="1739" spans="1:13">
      <c r="A1739" s="408" t="s">
        <v>4674</v>
      </c>
      <c r="B1739" s="106" t="s">
        <v>327</v>
      </c>
      <c r="C1739" s="106" t="s">
        <v>473</v>
      </c>
      <c r="D1739" s="107" t="s">
        <v>4675</v>
      </c>
      <c r="E1739" s="109" t="s">
        <v>355</v>
      </c>
      <c r="F1739" s="109" t="s">
        <v>355</v>
      </c>
      <c r="G1739" s="55" t="s">
        <v>355</v>
      </c>
      <c r="H1739" s="108" t="s">
        <v>402</v>
      </c>
      <c r="I1739" s="111" t="s">
        <v>402</v>
      </c>
      <c r="J1739" s="111" t="s">
        <v>402</v>
      </c>
      <c r="K1739" s="106" t="s">
        <v>403</v>
      </c>
      <c r="L1739" s="55" t="s">
        <v>404</v>
      </c>
      <c r="M1739" s="55" t="s">
        <v>7634</v>
      </c>
    </row>
    <row r="1740" spans="1:13">
      <c r="A1740" s="401" t="s">
        <v>4676</v>
      </c>
      <c r="B1740" s="106" t="s">
        <v>327</v>
      </c>
      <c r="C1740" s="106" t="s">
        <v>473</v>
      </c>
      <c r="D1740" s="109" t="s">
        <v>4677</v>
      </c>
      <c r="E1740" s="109" t="s">
        <v>4678</v>
      </c>
      <c r="F1740" s="109" t="s">
        <v>4679</v>
      </c>
      <c r="G1740" s="114" t="s">
        <v>383</v>
      </c>
      <c r="H1740" s="115" t="s">
        <v>402</v>
      </c>
      <c r="I1740" s="111" t="s">
        <v>402</v>
      </c>
      <c r="J1740" s="111" t="s">
        <v>402</v>
      </c>
      <c r="K1740" s="106" t="s">
        <v>403</v>
      </c>
      <c r="L1740" s="55" t="s">
        <v>1200</v>
      </c>
      <c r="M1740" s="113" t="s">
        <v>1173</v>
      </c>
    </row>
    <row r="1741" spans="1:13">
      <c r="A1741" s="408" t="s">
        <v>4680</v>
      </c>
      <c r="B1741" s="106" t="s">
        <v>327</v>
      </c>
      <c r="C1741" s="106" t="s">
        <v>473</v>
      </c>
      <c r="D1741" s="107" t="s">
        <v>4681</v>
      </c>
      <c r="E1741" s="109" t="s">
        <v>355</v>
      </c>
      <c r="F1741" s="109" t="s">
        <v>355</v>
      </c>
      <c r="G1741" s="55" t="s">
        <v>355</v>
      </c>
      <c r="H1741" s="108" t="s">
        <v>402</v>
      </c>
      <c r="I1741" s="111" t="s">
        <v>402</v>
      </c>
      <c r="J1741" s="111" t="s">
        <v>402</v>
      </c>
      <c r="K1741" s="106" t="s">
        <v>403</v>
      </c>
      <c r="L1741" s="55" t="s">
        <v>404</v>
      </c>
      <c r="M1741" s="55" t="s">
        <v>7634</v>
      </c>
    </row>
    <row r="1742" spans="1:13">
      <c r="A1742" s="401" t="s">
        <v>4682</v>
      </c>
      <c r="B1742" s="106" t="s">
        <v>327</v>
      </c>
      <c r="C1742" s="106" t="s">
        <v>473</v>
      </c>
      <c r="D1742" s="109" t="s">
        <v>4683</v>
      </c>
      <c r="E1742" s="109" t="s">
        <v>4684</v>
      </c>
      <c r="F1742" s="109" t="s">
        <v>4685</v>
      </c>
      <c r="G1742" s="117" t="s">
        <v>383</v>
      </c>
      <c r="H1742" s="115" t="s">
        <v>402</v>
      </c>
      <c r="I1742" s="111" t="s">
        <v>402</v>
      </c>
      <c r="J1742" s="111" t="s">
        <v>402</v>
      </c>
      <c r="K1742" s="115" t="s">
        <v>403</v>
      </c>
      <c r="L1742" s="55" t="s">
        <v>404</v>
      </c>
      <c r="M1742" s="55" t="s">
        <v>1173</v>
      </c>
    </row>
    <row r="1743" spans="1:13">
      <c r="A1743" s="408" t="s">
        <v>4686</v>
      </c>
      <c r="B1743" s="106" t="s">
        <v>327</v>
      </c>
      <c r="C1743" s="106" t="s">
        <v>473</v>
      </c>
      <c r="D1743" s="107" t="s">
        <v>4687</v>
      </c>
      <c r="E1743" s="109" t="s">
        <v>355</v>
      </c>
      <c r="F1743" s="109" t="s">
        <v>355</v>
      </c>
      <c r="G1743" s="55" t="s">
        <v>355</v>
      </c>
      <c r="H1743" s="108" t="s">
        <v>402</v>
      </c>
      <c r="I1743" s="111" t="s">
        <v>402</v>
      </c>
      <c r="J1743" s="111" t="s">
        <v>402</v>
      </c>
      <c r="K1743" s="106" t="s">
        <v>403</v>
      </c>
      <c r="L1743" s="55" t="s">
        <v>404</v>
      </c>
      <c r="M1743" s="55" t="s">
        <v>7634</v>
      </c>
    </row>
    <row r="1744" spans="1:13">
      <c r="A1744" s="408" t="s">
        <v>4688</v>
      </c>
      <c r="B1744" s="106" t="s">
        <v>327</v>
      </c>
      <c r="C1744" s="106" t="s">
        <v>473</v>
      </c>
      <c r="D1744" s="107" t="s">
        <v>4689</v>
      </c>
      <c r="E1744" s="109" t="s">
        <v>355</v>
      </c>
      <c r="F1744" s="109" t="s">
        <v>355</v>
      </c>
      <c r="G1744" s="55" t="s">
        <v>355</v>
      </c>
      <c r="H1744" s="108" t="s">
        <v>402</v>
      </c>
      <c r="I1744" s="111" t="s">
        <v>402</v>
      </c>
      <c r="J1744" s="111" t="s">
        <v>402</v>
      </c>
      <c r="K1744" s="106" t="s">
        <v>403</v>
      </c>
      <c r="L1744" s="55" t="s">
        <v>404</v>
      </c>
      <c r="M1744" s="55" t="s">
        <v>7634</v>
      </c>
    </row>
    <row r="1745" spans="1:13">
      <c r="A1745" s="408" t="s">
        <v>4690</v>
      </c>
      <c r="B1745" s="106" t="s">
        <v>327</v>
      </c>
      <c r="C1745" s="106" t="s">
        <v>473</v>
      </c>
      <c r="D1745" s="107" t="s">
        <v>4691</v>
      </c>
      <c r="E1745" s="109" t="s">
        <v>355</v>
      </c>
      <c r="F1745" s="109" t="s">
        <v>355</v>
      </c>
      <c r="G1745" s="55" t="s">
        <v>355</v>
      </c>
      <c r="H1745" s="108" t="s">
        <v>402</v>
      </c>
      <c r="I1745" s="111" t="s">
        <v>402</v>
      </c>
      <c r="J1745" s="111" t="s">
        <v>402</v>
      </c>
      <c r="K1745" s="106" t="s">
        <v>403</v>
      </c>
      <c r="L1745" s="55" t="s">
        <v>404</v>
      </c>
      <c r="M1745" s="55" t="s">
        <v>7634</v>
      </c>
    </row>
    <row r="1746" spans="1:13">
      <c r="A1746" s="408" t="s">
        <v>4692</v>
      </c>
      <c r="B1746" s="106" t="s">
        <v>327</v>
      </c>
      <c r="C1746" s="106" t="s">
        <v>473</v>
      </c>
      <c r="D1746" s="107" t="s">
        <v>4693</v>
      </c>
      <c r="E1746" s="109" t="s">
        <v>355</v>
      </c>
      <c r="F1746" s="109" t="s">
        <v>355</v>
      </c>
      <c r="G1746" s="55" t="s">
        <v>355</v>
      </c>
      <c r="H1746" s="108" t="s">
        <v>402</v>
      </c>
      <c r="I1746" s="111" t="s">
        <v>402</v>
      </c>
      <c r="J1746" s="111" t="s">
        <v>402</v>
      </c>
      <c r="K1746" s="106" t="s">
        <v>403</v>
      </c>
      <c r="L1746" s="55" t="s">
        <v>404</v>
      </c>
      <c r="M1746" s="55" t="s">
        <v>7634</v>
      </c>
    </row>
    <row r="1747" spans="1:13">
      <c r="A1747" s="408" t="s">
        <v>4694</v>
      </c>
      <c r="B1747" s="106" t="s">
        <v>327</v>
      </c>
      <c r="C1747" s="106" t="s">
        <v>473</v>
      </c>
      <c r="D1747" s="107" t="s">
        <v>4695</v>
      </c>
      <c r="E1747" s="109" t="s">
        <v>355</v>
      </c>
      <c r="F1747" s="109" t="s">
        <v>355</v>
      </c>
      <c r="G1747" s="55" t="s">
        <v>355</v>
      </c>
      <c r="H1747" s="108" t="s">
        <v>402</v>
      </c>
      <c r="I1747" s="111" t="s">
        <v>402</v>
      </c>
      <c r="J1747" s="111" t="s">
        <v>402</v>
      </c>
      <c r="K1747" s="106" t="s">
        <v>403</v>
      </c>
      <c r="L1747" s="55" t="s">
        <v>404</v>
      </c>
      <c r="M1747" s="55" t="s">
        <v>7634</v>
      </c>
    </row>
    <row r="1748" spans="1:13">
      <c r="A1748" s="408" t="s">
        <v>4696</v>
      </c>
      <c r="B1748" s="106" t="s">
        <v>327</v>
      </c>
      <c r="C1748" s="106" t="s">
        <v>473</v>
      </c>
      <c r="D1748" s="107" t="s">
        <v>4697</v>
      </c>
      <c r="E1748" s="109" t="s">
        <v>355</v>
      </c>
      <c r="F1748" s="109" t="s">
        <v>355</v>
      </c>
      <c r="G1748" s="55" t="s">
        <v>355</v>
      </c>
      <c r="H1748" s="108" t="s">
        <v>402</v>
      </c>
      <c r="I1748" s="111" t="s">
        <v>402</v>
      </c>
      <c r="J1748" s="111" t="s">
        <v>402</v>
      </c>
      <c r="K1748" s="106" t="s">
        <v>403</v>
      </c>
      <c r="L1748" s="55" t="s">
        <v>404</v>
      </c>
      <c r="M1748" s="55" t="s">
        <v>7634</v>
      </c>
    </row>
    <row r="1749" spans="1:13">
      <c r="A1749" s="408" t="s">
        <v>4698</v>
      </c>
      <c r="B1749" s="106" t="s">
        <v>327</v>
      </c>
      <c r="C1749" s="106" t="s">
        <v>473</v>
      </c>
      <c r="D1749" s="107" t="s">
        <v>4699</v>
      </c>
      <c r="E1749" s="109" t="s">
        <v>355</v>
      </c>
      <c r="F1749" s="109" t="s">
        <v>355</v>
      </c>
      <c r="G1749" s="55" t="s">
        <v>355</v>
      </c>
      <c r="H1749" s="108" t="s">
        <v>402</v>
      </c>
      <c r="I1749" s="111" t="s">
        <v>402</v>
      </c>
      <c r="J1749" s="111" t="s">
        <v>402</v>
      </c>
      <c r="K1749" s="106" t="s">
        <v>403</v>
      </c>
      <c r="L1749" s="55" t="s">
        <v>404</v>
      </c>
      <c r="M1749" s="55" t="s">
        <v>7634</v>
      </c>
    </row>
    <row r="1750" spans="1:13">
      <c r="A1750" s="408" t="s">
        <v>4700</v>
      </c>
      <c r="B1750" s="106" t="s">
        <v>327</v>
      </c>
      <c r="C1750" s="106" t="s">
        <v>473</v>
      </c>
      <c r="D1750" s="107" t="s">
        <v>4701</v>
      </c>
      <c r="E1750" s="109" t="s">
        <v>355</v>
      </c>
      <c r="F1750" s="109" t="s">
        <v>355</v>
      </c>
      <c r="G1750" s="55" t="s">
        <v>355</v>
      </c>
      <c r="H1750" s="108" t="s">
        <v>402</v>
      </c>
      <c r="I1750" s="111" t="s">
        <v>402</v>
      </c>
      <c r="J1750" s="111" t="s">
        <v>402</v>
      </c>
      <c r="K1750" s="106" t="s">
        <v>403</v>
      </c>
      <c r="L1750" s="55" t="s">
        <v>404</v>
      </c>
      <c r="M1750" s="55" t="s">
        <v>7634</v>
      </c>
    </row>
    <row r="1751" spans="1:13">
      <c r="A1751" s="408" t="s">
        <v>4702</v>
      </c>
      <c r="B1751" s="106" t="s">
        <v>327</v>
      </c>
      <c r="C1751" s="106" t="s">
        <v>473</v>
      </c>
      <c r="D1751" s="107" t="s">
        <v>4703</v>
      </c>
      <c r="E1751" s="109" t="s">
        <v>355</v>
      </c>
      <c r="F1751" s="109" t="s">
        <v>355</v>
      </c>
      <c r="G1751" s="55" t="s">
        <v>355</v>
      </c>
      <c r="H1751" s="108" t="s">
        <v>402</v>
      </c>
      <c r="I1751" s="111" t="s">
        <v>402</v>
      </c>
      <c r="J1751" s="111" t="s">
        <v>402</v>
      </c>
      <c r="K1751" s="106" t="s">
        <v>403</v>
      </c>
      <c r="L1751" s="55" t="s">
        <v>404</v>
      </c>
      <c r="M1751" s="55" t="s">
        <v>7634</v>
      </c>
    </row>
    <row r="1752" spans="1:13">
      <c r="A1752" s="408" t="s">
        <v>4704</v>
      </c>
      <c r="B1752" s="106" t="s">
        <v>327</v>
      </c>
      <c r="C1752" s="106" t="s">
        <v>473</v>
      </c>
      <c r="D1752" s="107" t="s">
        <v>4705</v>
      </c>
      <c r="E1752" s="109" t="s">
        <v>355</v>
      </c>
      <c r="F1752" s="109" t="s">
        <v>355</v>
      </c>
      <c r="G1752" s="55" t="s">
        <v>355</v>
      </c>
      <c r="H1752" s="108" t="s">
        <v>402</v>
      </c>
      <c r="I1752" s="111" t="s">
        <v>402</v>
      </c>
      <c r="J1752" s="111" t="s">
        <v>402</v>
      </c>
      <c r="K1752" s="106" t="s">
        <v>403</v>
      </c>
      <c r="L1752" s="55" t="s">
        <v>404</v>
      </c>
      <c r="M1752" s="55" t="s">
        <v>7634</v>
      </c>
    </row>
    <row r="1753" spans="1:13">
      <c r="A1753" s="408" t="s">
        <v>4706</v>
      </c>
      <c r="B1753" s="106" t="s">
        <v>327</v>
      </c>
      <c r="C1753" s="106" t="s">
        <v>473</v>
      </c>
      <c r="D1753" s="107" t="s">
        <v>4707</v>
      </c>
      <c r="E1753" s="109" t="s">
        <v>355</v>
      </c>
      <c r="F1753" s="109" t="s">
        <v>355</v>
      </c>
      <c r="G1753" s="55" t="s">
        <v>355</v>
      </c>
      <c r="H1753" s="108" t="s">
        <v>402</v>
      </c>
      <c r="I1753" s="111" t="s">
        <v>402</v>
      </c>
      <c r="J1753" s="111" t="s">
        <v>402</v>
      </c>
      <c r="K1753" s="106" t="s">
        <v>403</v>
      </c>
      <c r="L1753" s="55" t="s">
        <v>404</v>
      </c>
      <c r="M1753" s="55" t="s">
        <v>7634</v>
      </c>
    </row>
    <row r="1754" spans="1:13">
      <c r="A1754" s="408" t="s">
        <v>4708</v>
      </c>
      <c r="B1754" s="106" t="s">
        <v>327</v>
      </c>
      <c r="C1754" s="106" t="s">
        <v>473</v>
      </c>
      <c r="D1754" s="107" t="s">
        <v>4709</v>
      </c>
      <c r="E1754" s="109" t="s">
        <v>355</v>
      </c>
      <c r="F1754" s="109" t="s">
        <v>355</v>
      </c>
      <c r="G1754" s="55" t="s">
        <v>355</v>
      </c>
      <c r="H1754" s="108" t="s">
        <v>402</v>
      </c>
      <c r="I1754" s="111" t="s">
        <v>402</v>
      </c>
      <c r="J1754" s="111" t="s">
        <v>402</v>
      </c>
      <c r="K1754" s="106" t="s">
        <v>403</v>
      </c>
      <c r="L1754" s="55" t="s">
        <v>404</v>
      </c>
      <c r="M1754" s="55" t="s">
        <v>7634</v>
      </c>
    </row>
    <row r="1755" spans="1:13">
      <c r="A1755" s="408" t="s">
        <v>4710</v>
      </c>
      <c r="B1755" s="106" t="s">
        <v>327</v>
      </c>
      <c r="C1755" s="106" t="s">
        <v>473</v>
      </c>
      <c r="D1755" s="107" t="s">
        <v>4711</v>
      </c>
      <c r="E1755" s="109" t="s">
        <v>355</v>
      </c>
      <c r="F1755" s="109" t="s">
        <v>355</v>
      </c>
      <c r="G1755" s="55" t="s">
        <v>355</v>
      </c>
      <c r="H1755" s="108" t="s">
        <v>402</v>
      </c>
      <c r="I1755" s="111" t="s">
        <v>402</v>
      </c>
      <c r="J1755" s="111" t="s">
        <v>402</v>
      </c>
      <c r="K1755" s="106" t="s">
        <v>403</v>
      </c>
      <c r="L1755" s="55" t="s">
        <v>404</v>
      </c>
      <c r="M1755" s="55" t="s">
        <v>7634</v>
      </c>
    </row>
    <row r="1756" spans="1:13">
      <c r="A1756" s="408" t="s">
        <v>4712</v>
      </c>
      <c r="B1756" s="106" t="s">
        <v>327</v>
      </c>
      <c r="C1756" s="106" t="s">
        <v>473</v>
      </c>
      <c r="D1756" s="107" t="s">
        <v>4713</v>
      </c>
      <c r="E1756" s="109" t="s">
        <v>355</v>
      </c>
      <c r="F1756" s="109" t="s">
        <v>355</v>
      </c>
      <c r="G1756" s="55" t="s">
        <v>355</v>
      </c>
      <c r="H1756" s="108" t="s">
        <v>402</v>
      </c>
      <c r="I1756" s="111" t="s">
        <v>402</v>
      </c>
      <c r="J1756" s="111" t="s">
        <v>402</v>
      </c>
      <c r="K1756" s="106" t="s">
        <v>403</v>
      </c>
      <c r="L1756" s="55" t="s">
        <v>404</v>
      </c>
      <c r="M1756" s="55" t="s">
        <v>7634</v>
      </c>
    </row>
    <row r="1757" spans="1:13">
      <c r="A1757" s="408" t="s">
        <v>4714</v>
      </c>
      <c r="B1757" s="106" t="s">
        <v>327</v>
      </c>
      <c r="C1757" s="106" t="s">
        <v>473</v>
      </c>
      <c r="D1757" s="107" t="s">
        <v>4715</v>
      </c>
      <c r="E1757" s="109" t="s">
        <v>355</v>
      </c>
      <c r="F1757" s="109" t="s">
        <v>355</v>
      </c>
      <c r="G1757" s="55" t="s">
        <v>355</v>
      </c>
      <c r="H1757" s="108" t="s">
        <v>402</v>
      </c>
      <c r="I1757" s="111" t="s">
        <v>402</v>
      </c>
      <c r="J1757" s="111" t="s">
        <v>402</v>
      </c>
      <c r="K1757" s="106" t="s">
        <v>403</v>
      </c>
      <c r="L1757" s="55" t="s">
        <v>404</v>
      </c>
      <c r="M1757" s="55" t="s">
        <v>7634</v>
      </c>
    </row>
    <row r="1758" spans="1:13">
      <c r="A1758" s="408" t="s">
        <v>4716</v>
      </c>
      <c r="B1758" s="106" t="s">
        <v>327</v>
      </c>
      <c r="C1758" s="106" t="s">
        <v>473</v>
      </c>
      <c r="D1758" s="107" t="s">
        <v>4717</v>
      </c>
      <c r="E1758" s="109" t="s">
        <v>355</v>
      </c>
      <c r="F1758" s="109" t="s">
        <v>355</v>
      </c>
      <c r="G1758" s="55" t="s">
        <v>355</v>
      </c>
      <c r="H1758" s="108" t="s">
        <v>402</v>
      </c>
      <c r="I1758" s="111" t="s">
        <v>402</v>
      </c>
      <c r="J1758" s="111" t="s">
        <v>402</v>
      </c>
      <c r="K1758" s="106" t="s">
        <v>403</v>
      </c>
      <c r="L1758" s="55" t="s">
        <v>404</v>
      </c>
      <c r="M1758" s="55" t="s">
        <v>7634</v>
      </c>
    </row>
    <row r="1759" spans="1:13">
      <c r="A1759" s="408" t="s">
        <v>4718</v>
      </c>
      <c r="B1759" s="106" t="s">
        <v>327</v>
      </c>
      <c r="C1759" s="106" t="s">
        <v>473</v>
      </c>
      <c r="D1759" s="107" t="s">
        <v>4719</v>
      </c>
      <c r="E1759" s="109" t="s">
        <v>355</v>
      </c>
      <c r="F1759" s="109" t="s">
        <v>355</v>
      </c>
      <c r="G1759" s="55" t="s">
        <v>355</v>
      </c>
      <c r="H1759" s="108" t="s">
        <v>402</v>
      </c>
      <c r="I1759" s="111" t="s">
        <v>402</v>
      </c>
      <c r="J1759" s="111" t="s">
        <v>402</v>
      </c>
      <c r="K1759" s="106" t="s">
        <v>403</v>
      </c>
      <c r="L1759" s="55" t="s">
        <v>404</v>
      </c>
      <c r="M1759" s="55" t="s">
        <v>7634</v>
      </c>
    </row>
    <row r="1760" spans="1:13">
      <c r="A1760" s="401" t="s">
        <v>4720</v>
      </c>
      <c r="B1760" s="106" t="s">
        <v>327</v>
      </c>
      <c r="C1760" s="106" t="s">
        <v>473</v>
      </c>
      <c r="D1760" s="109" t="s">
        <v>4721</v>
      </c>
      <c r="E1760" s="109" t="s">
        <v>4722</v>
      </c>
      <c r="F1760" s="109" t="s">
        <v>4723</v>
      </c>
      <c r="G1760" s="590" t="s">
        <v>4724</v>
      </c>
      <c r="H1760" s="115" t="s">
        <v>402</v>
      </c>
      <c r="I1760" s="111" t="s">
        <v>402</v>
      </c>
      <c r="J1760" s="111" t="s">
        <v>402</v>
      </c>
      <c r="K1760" s="106" t="s">
        <v>403</v>
      </c>
      <c r="L1760" s="55" t="s">
        <v>404</v>
      </c>
      <c r="M1760" s="55" t="s">
        <v>383</v>
      </c>
    </row>
    <row r="1761" spans="1:13">
      <c r="A1761" s="408" t="s">
        <v>4725</v>
      </c>
      <c r="B1761" s="106" t="s">
        <v>327</v>
      </c>
      <c r="C1761" s="106" t="s">
        <v>473</v>
      </c>
      <c r="D1761" s="107" t="s">
        <v>2441</v>
      </c>
      <c r="E1761" s="109" t="s">
        <v>355</v>
      </c>
      <c r="F1761" s="109" t="s">
        <v>355</v>
      </c>
      <c r="G1761" s="55" t="s">
        <v>355</v>
      </c>
      <c r="H1761" s="108" t="s">
        <v>402</v>
      </c>
      <c r="I1761" s="111" t="s">
        <v>402</v>
      </c>
      <c r="J1761" s="111" t="s">
        <v>402</v>
      </c>
      <c r="K1761" s="106" t="s">
        <v>403</v>
      </c>
      <c r="L1761" s="55" t="s">
        <v>404</v>
      </c>
      <c r="M1761" s="55" t="s">
        <v>7634</v>
      </c>
    </row>
    <row r="1762" spans="1:13">
      <c r="A1762" s="408" t="s">
        <v>4726</v>
      </c>
      <c r="B1762" s="106" t="s">
        <v>327</v>
      </c>
      <c r="C1762" s="106" t="s">
        <v>473</v>
      </c>
      <c r="D1762" s="107" t="s">
        <v>2441</v>
      </c>
      <c r="E1762" s="109" t="s">
        <v>355</v>
      </c>
      <c r="F1762" s="109" t="s">
        <v>355</v>
      </c>
      <c r="G1762" s="55" t="s">
        <v>355</v>
      </c>
      <c r="H1762" s="108" t="s">
        <v>402</v>
      </c>
      <c r="I1762" s="111" t="s">
        <v>402</v>
      </c>
      <c r="J1762" s="111" t="s">
        <v>402</v>
      </c>
      <c r="K1762" s="106" t="s">
        <v>403</v>
      </c>
      <c r="L1762" s="55" t="s">
        <v>404</v>
      </c>
      <c r="M1762" s="55" t="s">
        <v>7634</v>
      </c>
    </row>
    <row r="1763" spans="1:13">
      <c r="A1763" s="408" t="s">
        <v>4727</v>
      </c>
      <c r="B1763" s="106" t="s">
        <v>327</v>
      </c>
      <c r="C1763" s="106" t="s">
        <v>473</v>
      </c>
      <c r="D1763" s="107" t="s">
        <v>4728</v>
      </c>
      <c r="E1763" s="109" t="s">
        <v>355</v>
      </c>
      <c r="F1763" s="109" t="s">
        <v>355</v>
      </c>
      <c r="G1763" s="55" t="s">
        <v>355</v>
      </c>
      <c r="H1763" s="108" t="s">
        <v>402</v>
      </c>
      <c r="I1763" s="111" t="s">
        <v>402</v>
      </c>
      <c r="J1763" s="111" t="s">
        <v>402</v>
      </c>
      <c r="K1763" s="106" t="s">
        <v>403</v>
      </c>
      <c r="L1763" s="55" t="s">
        <v>404</v>
      </c>
      <c r="M1763" s="55" t="s">
        <v>7634</v>
      </c>
    </row>
    <row r="1764" spans="1:13">
      <c r="A1764" s="408" t="s">
        <v>4729</v>
      </c>
      <c r="B1764" s="106" t="s">
        <v>327</v>
      </c>
      <c r="C1764" s="106" t="s">
        <v>473</v>
      </c>
      <c r="D1764" s="107" t="s">
        <v>4730</v>
      </c>
      <c r="E1764" s="109" t="s">
        <v>355</v>
      </c>
      <c r="F1764" s="109" t="s">
        <v>355</v>
      </c>
      <c r="G1764" s="55" t="s">
        <v>355</v>
      </c>
      <c r="H1764" s="108" t="s">
        <v>402</v>
      </c>
      <c r="I1764" s="111" t="s">
        <v>402</v>
      </c>
      <c r="J1764" s="111" t="s">
        <v>402</v>
      </c>
      <c r="K1764" s="106" t="s">
        <v>403</v>
      </c>
      <c r="L1764" s="55" t="s">
        <v>404</v>
      </c>
      <c r="M1764" s="55" t="s">
        <v>7634</v>
      </c>
    </row>
    <row r="1765" spans="1:13">
      <c r="A1765" s="408" t="s">
        <v>4731</v>
      </c>
      <c r="B1765" s="106" t="s">
        <v>327</v>
      </c>
      <c r="C1765" s="106" t="s">
        <v>473</v>
      </c>
      <c r="D1765" s="107" t="s">
        <v>4730</v>
      </c>
      <c r="E1765" s="109" t="s">
        <v>355</v>
      </c>
      <c r="F1765" s="109" t="s">
        <v>355</v>
      </c>
      <c r="G1765" s="55" t="s">
        <v>355</v>
      </c>
      <c r="H1765" s="108" t="s">
        <v>402</v>
      </c>
      <c r="I1765" s="111" t="s">
        <v>402</v>
      </c>
      <c r="J1765" s="111" t="s">
        <v>402</v>
      </c>
      <c r="K1765" s="106" t="s">
        <v>403</v>
      </c>
      <c r="L1765" s="55" t="s">
        <v>404</v>
      </c>
      <c r="M1765" s="55" t="s">
        <v>7634</v>
      </c>
    </row>
    <row r="1766" spans="1:13">
      <c r="A1766" s="408" t="s">
        <v>4732</v>
      </c>
      <c r="B1766" s="106" t="s">
        <v>327</v>
      </c>
      <c r="C1766" s="106" t="s">
        <v>473</v>
      </c>
      <c r="D1766" s="107" t="s">
        <v>4733</v>
      </c>
      <c r="E1766" s="109" t="s">
        <v>355</v>
      </c>
      <c r="F1766" s="109" t="s">
        <v>355</v>
      </c>
      <c r="G1766" s="55" t="s">
        <v>355</v>
      </c>
      <c r="H1766" s="108" t="s">
        <v>402</v>
      </c>
      <c r="I1766" s="111" t="s">
        <v>402</v>
      </c>
      <c r="J1766" s="111" t="s">
        <v>402</v>
      </c>
      <c r="K1766" s="106" t="s">
        <v>403</v>
      </c>
      <c r="L1766" s="55" t="s">
        <v>404</v>
      </c>
      <c r="M1766" s="55" t="s">
        <v>7634</v>
      </c>
    </row>
    <row r="1767" spans="1:13">
      <c r="A1767" s="408" t="s">
        <v>4734</v>
      </c>
      <c r="B1767" s="106" t="s">
        <v>327</v>
      </c>
      <c r="C1767" s="106" t="s">
        <v>473</v>
      </c>
      <c r="D1767" s="107" t="s">
        <v>4735</v>
      </c>
      <c r="E1767" s="109" t="s">
        <v>355</v>
      </c>
      <c r="F1767" s="109" t="s">
        <v>355</v>
      </c>
      <c r="G1767" s="55" t="s">
        <v>355</v>
      </c>
      <c r="H1767" s="108" t="s">
        <v>402</v>
      </c>
      <c r="I1767" s="111" t="s">
        <v>402</v>
      </c>
      <c r="J1767" s="111" t="s">
        <v>402</v>
      </c>
      <c r="K1767" s="106" t="s">
        <v>403</v>
      </c>
      <c r="L1767" s="55" t="s">
        <v>404</v>
      </c>
      <c r="M1767" s="55" t="s">
        <v>7634</v>
      </c>
    </row>
    <row r="1768" spans="1:13">
      <c r="A1768" s="408" t="s">
        <v>4736</v>
      </c>
      <c r="B1768" s="106" t="s">
        <v>327</v>
      </c>
      <c r="C1768" s="106" t="s">
        <v>473</v>
      </c>
      <c r="D1768" s="107" t="s">
        <v>4737</v>
      </c>
      <c r="E1768" s="109" t="s">
        <v>355</v>
      </c>
      <c r="F1768" s="109" t="s">
        <v>355</v>
      </c>
      <c r="G1768" s="55" t="s">
        <v>355</v>
      </c>
      <c r="H1768" s="108" t="s">
        <v>402</v>
      </c>
      <c r="I1768" s="111" t="s">
        <v>402</v>
      </c>
      <c r="J1768" s="111" t="s">
        <v>402</v>
      </c>
      <c r="K1768" s="106" t="s">
        <v>403</v>
      </c>
      <c r="L1768" s="55" t="s">
        <v>404</v>
      </c>
      <c r="M1768" s="55" t="s">
        <v>7634</v>
      </c>
    </row>
    <row r="1769" spans="1:13">
      <c r="A1769" s="408" t="s">
        <v>4738</v>
      </c>
      <c r="B1769" s="106" t="s">
        <v>327</v>
      </c>
      <c r="C1769" s="106" t="s">
        <v>473</v>
      </c>
      <c r="D1769" s="107" t="s">
        <v>4737</v>
      </c>
      <c r="E1769" s="109" t="s">
        <v>355</v>
      </c>
      <c r="F1769" s="109" t="s">
        <v>355</v>
      </c>
      <c r="G1769" s="55" t="s">
        <v>355</v>
      </c>
      <c r="H1769" s="108" t="s">
        <v>402</v>
      </c>
      <c r="I1769" s="111" t="s">
        <v>402</v>
      </c>
      <c r="J1769" s="111" t="s">
        <v>402</v>
      </c>
      <c r="K1769" s="106" t="s">
        <v>403</v>
      </c>
      <c r="L1769" s="55" t="s">
        <v>404</v>
      </c>
      <c r="M1769" s="55" t="s">
        <v>7634</v>
      </c>
    </row>
    <row r="1770" spans="1:13">
      <c r="A1770" s="408" t="s">
        <v>4739</v>
      </c>
      <c r="B1770" s="106" t="s">
        <v>327</v>
      </c>
      <c r="C1770" s="106" t="s">
        <v>473</v>
      </c>
      <c r="D1770" s="107" t="s">
        <v>4740</v>
      </c>
      <c r="E1770" s="109" t="s">
        <v>355</v>
      </c>
      <c r="F1770" s="109" t="s">
        <v>355</v>
      </c>
      <c r="G1770" s="55" t="s">
        <v>355</v>
      </c>
      <c r="H1770" s="108" t="s">
        <v>402</v>
      </c>
      <c r="I1770" s="111" t="s">
        <v>402</v>
      </c>
      <c r="J1770" s="111" t="s">
        <v>402</v>
      </c>
      <c r="K1770" s="106" t="s">
        <v>403</v>
      </c>
      <c r="L1770" s="55" t="s">
        <v>404</v>
      </c>
      <c r="M1770" s="55" t="s">
        <v>7634</v>
      </c>
    </row>
    <row r="1771" spans="1:13">
      <c r="A1771" s="408" t="s">
        <v>4741</v>
      </c>
      <c r="B1771" s="106" t="s">
        <v>327</v>
      </c>
      <c r="C1771" s="106" t="s">
        <v>473</v>
      </c>
      <c r="D1771" s="107" t="s">
        <v>4742</v>
      </c>
      <c r="E1771" s="109" t="s">
        <v>355</v>
      </c>
      <c r="F1771" s="109" t="s">
        <v>355</v>
      </c>
      <c r="G1771" s="55" t="s">
        <v>355</v>
      </c>
      <c r="H1771" s="108" t="s">
        <v>402</v>
      </c>
      <c r="I1771" s="111" t="s">
        <v>402</v>
      </c>
      <c r="J1771" s="111" t="s">
        <v>402</v>
      </c>
      <c r="K1771" s="106" t="s">
        <v>403</v>
      </c>
      <c r="L1771" s="55" t="s">
        <v>404</v>
      </c>
      <c r="M1771" s="55" t="s">
        <v>7634</v>
      </c>
    </row>
    <row r="1772" spans="1:13">
      <c r="A1772" s="408" t="s">
        <v>4743</v>
      </c>
      <c r="B1772" s="106" t="s">
        <v>327</v>
      </c>
      <c r="C1772" s="106" t="s">
        <v>473</v>
      </c>
      <c r="D1772" s="107" t="s">
        <v>4742</v>
      </c>
      <c r="E1772" s="109" t="s">
        <v>355</v>
      </c>
      <c r="F1772" s="109" t="s">
        <v>355</v>
      </c>
      <c r="G1772" s="55" t="s">
        <v>355</v>
      </c>
      <c r="H1772" s="108" t="s">
        <v>402</v>
      </c>
      <c r="I1772" s="111" t="s">
        <v>402</v>
      </c>
      <c r="J1772" s="111" t="s">
        <v>402</v>
      </c>
      <c r="K1772" s="106" t="s">
        <v>403</v>
      </c>
      <c r="L1772" s="55" t="s">
        <v>404</v>
      </c>
      <c r="M1772" s="55" t="s">
        <v>7634</v>
      </c>
    </row>
    <row r="1773" spans="1:13">
      <c r="A1773" s="408" t="s">
        <v>4744</v>
      </c>
      <c r="B1773" s="106" t="s">
        <v>327</v>
      </c>
      <c r="C1773" s="106" t="s">
        <v>473</v>
      </c>
      <c r="D1773" s="107" t="s">
        <v>4742</v>
      </c>
      <c r="E1773" s="109" t="s">
        <v>355</v>
      </c>
      <c r="F1773" s="109" t="s">
        <v>355</v>
      </c>
      <c r="G1773" s="55" t="s">
        <v>355</v>
      </c>
      <c r="H1773" s="108" t="s">
        <v>402</v>
      </c>
      <c r="I1773" s="111" t="s">
        <v>402</v>
      </c>
      <c r="J1773" s="111" t="s">
        <v>402</v>
      </c>
      <c r="K1773" s="106" t="s">
        <v>403</v>
      </c>
      <c r="L1773" s="55" t="s">
        <v>404</v>
      </c>
      <c r="M1773" s="55" t="s">
        <v>7634</v>
      </c>
    </row>
    <row r="1774" spans="1:13">
      <c r="A1774" s="408" t="s">
        <v>4745</v>
      </c>
      <c r="B1774" s="106" t="s">
        <v>327</v>
      </c>
      <c r="C1774" s="106" t="s">
        <v>473</v>
      </c>
      <c r="D1774" s="107" t="s">
        <v>4742</v>
      </c>
      <c r="E1774" s="109" t="s">
        <v>355</v>
      </c>
      <c r="F1774" s="109" t="s">
        <v>355</v>
      </c>
      <c r="G1774" s="55" t="s">
        <v>355</v>
      </c>
      <c r="H1774" s="108" t="s">
        <v>402</v>
      </c>
      <c r="I1774" s="111" t="s">
        <v>402</v>
      </c>
      <c r="J1774" s="111" t="s">
        <v>402</v>
      </c>
      <c r="K1774" s="106" t="s">
        <v>403</v>
      </c>
      <c r="L1774" s="55" t="s">
        <v>404</v>
      </c>
      <c r="M1774" s="55" t="s">
        <v>7634</v>
      </c>
    </row>
    <row r="1775" spans="1:13">
      <c r="A1775" s="408" t="s">
        <v>4746</v>
      </c>
      <c r="B1775" s="106" t="s">
        <v>327</v>
      </c>
      <c r="C1775" s="106" t="s">
        <v>473</v>
      </c>
      <c r="D1775" s="107" t="s">
        <v>4747</v>
      </c>
      <c r="E1775" s="109" t="s">
        <v>355</v>
      </c>
      <c r="F1775" s="109" t="s">
        <v>355</v>
      </c>
      <c r="G1775" s="55" t="s">
        <v>355</v>
      </c>
      <c r="H1775" s="108" t="s">
        <v>402</v>
      </c>
      <c r="I1775" s="111" t="s">
        <v>402</v>
      </c>
      <c r="J1775" s="111" t="s">
        <v>402</v>
      </c>
      <c r="K1775" s="106" t="s">
        <v>403</v>
      </c>
      <c r="L1775" s="55" t="s">
        <v>404</v>
      </c>
      <c r="M1775" s="55" t="s">
        <v>7634</v>
      </c>
    </row>
    <row r="1776" spans="1:13">
      <c r="A1776" s="408" t="s">
        <v>4748</v>
      </c>
      <c r="B1776" s="106" t="s">
        <v>327</v>
      </c>
      <c r="C1776" s="106" t="s">
        <v>473</v>
      </c>
      <c r="D1776" s="107" t="s">
        <v>4747</v>
      </c>
      <c r="E1776" s="109" t="s">
        <v>355</v>
      </c>
      <c r="F1776" s="109" t="s">
        <v>355</v>
      </c>
      <c r="G1776" s="55" t="s">
        <v>355</v>
      </c>
      <c r="H1776" s="108" t="s">
        <v>402</v>
      </c>
      <c r="I1776" s="111" t="s">
        <v>402</v>
      </c>
      <c r="J1776" s="111" t="s">
        <v>402</v>
      </c>
      <c r="K1776" s="106" t="s">
        <v>403</v>
      </c>
      <c r="L1776" s="55" t="s">
        <v>404</v>
      </c>
      <c r="M1776" s="55" t="s">
        <v>7634</v>
      </c>
    </row>
    <row r="1777" spans="1:13">
      <c r="A1777" s="408" t="s">
        <v>4749</v>
      </c>
      <c r="B1777" s="106" t="s">
        <v>327</v>
      </c>
      <c r="C1777" s="106" t="s">
        <v>473</v>
      </c>
      <c r="D1777" s="107" t="s">
        <v>4747</v>
      </c>
      <c r="E1777" s="109" t="s">
        <v>355</v>
      </c>
      <c r="F1777" s="109" t="s">
        <v>355</v>
      </c>
      <c r="G1777" s="55" t="s">
        <v>355</v>
      </c>
      <c r="H1777" s="108" t="s">
        <v>402</v>
      </c>
      <c r="I1777" s="111" t="s">
        <v>402</v>
      </c>
      <c r="J1777" s="111" t="s">
        <v>402</v>
      </c>
      <c r="K1777" s="106" t="s">
        <v>403</v>
      </c>
      <c r="L1777" s="55" t="s">
        <v>404</v>
      </c>
      <c r="M1777" s="55" t="s">
        <v>7634</v>
      </c>
    </row>
    <row r="1778" spans="1:13">
      <c r="A1778" s="408" t="s">
        <v>4750</v>
      </c>
      <c r="B1778" s="106" t="s">
        <v>327</v>
      </c>
      <c r="C1778" s="106" t="s">
        <v>473</v>
      </c>
      <c r="D1778" s="107" t="s">
        <v>4751</v>
      </c>
      <c r="E1778" s="109" t="s">
        <v>355</v>
      </c>
      <c r="F1778" s="109" t="s">
        <v>355</v>
      </c>
      <c r="G1778" s="55" t="s">
        <v>355</v>
      </c>
      <c r="H1778" s="108" t="s">
        <v>402</v>
      </c>
      <c r="I1778" s="111" t="s">
        <v>402</v>
      </c>
      <c r="J1778" s="111" t="s">
        <v>402</v>
      </c>
      <c r="K1778" s="106" t="s">
        <v>403</v>
      </c>
      <c r="L1778" s="55" t="s">
        <v>404</v>
      </c>
      <c r="M1778" s="55" t="s">
        <v>7634</v>
      </c>
    </row>
    <row r="1779" spans="1:13">
      <c r="A1779" s="408" t="s">
        <v>4752</v>
      </c>
      <c r="B1779" s="106" t="s">
        <v>327</v>
      </c>
      <c r="C1779" s="106" t="s">
        <v>473</v>
      </c>
      <c r="D1779" s="107" t="s">
        <v>4753</v>
      </c>
      <c r="E1779" s="109" t="s">
        <v>355</v>
      </c>
      <c r="F1779" s="109" t="s">
        <v>355</v>
      </c>
      <c r="G1779" s="55" t="s">
        <v>355</v>
      </c>
      <c r="H1779" s="108" t="s">
        <v>402</v>
      </c>
      <c r="I1779" s="111" t="s">
        <v>402</v>
      </c>
      <c r="J1779" s="111" t="s">
        <v>402</v>
      </c>
      <c r="K1779" s="106" t="s">
        <v>403</v>
      </c>
      <c r="L1779" s="55" t="s">
        <v>404</v>
      </c>
      <c r="M1779" s="55" t="s">
        <v>7634</v>
      </c>
    </row>
    <row r="1780" spans="1:13">
      <c r="A1780" s="408" t="s">
        <v>4754</v>
      </c>
      <c r="B1780" s="106" t="s">
        <v>327</v>
      </c>
      <c r="C1780" s="106" t="s">
        <v>473</v>
      </c>
      <c r="D1780" s="107" t="s">
        <v>4753</v>
      </c>
      <c r="E1780" s="109" t="s">
        <v>355</v>
      </c>
      <c r="F1780" s="109" t="s">
        <v>355</v>
      </c>
      <c r="G1780" s="55" t="s">
        <v>355</v>
      </c>
      <c r="H1780" s="108" t="s">
        <v>402</v>
      </c>
      <c r="I1780" s="111" t="s">
        <v>402</v>
      </c>
      <c r="J1780" s="111" t="s">
        <v>402</v>
      </c>
      <c r="K1780" s="106" t="s">
        <v>403</v>
      </c>
      <c r="L1780" s="55" t="s">
        <v>404</v>
      </c>
      <c r="M1780" s="55" t="s">
        <v>7634</v>
      </c>
    </row>
    <row r="1781" spans="1:13">
      <c r="A1781" s="408" t="s">
        <v>4755</v>
      </c>
      <c r="B1781" s="106" t="s">
        <v>327</v>
      </c>
      <c r="C1781" s="106" t="s">
        <v>473</v>
      </c>
      <c r="D1781" s="107" t="s">
        <v>4756</v>
      </c>
      <c r="E1781" s="109" t="s">
        <v>355</v>
      </c>
      <c r="F1781" s="109" t="s">
        <v>355</v>
      </c>
      <c r="G1781" s="55" t="s">
        <v>355</v>
      </c>
      <c r="H1781" s="108" t="s">
        <v>402</v>
      </c>
      <c r="I1781" s="111" t="s">
        <v>402</v>
      </c>
      <c r="J1781" s="111" t="s">
        <v>402</v>
      </c>
      <c r="K1781" s="106" t="s">
        <v>403</v>
      </c>
      <c r="L1781" s="55" t="s">
        <v>404</v>
      </c>
      <c r="M1781" s="55" t="s">
        <v>7634</v>
      </c>
    </row>
    <row r="1782" spans="1:13">
      <c r="A1782" s="408" t="s">
        <v>4757</v>
      </c>
      <c r="B1782" s="106" t="s">
        <v>327</v>
      </c>
      <c r="C1782" s="106" t="s">
        <v>473</v>
      </c>
      <c r="D1782" s="107" t="s">
        <v>4758</v>
      </c>
      <c r="E1782" s="109" t="s">
        <v>355</v>
      </c>
      <c r="F1782" s="109" t="s">
        <v>355</v>
      </c>
      <c r="G1782" s="55" t="s">
        <v>355</v>
      </c>
      <c r="H1782" s="108" t="s">
        <v>402</v>
      </c>
      <c r="I1782" s="111" t="s">
        <v>402</v>
      </c>
      <c r="J1782" s="111" t="s">
        <v>402</v>
      </c>
      <c r="K1782" s="106" t="s">
        <v>403</v>
      </c>
      <c r="L1782" s="55" t="s">
        <v>404</v>
      </c>
      <c r="M1782" s="55" t="s">
        <v>7634</v>
      </c>
    </row>
    <row r="1783" spans="1:13">
      <c r="A1783" s="408" t="s">
        <v>4759</v>
      </c>
      <c r="B1783" s="106" t="s">
        <v>327</v>
      </c>
      <c r="C1783" s="106" t="s">
        <v>473</v>
      </c>
      <c r="D1783" s="107" t="s">
        <v>4760</v>
      </c>
      <c r="E1783" s="109" t="s">
        <v>355</v>
      </c>
      <c r="F1783" s="109" t="s">
        <v>355</v>
      </c>
      <c r="G1783" s="55" t="s">
        <v>355</v>
      </c>
      <c r="H1783" s="108" t="s">
        <v>402</v>
      </c>
      <c r="I1783" s="111" t="s">
        <v>402</v>
      </c>
      <c r="J1783" s="111" t="s">
        <v>402</v>
      </c>
      <c r="K1783" s="106" t="s">
        <v>403</v>
      </c>
      <c r="L1783" s="55" t="s">
        <v>404</v>
      </c>
      <c r="M1783" s="55" t="s">
        <v>7634</v>
      </c>
    </row>
    <row r="1784" spans="1:13">
      <c r="A1784" s="408" t="s">
        <v>4761</v>
      </c>
      <c r="B1784" s="106" t="s">
        <v>327</v>
      </c>
      <c r="C1784" s="106" t="s">
        <v>473</v>
      </c>
      <c r="D1784" s="107" t="s">
        <v>4760</v>
      </c>
      <c r="E1784" s="109" t="s">
        <v>355</v>
      </c>
      <c r="F1784" s="109" t="s">
        <v>355</v>
      </c>
      <c r="G1784" s="55" t="s">
        <v>355</v>
      </c>
      <c r="H1784" s="108" t="s">
        <v>402</v>
      </c>
      <c r="I1784" s="111" t="s">
        <v>402</v>
      </c>
      <c r="J1784" s="111" t="s">
        <v>402</v>
      </c>
      <c r="K1784" s="106" t="s">
        <v>403</v>
      </c>
      <c r="L1784" s="55" t="s">
        <v>404</v>
      </c>
      <c r="M1784" s="55" t="s">
        <v>7634</v>
      </c>
    </row>
    <row r="1785" spans="1:13">
      <c r="A1785" s="578" t="s">
        <v>4762</v>
      </c>
      <c r="B1785" s="586" t="s">
        <v>373</v>
      </c>
      <c r="C1785" s="586" t="s">
        <v>473</v>
      </c>
      <c r="D1785" s="586" t="s">
        <v>4763</v>
      </c>
      <c r="E1785" s="586" t="s">
        <v>4764</v>
      </c>
      <c r="F1785" s="586" t="s">
        <v>4765</v>
      </c>
      <c r="G1785" s="586"/>
      <c r="H1785" s="586" t="s">
        <v>359</v>
      </c>
      <c r="I1785" s="587" t="s">
        <v>359</v>
      </c>
      <c r="J1785" s="586"/>
      <c r="K1785" s="586"/>
      <c r="L1785" s="586" t="s">
        <v>361</v>
      </c>
      <c r="M1785" s="55" t="s">
        <v>7634</v>
      </c>
    </row>
    <row r="1786" spans="1:13">
      <c r="A1786" s="408" t="s">
        <v>4766</v>
      </c>
      <c r="B1786" s="106" t="s">
        <v>327</v>
      </c>
      <c r="C1786" s="106" t="s">
        <v>473</v>
      </c>
      <c r="D1786" s="107" t="s">
        <v>4767</v>
      </c>
      <c r="E1786" s="109" t="s">
        <v>355</v>
      </c>
      <c r="F1786" s="109" t="s">
        <v>355</v>
      </c>
      <c r="G1786" s="55" t="s">
        <v>355</v>
      </c>
      <c r="H1786" s="108" t="s">
        <v>402</v>
      </c>
      <c r="I1786" s="111" t="s">
        <v>402</v>
      </c>
      <c r="J1786" s="111" t="s">
        <v>402</v>
      </c>
      <c r="K1786" s="106" t="s">
        <v>403</v>
      </c>
      <c r="L1786" s="55" t="s">
        <v>404</v>
      </c>
      <c r="M1786" s="55" t="s">
        <v>7634</v>
      </c>
    </row>
    <row r="1787" spans="1:13">
      <c r="A1787" s="408" t="s">
        <v>4768</v>
      </c>
      <c r="B1787" s="106" t="s">
        <v>327</v>
      </c>
      <c r="C1787" s="106" t="s">
        <v>473</v>
      </c>
      <c r="D1787" s="107" t="s">
        <v>4769</v>
      </c>
      <c r="E1787" s="109" t="s">
        <v>355</v>
      </c>
      <c r="F1787" s="109" t="s">
        <v>355</v>
      </c>
      <c r="G1787" s="55" t="s">
        <v>355</v>
      </c>
      <c r="H1787" s="108" t="s">
        <v>402</v>
      </c>
      <c r="I1787" s="111" t="s">
        <v>402</v>
      </c>
      <c r="J1787" s="111" t="s">
        <v>402</v>
      </c>
      <c r="K1787" s="106" t="s">
        <v>403</v>
      </c>
      <c r="L1787" s="55" t="s">
        <v>404</v>
      </c>
      <c r="M1787" s="55" t="s">
        <v>7634</v>
      </c>
    </row>
    <row r="1788" spans="1:13">
      <c r="A1788" s="408" t="s">
        <v>4770</v>
      </c>
      <c r="B1788" s="106" t="s">
        <v>327</v>
      </c>
      <c r="C1788" s="106" t="s">
        <v>473</v>
      </c>
      <c r="D1788" s="107" t="s">
        <v>4771</v>
      </c>
      <c r="E1788" s="109" t="s">
        <v>355</v>
      </c>
      <c r="F1788" s="109" t="s">
        <v>355</v>
      </c>
      <c r="G1788" s="55" t="s">
        <v>355</v>
      </c>
      <c r="H1788" s="108" t="s">
        <v>402</v>
      </c>
      <c r="I1788" s="111" t="s">
        <v>402</v>
      </c>
      <c r="J1788" s="111" t="s">
        <v>402</v>
      </c>
      <c r="K1788" s="106" t="s">
        <v>403</v>
      </c>
      <c r="L1788" s="55" t="s">
        <v>404</v>
      </c>
      <c r="M1788" s="55" t="s">
        <v>7634</v>
      </c>
    </row>
    <row r="1789" spans="1:13">
      <c r="A1789" s="408" t="s">
        <v>4772</v>
      </c>
      <c r="B1789" s="106" t="s">
        <v>327</v>
      </c>
      <c r="C1789" s="106" t="s">
        <v>473</v>
      </c>
      <c r="D1789" s="107" t="s">
        <v>4771</v>
      </c>
      <c r="E1789" s="109" t="s">
        <v>355</v>
      </c>
      <c r="F1789" s="109" t="s">
        <v>355</v>
      </c>
      <c r="G1789" s="55" t="s">
        <v>355</v>
      </c>
      <c r="H1789" s="108" t="s">
        <v>402</v>
      </c>
      <c r="I1789" s="111" t="s">
        <v>402</v>
      </c>
      <c r="J1789" s="111" t="s">
        <v>402</v>
      </c>
      <c r="K1789" s="106" t="s">
        <v>403</v>
      </c>
      <c r="L1789" s="55" t="s">
        <v>404</v>
      </c>
      <c r="M1789" s="55" t="s">
        <v>7634</v>
      </c>
    </row>
    <row r="1790" spans="1:13">
      <c r="A1790" s="408" t="s">
        <v>4773</v>
      </c>
      <c r="B1790" s="106" t="s">
        <v>327</v>
      </c>
      <c r="C1790" s="106" t="s">
        <v>473</v>
      </c>
      <c r="D1790" s="107" t="s">
        <v>4774</v>
      </c>
      <c r="E1790" s="109" t="s">
        <v>355</v>
      </c>
      <c r="F1790" s="109" t="s">
        <v>355</v>
      </c>
      <c r="G1790" s="55" t="s">
        <v>355</v>
      </c>
      <c r="H1790" s="108" t="s">
        <v>402</v>
      </c>
      <c r="I1790" s="111" t="s">
        <v>402</v>
      </c>
      <c r="J1790" s="111" t="s">
        <v>402</v>
      </c>
      <c r="K1790" s="106" t="s">
        <v>403</v>
      </c>
      <c r="L1790" s="55" t="s">
        <v>404</v>
      </c>
      <c r="M1790" s="55" t="s">
        <v>7634</v>
      </c>
    </row>
    <row r="1791" spans="1:13">
      <c r="A1791" s="408" t="s">
        <v>4775</v>
      </c>
      <c r="B1791" s="106" t="s">
        <v>327</v>
      </c>
      <c r="C1791" s="106" t="s">
        <v>473</v>
      </c>
      <c r="D1791" s="107" t="s">
        <v>4776</v>
      </c>
      <c r="E1791" s="109" t="s">
        <v>355</v>
      </c>
      <c r="F1791" s="109" t="s">
        <v>355</v>
      </c>
      <c r="G1791" s="55" t="s">
        <v>355</v>
      </c>
      <c r="H1791" s="108" t="s">
        <v>402</v>
      </c>
      <c r="I1791" s="111" t="s">
        <v>402</v>
      </c>
      <c r="J1791" s="111" t="s">
        <v>402</v>
      </c>
      <c r="K1791" s="106" t="s">
        <v>403</v>
      </c>
      <c r="L1791" s="55" t="s">
        <v>404</v>
      </c>
      <c r="M1791" s="55" t="s">
        <v>7634</v>
      </c>
    </row>
    <row r="1792" spans="1:13">
      <c r="A1792" s="408" t="s">
        <v>4777</v>
      </c>
      <c r="B1792" s="106" t="s">
        <v>327</v>
      </c>
      <c r="C1792" s="106" t="s">
        <v>473</v>
      </c>
      <c r="D1792" s="107" t="s">
        <v>4778</v>
      </c>
      <c r="E1792" s="107" t="s">
        <v>4779</v>
      </c>
      <c r="F1792" s="107" t="s">
        <v>4780</v>
      </c>
      <c r="G1792" s="114" t="s">
        <v>355</v>
      </c>
      <c r="H1792" s="108" t="s">
        <v>402</v>
      </c>
      <c r="I1792" s="111" t="s">
        <v>402</v>
      </c>
      <c r="J1792" s="111" t="s">
        <v>402</v>
      </c>
      <c r="K1792" s="106" t="s">
        <v>403</v>
      </c>
      <c r="L1792" s="55" t="s">
        <v>404</v>
      </c>
      <c r="M1792" s="55" t="s">
        <v>7634</v>
      </c>
    </row>
    <row r="1793" spans="1:13">
      <c r="A1793" s="403" t="s">
        <v>4781</v>
      </c>
      <c r="B1793" s="106" t="s">
        <v>327</v>
      </c>
      <c r="C1793" s="106" t="s">
        <v>473</v>
      </c>
      <c r="D1793" s="109" t="s">
        <v>4782</v>
      </c>
      <c r="E1793" s="109" t="s">
        <v>4783</v>
      </c>
      <c r="F1793" s="109" t="s">
        <v>4784</v>
      </c>
      <c r="G1793" s="117" t="s">
        <v>383</v>
      </c>
      <c r="H1793" s="115" t="s">
        <v>402</v>
      </c>
      <c r="I1793" s="111" t="s">
        <v>402</v>
      </c>
      <c r="J1793" s="111" t="s">
        <v>402</v>
      </c>
      <c r="K1793" s="115" t="s">
        <v>403</v>
      </c>
      <c r="L1793" s="55" t="s">
        <v>404</v>
      </c>
      <c r="M1793" s="113" t="s">
        <v>1173</v>
      </c>
    </row>
    <row r="1794" spans="1:13">
      <c r="A1794" s="408" t="s">
        <v>4785</v>
      </c>
      <c r="B1794" s="106" t="s">
        <v>327</v>
      </c>
      <c r="C1794" s="106" t="s">
        <v>473</v>
      </c>
      <c r="D1794" s="107" t="s">
        <v>4786</v>
      </c>
      <c r="E1794" s="109" t="s">
        <v>355</v>
      </c>
      <c r="F1794" s="109" t="s">
        <v>355</v>
      </c>
      <c r="G1794" s="55" t="s">
        <v>355</v>
      </c>
      <c r="H1794" s="108" t="s">
        <v>402</v>
      </c>
      <c r="I1794" s="111" t="s">
        <v>402</v>
      </c>
      <c r="J1794" s="111" t="s">
        <v>402</v>
      </c>
      <c r="K1794" s="106" t="s">
        <v>403</v>
      </c>
      <c r="L1794" s="55" t="s">
        <v>404</v>
      </c>
      <c r="M1794" s="55" t="s">
        <v>7634</v>
      </c>
    </row>
    <row r="1795" spans="1:13">
      <c r="A1795" s="408" t="s">
        <v>4787</v>
      </c>
      <c r="B1795" s="106" t="s">
        <v>327</v>
      </c>
      <c r="C1795" s="106" t="s">
        <v>473</v>
      </c>
      <c r="D1795" s="107" t="s">
        <v>4788</v>
      </c>
      <c r="E1795" s="109" t="s">
        <v>355</v>
      </c>
      <c r="F1795" s="109" t="s">
        <v>355</v>
      </c>
      <c r="G1795" s="55" t="s">
        <v>355</v>
      </c>
      <c r="H1795" s="108" t="s">
        <v>402</v>
      </c>
      <c r="I1795" s="111" t="s">
        <v>402</v>
      </c>
      <c r="J1795" s="111" t="s">
        <v>402</v>
      </c>
      <c r="K1795" s="106" t="s">
        <v>403</v>
      </c>
      <c r="L1795" s="55" t="s">
        <v>404</v>
      </c>
      <c r="M1795" s="55" t="s">
        <v>7634</v>
      </c>
    </row>
    <row r="1796" spans="1:13">
      <c r="A1796" s="408" t="s">
        <v>4789</v>
      </c>
      <c r="B1796" s="106" t="s">
        <v>327</v>
      </c>
      <c r="C1796" s="106" t="s">
        <v>473</v>
      </c>
      <c r="D1796" s="107" t="s">
        <v>4790</v>
      </c>
      <c r="E1796" s="109" t="s">
        <v>355</v>
      </c>
      <c r="F1796" s="109" t="s">
        <v>355</v>
      </c>
      <c r="G1796" s="55" t="s">
        <v>355</v>
      </c>
      <c r="H1796" s="108" t="s">
        <v>402</v>
      </c>
      <c r="I1796" s="111" t="s">
        <v>402</v>
      </c>
      <c r="J1796" s="111" t="s">
        <v>402</v>
      </c>
      <c r="K1796" s="106" t="s">
        <v>403</v>
      </c>
      <c r="L1796" s="55" t="s">
        <v>404</v>
      </c>
      <c r="M1796" s="55" t="s">
        <v>7634</v>
      </c>
    </row>
    <row r="1797" spans="1:13">
      <c r="A1797" s="408" t="s">
        <v>4791</v>
      </c>
      <c r="B1797" s="106" t="s">
        <v>327</v>
      </c>
      <c r="C1797" s="106" t="s">
        <v>473</v>
      </c>
      <c r="D1797" s="107" t="s">
        <v>4790</v>
      </c>
      <c r="E1797" s="109" t="s">
        <v>355</v>
      </c>
      <c r="F1797" s="109" t="s">
        <v>355</v>
      </c>
      <c r="G1797" s="55" t="s">
        <v>355</v>
      </c>
      <c r="H1797" s="108" t="s">
        <v>402</v>
      </c>
      <c r="I1797" s="111" t="s">
        <v>402</v>
      </c>
      <c r="J1797" s="111" t="s">
        <v>402</v>
      </c>
      <c r="K1797" s="106" t="s">
        <v>403</v>
      </c>
      <c r="L1797" s="55" t="s">
        <v>404</v>
      </c>
      <c r="M1797" s="55" t="s">
        <v>7634</v>
      </c>
    </row>
    <row r="1798" spans="1:13">
      <c r="A1798" s="408" t="s">
        <v>4792</v>
      </c>
      <c r="B1798" s="106" t="s">
        <v>327</v>
      </c>
      <c r="C1798" s="106" t="s">
        <v>473</v>
      </c>
      <c r="D1798" s="107" t="s">
        <v>4793</v>
      </c>
      <c r="E1798" s="109" t="s">
        <v>355</v>
      </c>
      <c r="F1798" s="109" t="s">
        <v>355</v>
      </c>
      <c r="G1798" s="55" t="s">
        <v>355</v>
      </c>
      <c r="H1798" s="108" t="s">
        <v>402</v>
      </c>
      <c r="I1798" s="111" t="s">
        <v>402</v>
      </c>
      <c r="J1798" s="111" t="s">
        <v>402</v>
      </c>
      <c r="K1798" s="106" t="s">
        <v>403</v>
      </c>
      <c r="L1798" s="55" t="s">
        <v>404</v>
      </c>
      <c r="M1798" s="55" t="s">
        <v>7634</v>
      </c>
    </row>
    <row r="1799" spans="1:13">
      <c r="A1799" s="408" t="s">
        <v>4794</v>
      </c>
      <c r="B1799" s="106" t="s">
        <v>327</v>
      </c>
      <c r="C1799" s="106" t="s">
        <v>473</v>
      </c>
      <c r="D1799" s="107" t="s">
        <v>4795</v>
      </c>
      <c r="E1799" s="109" t="s">
        <v>355</v>
      </c>
      <c r="F1799" s="109" t="s">
        <v>355</v>
      </c>
      <c r="G1799" s="55" t="s">
        <v>355</v>
      </c>
      <c r="H1799" s="108" t="s">
        <v>402</v>
      </c>
      <c r="I1799" s="111" t="s">
        <v>402</v>
      </c>
      <c r="J1799" s="111" t="s">
        <v>402</v>
      </c>
      <c r="K1799" s="106" t="s">
        <v>403</v>
      </c>
      <c r="L1799" s="55" t="s">
        <v>404</v>
      </c>
      <c r="M1799" s="55" t="s">
        <v>7634</v>
      </c>
    </row>
    <row r="1800" spans="1:13">
      <c r="A1800" s="408" t="s">
        <v>4796</v>
      </c>
      <c r="B1800" s="106" t="s">
        <v>327</v>
      </c>
      <c r="C1800" s="106" t="s">
        <v>473</v>
      </c>
      <c r="D1800" s="107" t="s">
        <v>4797</v>
      </c>
      <c r="E1800" s="109" t="s">
        <v>355</v>
      </c>
      <c r="F1800" s="109" t="s">
        <v>355</v>
      </c>
      <c r="G1800" s="55" t="s">
        <v>355</v>
      </c>
      <c r="H1800" s="108" t="s">
        <v>402</v>
      </c>
      <c r="I1800" s="111" t="s">
        <v>402</v>
      </c>
      <c r="J1800" s="111" t="s">
        <v>402</v>
      </c>
      <c r="K1800" s="106" t="s">
        <v>403</v>
      </c>
      <c r="L1800" s="55" t="s">
        <v>404</v>
      </c>
      <c r="M1800" s="55" t="s">
        <v>7634</v>
      </c>
    </row>
    <row r="1801" spans="1:13">
      <c r="A1801" s="408" t="s">
        <v>4798</v>
      </c>
      <c r="B1801" s="106" t="s">
        <v>327</v>
      </c>
      <c r="C1801" s="106" t="s">
        <v>473</v>
      </c>
      <c r="D1801" s="107" t="s">
        <v>4799</v>
      </c>
      <c r="E1801" s="109" t="s">
        <v>355</v>
      </c>
      <c r="F1801" s="109" t="s">
        <v>355</v>
      </c>
      <c r="G1801" s="55" t="s">
        <v>355</v>
      </c>
      <c r="H1801" s="108" t="s">
        <v>402</v>
      </c>
      <c r="I1801" s="111" t="s">
        <v>402</v>
      </c>
      <c r="J1801" s="111" t="s">
        <v>402</v>
      </c>
      <c r="K1801" s="106" t="s">
        <v>403</v>
      </c>
      <c r="L1801" s="55" t="s">
        <v>404</v>
      </c>
      <c r="M1801" s="55" t="s">
        <v>7634</v>
      </c>
    </row>
    <row r="1802" spans="1:13">
      <c r="A1802" s="408" t="s">
        <v>4800</v>
      </c>
      <c r="B1802" s="106" t="s">
        <v>327</v>
      </c>
      <c r="C1802" s="106" t="s">
        <v>473</v>
      </c>
      <c r="D1802" s="107" t="s">
        <v>4801</v>
      </c>
      <c r="E1802" s="109" t="s">
        <v>355</v>
      </c>
      <c r="F1802" s="109" t="s">
        <v>355</v>
      </c>
      <c r="G1802" s="55" t="s">
        <v>355</v>
      </c>
      <c r="H1802" s="108" t="s">
        <v>402</v>
      </c>
      <c r="I1802" s="111" t="s">
        <v>402</v>
      </c>
      <c r="J1802" s="111" t="s">
        <v>402</v>
      </c>
      <c r="K1802" s="106" t="s">
        <v>403</v>
      </c>
      <c r="L1802" s="55" t="s">
        <v>404</v>
      </c>
      <c r="M1802" s="55" t="s">
        <v>7634</v>
      </c>
    </row>
    <row r="1803" spans="1:13">
      <c r="A1803" s="408" t="s">
        <v>4802</v>
      </c>
      <c r="B1803" s="106" t="s">
        <v>327</v>
      </c>
      <c r="C1803" s="106" t="s">
        <v>473</v>
      </c>
      <c r="D1803" s="107" t="s">
        <v>4803</v>
      </c>
      <c r="E1803" s="109" t="s">
        <v>355</v>
      </c>
      <c r="F1803" s="109" t="s">
        <v>355</v>
      </c>
      <c r="G1803" s="55" t="s">
        <v>355</v>
      </c>
      <c r="H1803" s="108" t="s">
        <v>402</v>
      </c>
      <c r="I1803" s="111" t="s">
        <v>402</v>
      </c>
      <c r="J1803" s="111" t="s">
        <v>402</v>
      </c>
      <c r="K1803" s="106" t="s">
        <v>403</v>
      </c>
      <c r="L1803" s="55" t="s">
        <v>404</v>
      </c>
      <c r="M1803" s="55" t="s">
        <v>7634</v>
      </c>
    </row>
    <row r="1804" spans="1:13">
      <c r="A1804" s="408" t="s">
        <v>4804</v>
      </c>
      <c r="B1804" s="106" t="s">
        <v>327</v>
      </c>
      <c r="C1804" s="106" t="s">
        <v>473</v>
      </c>
      <c r="D1804" s="107" t="s">
        <v>4805</v>
      </c>
      <c r="E1804" s="109" t="s">
        <v>355</v>
      </c>
      <c r="F1804" s="109" t="s">
        <v>355</v>
      </c>
      <c r="G1804" s="55" t="s">
        <v>355</v>
      </c>
      <c r="H1804" s="108" t="s">
        <v>402</v>
      </c>
      <c r="I1804" s="111" t="s">
        <v>402</v>
      </c>
      <c r="J1804" s="111" t="s">
        <v>402</v>
      </c>
      <c r="K1804" s="106" t="s">
        <v>403</v>
      </c>
      <c r="L1804" s="55" t="s">
        <v>404</v>
      </c>
      <c r="M1804" s="55" t="s">
        <v>7634</v>
      </c>
    </row>
    <row r="1805" spans="1:13">
      <c r="A1805" s="408" t="s">
        <v>4806</v>
      </c>
      <c r="B1805" s="106" t="s">
        <v>327</v>
      </c>
      <c r="C1805" s="106" t="s">
        <v>473</v>
      </c>
      <c r="D1805" s="107" t="s">
        <v>4807</v>
      </c>
      <c r="E1805" s="109" t="s">
        <v>355</v>
      </c>
      <c r="F1805" s="109" t="s">
        <v>355</v>
      </c>
      <c r="G1805" s="55" t="s">
        <v>355</v>
      </c>
      <c r="H1805" s="108" t="s">
        <v>402</v>
      </c>
      <c r="I1805" s="111" t="s">
        <v>402</v>
      </c>
      <c r="J1805" s="111" t="s">
        <v>402</v>
      </c>
      <c r="K1805" s="106" t="s">
        <v>403</v>
      </c>
      <c r="L1805" s="55" t="s">
        <v>404</v>
      </c>
      <c r="M1805" s="55" t="s">
        <v>7634</v>
      </c>
    </row>
    <row r="1806" spans="1:13">
      <c r="A1806" s="408" t="s">
        <v>4808</v>
      </c>
      <c r="B1806" s="106" t="s">
        <v>327</v>
      </c>
      <c r="C1806" s="106" t="s">
        <v>473</v>
      </c>
      <c r="D1806" s="107" t="s">
        <v>4805</v>
      </c>
      <c r="E1806" s="109" t="s">
        <v>355</v>
      </c>
      <c r="F1806" s="109" t="s">
        <v>355</v>
      </c>
      <c r="G1806" s="55" t="s">
        <v>355</v>
      </c>
      <c r="H1806" s="108" t="s">
        <v>402</v>
      </c>
      <c r="I1806" s="111" t="s">
        <v>402</v>
      </c>
      <c r="J1806" s="111" t="s">
        <v>402</v>
      </c>
      <c r="K1806" s="106" t="s">
        <v>403</v>
      </c>
      <c r="L1806" s="55" t="s">
        <v>404</v>
      </c>
      <c r="M1806" s="55" t="s">
        <v>7634</v>
      </c>
    </row>
    <row r="1807" spans="1:13">
      <c r="A1807" s="408" t="s">
        <v>4809</v>
      </c>
      <c r="B1807" s="106" t="s">
        <v>327</v>
      </c>
      <c r="C1807" s="106" t="s">
        <v>473</v>
      </c>
      <c r="D1807" s="107" t="s">
        <v>4810</v>
      </c>
      <c r="E1807" s="109" t="s">
        <v>355</v>
      </c>
      <c r="F1807" s="109" t="s">
        <v>355</v>
      </c>
      <c r="G1807" s="55" t="s">
        <v>355</v>
      </c>
      <c r="H1807" s="108" t="s">
        <v>402</v>
      </c>
      <c r="I1807" s="111" t="s">
        <v>402</v>
      </c>
      <c r="J1807" s="111" t="s">
        <v>402</v>
      </c>
      <c r="K1807" s="106" t="s">
        <v>403</v>
      </c>
      <c r="L1807" s="55" t="s">
        <v>404</v>
      </c>
      <c r="M1807" s="55" t="s">
        <v>7634</v>
      </c>
    </row>
    <row r="1808" spans="1:13">
      <c r="A1808" s="401" t="s">
        <v>4811</v>
      </c>
      <c r="B1808" s="106" t="s">
        <v>327</v>
      </c>
      <c r="C1808" s="106" t="s">
        <v>473</v>
      </c>
      <c r="D1808" s="107" t="s">
        <v>4812</v>
      </c>
      <c r="E1808" s="107" t="s">
        <v>4813</v>
      </c>
      <c r="F1808" s="107" t="s">
        <v>4814</v>
      </c>
      <c r="G1808" s="114" t="s">
        <v>355</v>
      </c>
      <c r="H1808" s="115" t="s">
        <v>402</v>
      </c>
      <c r="I1808" s="111" t="s">
        <v>402</v>
      </c>
      <c r="J1808" s="111" t="s">
        <v>402</v>
      </c>
      <c r="K1808" s="106" t="s">
        <v>403</v>
      </c>
      <c r="L1808" s="55" t="s">
        <v>404</v>
      </c>
      <c r="M1808" s="113" t="s">
        <v>1173</v>
      </c>
    </row>
    <row r="1809" spans="1:13">
      <c r="A1809" s="408" t="s">
        <v>4815</v>
      </c>
      <c r="B1809" s="106" t="s">
        <v>327</v>
      </c>
      <c r="C1809" s="106" t="s">
        <v>473</v>
      </c>
      <c r="D1809" s="107" t="s">
        <v>3869</v>
      </c>
      <c r="E1809" s="109" t="s">
        <v>355</v>
      </c>
      <c r="F1809" s="109" t="s">
        <v>355</v>
      </c>
      <c r="G1809" s="55" t="s">
        <v>355</v>
      </c>
      <c r="H1809" s="108" t="s">
        <v>402</v>
      </c>
      <c r="I1809" s="111" t="s">
        <v>402</v>
      </c>
      <c r="J1809" s="111" t="s">
        <v>402</v>
      </c>
      <c r="K1809" s="106" t="s">
        <v>403</v>
      </c>
      <c r="L1809" s="55" t="s">
        <v>404</v>
      </c>
      <c r="M1809" s="55" t="s">
        <v>7634</v>
      </c>
    </row>
    <row r="1810" spans="1:13">
      <c r="A1810" s="408" t="s">
        <v>4816</v>
      </c>
      <c r="B1810" s="106" t="s">
        <v>327</v>
      </c>
      <c r="C1810" s="106" t="s">
        <v>473</v>
      </c>
      <c r="D1810" s="107" t="s">
        <v>4817</v>
      </c>
      <c r="E1810" s="109" t="s">
        <v>355</v>
      </c>
      <c r="F1810" s="109" t="s">
        <v>355</v>
      </c>
      <c r="G1810" s="55" t="s">
        <v>355</v>
      </c>
      <c r="H1810" s="108" t="s">
        <v>402</v>
      </c>
      <c r="I1810" s="111" t="s">
        <v>402</v>
      </c>
      <c r="J1810" s="111" t="s">
        <v>402</v>
      </c>
      <c r="K1810" s="106" t="s">
        <v>403</v>
      </c>
      <c r="L1810" s="55" t="s">
        <v>404</v>
      </c>
      <c r="M1810" s="55" t="s">
        <v>7634</v>
      </c>
    </row>
    <row r="1811" spans="1:13">
      <c r="A1811" s="408" t="s">
        <v>4818</v>
      </c>
      <c r="B1811" s="106" t="s">
        <v>327</v>
      </c>
      <c r="C1811" s="106" t="s">
        <v>473</v>
      </c>
      <c r="D1811" s="107" t="s">
        <v>4817</v>
      </c>
      <c r="E1811" s="109" t="s">
        <v>355</v>
      </c>
      <c r="F1811" s="109" t="s">
        <v>355</v>
      </c>
      <c r="G1811" s="55" t="s">
        <v>355</v>
      </c>
      <c r="H1811" s="108" t="s">
        <v>402</v>
      </c>
      <c r="I1811" s="111" t="s">
        <v>402</v>
      </c>
      <c r="J1811" s="111" t="s">
        <v>402</v>
      </c>
      <c r="K1811" s="106" t="s">
        <v>403</v>
      </c>
      <c r="L1811" s="55" t="s">
        <v>404</v>
      </c>
      <c r="M1811" s="55" t="s">
        <v>7634</v>
      </c>
    </row>
    <row r="1812" spans="1:13">
      <c r="A1812" s="408" t="s">
        <v>4819</v>
      </c>
      <c r="B1812" s="106" t="s">
        <v>327</v>
      </c>
      <c r="C1812" s="106" t="s">
        <v>473</v>
      </c>
      <c r="D1812" s="107" t="s">
        <v>4820</v>
      </c>
      <c r="E1812" s="109" t="s">
        <v>355</v>
      </c>
      <c r="F1812" s="109" t="s">
        <v>355</v>
      </c>
      <c r="G1812" s="55" t="s">
        <v>355</v>
      </c>
      <c r="H1812" s="108" t="s">
        <v>402</v>
      </c>
      <c r="I1812" s="111" t="s">
        <v>402</v>
      </c>
      <c r="J1812" s="111" t="s">
        <v>402</v>
      </c>
      <c r="K1812" s="106" t="s">
        <v>403</v>
      </c>
      <c r="L1812" s="55" t="s">
        <v>404</v>
      </c>
      <c r="M1812" s="55" t="s">
        <v>7634</v>
      </c>
    </row>
    <row r="1813" spans="1:13">
      <c r="A1813" s="408" t="s">
        <v>4821</v>
      </c>
      <c r="B1813" s="106" t="s">
        <v>327</v>
      </c>
      <c r="C1813" s="106" t="s">
        <v>473</v>
      </c>
      <c r="D1813" s="107" t="s">
        <v>4820</v>
      </c>
      <c r="E1813" s="109" t="s">
        <v>355</v>
      </c>
      <c r="F1813" s="109" t="s">
        <v>355</v>
      </c>
      <c r="G1813" s="55" t="s">
        <v>355</v>
      </c>
      <c r="H1813" s="108" t="s">
        <v>402</v>
      </c>
      <c r="I1813" s="111" t="s">
        <v>402</v>
      </c>
      <c r="J1813" s="111" t="s">
        <v>402</v>
      </c>
      <c r="K1813" s="106" t="s">
        <v>403</v>
      </c>
      <c r="L1813" s="55" t="s">
        <v>404</v>
      </c>
      <c r="M1813" s="55" t="s">
        <v>7634</v>
      </c>
    </row>
    <row r="1814" spans="1:13">
      <c r="A1814" s="408" t="s">
        <v>4822</v>
      </c>
      <c r="B1814" s="106" t="s">
        <v>327</v>
      </c>
      <c r="C1814" s="106" t="s">
        <v>473</v>
      </c>
      <c r="D1814" s="107" t="s">
        <v>4823</v>
      </c>
      <c r="E1814" s="109" t="s">
        <v>355</v>
      </c>
      <c r="F1814" s="109" t="s">
        <v>355</v>
      </c>
      <c r="G1814" s="55" t="s">
        <v>355</v>
      </c>
      <c r="H1814" s="108" t="s">
        <v>402</v>
      </c>
      <c r="I1814" s="111" t="s">
        <v>402</v>
      </c>
      <c r="J1814" s="111" t="s">
        <v>402</v>
      </c>
      <c r="K1814" s="106" t="s">
        <v>403</v>
      </c>
      <c r="L1814" s="55" t="s">
        <v>404</v>
      </c>
      <c r="M1814" s="55" t="s">
        <v>7634</v>
      </c>
    </row>
    <row r="1815" spans="1:13">
      <c r="A1815" s="408" t="s">
        <v>4824</v>
      </c>
      <c r="B1815" s="106" t="s">
        <v>327</v>
      </c>
      <c r="C1815" s="106" t="s">
        <v>473</v>
      </c>
      <c r="D1815" s="107" t="s">
        <v>4825</v>
      </c>
      <c r="E1815" s="109" t="s">
        <v>355</v>
      </c>
      <c r="F1815" s="109" t="s">
        <v>355</v>
      </c>
      <c r="G1815" s="55" t="s">
        <v>355</v>
      </c>
      <c r="H1815" s="108" t="s">
        <v>402</v>
      </c>
      <c r="I1815" s="111" t="s">
        <v>402</v>
      </c>
      <c r="J1815" s="111" t="s">
        <v>402</v>
      </c>
      <c r="K1815" s="106" t="s">
        <v>403</v>
      </c>
      <c r="L1815" s="55" t="s">
        <v>404</v>
      </c>
      <c r="M1815" s="55" t="s">
        <v>7634</v>
      </c>
    </row>
    <row r="1816" spans="1:13">
      <c r="A1816" s="408" t="s">
        <v>4826</v>
      </c>
      <c r="B1816" s="106" t="s">
        <v>327</v>
      </c>
      <c r="C1816" s="106" t="s">
        <v>473</v>
      </c>
      <c r="D1816" s="107" t="s">
        <v>4827</v>
      </c>
      <c r="E1816" s="109" t="s">
        <v>355</v>
      </c>
      <c r="F1816" s="109" t="s">
        <v>355</v>
      </c>
      <c r="G1816" s="55" t="s">
        <v>355</v>
      </c>
      <c r="H1816" s="108" t="s">
        <v>402</v>
      </c>
      <c r="I1816" s="111" t="s">
        <v>402</v>
      </c>
      <c r="J1816" s="111" t="s">
        <v>402</v>
      </c>
      <c r="K1816" s="106" t="s">
        <v>403</v>
      </c>
      <c r="L1816" s="55" t="s">
        <v>404</v>
      </c>
      <c r="M1816" s="55" t="s">
        <v>7634</v>
      </c>
    </row>
    <row r="1817" spans="1:13">
      <c r="A1817" s="408" t="s">
        <v>4828</v>
      </c>
      <c r="B1817" s="106" t="s">
        <v>327</v>
      </c>
      <c r="C1817" s="106" t="s">
        <v>473</v>
      </c>
      <c r="D1817" s="107" t="s">
        <v>4829</v>
      </c>
      <c r="E1817" s="109" t="s">
        <v>355</v>
      </c>
      <c r="F1817" s="109" t="s">
        <v>355</v>
      </c>
      <c r="G1817" s="55" t="s">
        <v>355</v>
      </c>
      <c r="H1817" s="108" t="s">
        <v>402</v>
      </c>
      <c r="I1817" s="111" t="s">
        <v>402</v>
      </c>
      <c r="J1817" s="111" t="s">
        <v>402</v>
      </c>
      <c r="K1817" s="106" t="s">
        <v>403</v>
      </c>
      <c r="L1817" s="55" t="s">
        <v>404</v>
      </c>
      <c r="M1817" s="55" t="s">
        <v>7634</v>
      </c>
    </row>
    <row r="1818" spans="1:13">
      <c r="A1818" s="408" t="s">
        <v>4830</v>
      </c>
      <c r="B1818" s="106" t="s">
        <v>327</v>
      </c>
      <c r="C1818" s="106" t="s">
        <v>473</v>
      </c>
      <c r="D1818" s="107" t="s">
        <v>4831</v>
      </c>
      <c r="E1818" s="109" t="s">
        <v>355</v>
      </c>
      <c r="F1818" s="109" t="s">
        <v>355</v>
      </c>
      <c r="G1818" s="55" t="s">
        <v>355</v>
      </c>
      <c r="H1818" s="108" t="s">
        <v>402</v>
      </c>
      <c r="I1818" s="111" t="s">
        <v>402</v>
      </c>
      <c r="J1818" s="111" t="s">
        <v>402</v>
      </c>
      <c r="K1818" s="106" t="s">
        <v>403</v>
      </c>
      <c r="L1818" s="55" t="s">
        <v>404</v>
      </c>
      <c r="M1818" s="55" t="s">
        <v>7634</v>
      </c>
    </row>
    <row r="1819" spans="1:13">
      <c r="A1819" s="578" t="s">
        <v>4832</v>
      </c>
      <c r="B1819" s="586" t="s">
        <v>373</v>
      </c>
      <c r="C1819" s="586" t="s">
        <v>473</v>
      </c>
      <c r="D1819" s="586" t="s">
        <v>4833</v>
      </c>
      <c r="E1819" s="586" t="s">
        <v>4834</v>
      </c>
      <c r="F1819" s="586" t="s">
        <v>4835</v>
      </c>
      <c r="G1819" s="586"/>
      <c r="H1819" s="586" t="s">
        <v>359</v>
      </c>
      <c r="I1819" s="587" t="s">
        <v>359</v>
      </c>
      <c r="J1819" s="586"/>
      <c r="K1819" s="586" t="s">
        <v>360</v>
      </c>
      <c r="L1819" s="586" t="s">
        <v>361</v>
      </c>
      <c r="M1819" s="55" t="s">
        <v>7634</v>
      </c>
    </row>
    <row r="1820" spans="1:13">
      <c r="A1820" s="401" t="s">
        <v>4836</v>
      </c>
      <c r="B1820" s="106" t="s">
        <v>327</v>
      </c>
      <c r="C1820" s="106" t="s">
        <v>473</v>
      </c>
      <c r="D1820" s="109" t="s">
        <v>4837</v>
      </c>
      <c r="E1820" s="109" t="s">
        <v>4838</v>
      </c>
      <c r="F1820" s="110" t="s">
        <v>4839</v>
      </c>
      <c r="G1820" s="112" t="s">
        <v>4840</v>
      </c>
      <c r="H1820" s="115" t="s">
        <v>402</v>
      </c>
      <c r="I1820" s="111" t="s">
        <v>402</v>
      </c>
      <c r="J1820" s="111" t="s">
        <v>402</v>
      </c>
      <c r="K1820" s="106" t="s">
        <v>403</v>
      </c>
      <c r="L1820" s="55" t="s">
        <v>404</v>
      </c>
      <c r="M1820" s="55" t="s">
        <v>383</v>
      </c>
    </row>
    <row r="1821" spans="1:13">
      <c r="A1821" s="408" t="s">
        <v>4841</v>
      </c>
      <c r="B1821" s="106" t="s">
        <v>327</v>
      </c>
      <c r="C1821" s="106" t="s">
        <v>473</v>
      </c>
      <c r="D1821" s="107" t="s">
        <v>4842</v>
      </c>
      <c r="E1821" s="109" t="s">
        <v>355</v>
      </c>
      <c r="F1821" s="109" t="s">
        <v>355</v>
      </c>
      <c r="G1821" s="55" t="s">
        <v>355</v>
      </c>
      <c r="H1821" s="108" t="s">
        <v>402</v>
      </c>
      <c r="I1821" s="111" t="s">
        <v>402</v>
      </c>
      <c r="J1821" s="111" t="s">
        <v>402</v>
      </c>
      <c r="K1821" s="106" t="s">
        <v>403</v>
      </c>
      <c r="L1821" s="55" t="s">
        <v>404</v>
      </c>
      <c r="M1821" s="55" t="s">
        <v>7634</v>
      </c>
    </row>
    <row r="1822" spans="1:13">
      <c r="A1822" s="401" t="s">
        <v>4843</v>
      </c>
      <c r="B1822" s="106" t="s">
        <v>327</v>
      </c>
      <c r="C1822" s="106" t="s">
        <v>473</v>
      </c>
      <c r="D1822" s="109" t="s">
        <v>383</v>
      </c>
      <c r="E1822" s="109" t="s">
        <v>383</v>
      </c>
      <c r="F1822" s="110" t="s">
        <v>4844</v>
      </c>
      <c r="G1822" s="112" t="s">
        <v>4845</v>
      </c>
      <c r="H1822" s="115" t="s">
        <v>402</v>
      </c>
      <c r="I1822" s="111" t="s">
        <v>402</v>
      </c>
      <c r="J1822" s="111" t="s">
        <v>402</v>
      </c>
      <c r="K1822" s="108" t="s">
        <v>592</v>
      </c>
      <c r="L1822" s="55" t="s">
        <v>404</v>
      </c>
      <c r="M1822" s="55" t="s">
        <v>383</v>
      </c>
    </row>
    <row r="1823" spans="1:13">
      <c r="A1823" s="408" t="s">
        <v>4846</v>
      </c>
      <c r="B1823" s="106" t="s">
        <v>327</v>
      </c>
      <c r="C1823" s="106" t="s">
        <v>473</v>
      </c>
      <c r="D1823" s="107" t="s">
        <v>2441</v>
      </c>
      <c r="E1823" s="109" t="s">
        <v>355</v>
      </c>
      <c r="F1823" s="109" t="s">
        <v>355</v>
      </c>
      <c r="G1823" s="55" t="s">
        <v>355</v>
      </c>
      <c r="H1823" s="108" t="s">
        <v>402</v>
      </c>
      <c r="I1823" s="111" t="s">
        <v>402</v>
      </c>
      <c r="J1823" s="111" t="s">
        <v>402</v>
      </c>
      <c r="K1823" s="106" t="s">
        <v>403</v>
      </c>
      <c r="L1823" s="55" t="s">
        <v>404</v>
      </c>
      <c r="M1823" s="55" t="s">
        <v>7634</v>
      </c>
    </row>
    <row r="1824" spans="1:13">
      <c r="A1824" s="401" t="s">
        <v>6960</v>
      </c>
      <c r="B1824" s="106" t="s">
        <v>327</v>
      </c>
      <c r="C1824" s="106" t="s">
        <v>473</v>
      </c>
      <c r="D1824" s="107" t="s">
        <v>6961</v>
      </c>
      <c r="E1824" s="107" t="s">
        <v>6962</v>
      </c>
      <c r="F1824" s="107" t="s">
        <v>6963</v>
      </c>
      <c r="G1824" s="589" t="s">
        <v>6964</v>
      </c>
      <c r="H1824" s="108" t="s">
        <v>402</v>
      </c>
      <c r="I1824" s="111" t="s">
        <v>402</v>
      </c>
      <c r="J1824" s="111" t="s">
        <v>402</v>
      </c>
      <c r="K1824" s="106" t="s">
        <v>403</v>
      </c>
      <c r="L1824" s="55" t="s">
        <v>404</v>
      </c>
      <c r="M1824" s="55" t="s">
        <v>7634</v>
      </c>
    </row>
    <row r="1825" spans="1:13">
      <c r="A1825" s="408" t="s">
        <v>4847</v>
      </c>
      <c r="B1825" s="106" t="s">
        <v>327</v>
      </c>
      <c r="C1825" s="106" t="s">
        <v>473</v>
      </c>
      <c r="D1825" s="107" t="s">
        <v>4848</v>
      </c>
      <c r="E1825" s="109" t="s">
        <v>355</v>
      </c>
      <c r="F1825" s="109" t="s">
        <v>355</v>
      </c>
      <c r="G1825" s="55" t="s">
        <v>355</v>
      </c>
      <c r="H1825" s="108" t="s">
        <v>402</v>
      </c>
      <c r="I1825" s="111" t="s">
        <v>402</v>
      </c>
      <c r="J1825" s="111" t="s">
        <v>402</v>
      </c>
      <c r="K1825" s="106" t="s">
        <v>403</v>
      </c>
      <c r="L1825" s="55" t="s">
        <v>404</v>
      </c>
      <c r="M1825" s="55" t="s">
        <v>7634</v>
      </c>
    </row>
    <row r="1826" spans="1:13">
      <c r="A1826" s="408" t="s">
        <v>4849</v>
      </c>
      <c r="B1826" s="106" t="s">
        <v>327</v>
      </c>
      <c r="C1826" s="106" t="s">
        <v>473</v>
      </c>
      <c r="D1826" s="107" t="s">
        <v>4850</v>
      </c>
      <c r="E1826" s="109" t="s">
        <v>355</v>
      </c>
      <c r="F1826" s="109" t="s">
        <v>355</v>
      </c>
      <c r="G1826" s="55" t="s">
        <v>355</v>
      </c>
      <c r="H1826" s="108" t="s">
        <v>402</v>
      </c>
      <c r="I1826" s="111" t="s">
        <v>402</v>
      </c>
      <c r="J1826" s="111" t="s">
        <v>402</v>
      </c>
      <c r="K1826" s="106" t="s">
        <v>403</v>
      </c>
      <c r="L1826" s="55" t="s">
        <v>404</v>
      </c>
      <c r="M1826" s="55" t="s">
        <v>7634</v>
      </c>
    </row>
    <row r="1827" spans="1:13">
      <c r="A1827" s="578" t="s">
        <v>4851</v>
      </c>
      <c r="B1827" s="586" t="s">
        <v>2504</v>
      </c>
      <c r="C1827" s="586" t="s">
        <v>473</v>
      </c>
      <c r="D1827" s="586" t="s">
        <v>4852</v>
      </c>
      <c r="E1827" s="586" t="s">
        <v>377</v>
      </c>
      <c r="F1827" s="586" t="s">
        <v>4853</v>
      </c>
      <c r="G1827" s="586" t="s">
        <v>377</v>
      </c>
      <c r="H1827" s="586" t="s">
        <v>359</v>
      </c>
      <c r="I1827" s="587" t="s">
        <v>359</v>
      </c>
      <c r="J1827" s="586"/>
      <c r="K1827" s="586" t="s">
        <v>360</v>
      </c>
      <c r="L1827" s="586" t="s">
        <v>361</v>
      </c>
      <c r="M1827" s="55" t="s">
        <v>7634</v>
      </c>
    </row>
    <row r="1828" spans="1:13">
      <c r="A1828" s="408" t="s">
        <v>4854</v>
      </c>
      <c r="B1828" s="106" t="s">
        <v>327</v>
      </c>
      <c r="C1828" s="106" t="s">
        <v>473</v>
      </c>
      <c r="D1828" s="107" t="s">
        <v>4855</v>
      </c>
      <c r="E1828" s="109" t="s">
        <v>355</v>
      </c>
      <c r="F1828" s="109" t="s">
        <v>355</v>
      </c>
      <c r="G1828" s="55" t="s">
        <v>355</v>
      </c>
      <c r="H1828" s="108" t="s">
        <v>402</v>
      </c>
      <c r="I1828" s="111" t="s">
        <v>402</v>
      </c>
      <c r="J1828" s="111" t="s">
        <v>402</v>
      </c>
      <c r="K1828" s="106" t="s">
        <v>403</v>
      </c>
      <c r="L1828" s="55" t="s">
        <v>404</v>
      </c>
      <c r="M1828" s="55" t="s">
        <v>7634</v>
      </c>
    </row>
    <row r="1829" spans="1:13">
      <c r="A1829" s="408" t="s">
        <v>4856</v>
      </c>
      <c r="B1829" s="106" t="s">
        <v>327</v>
      </c>
      <c r="C1829" s="106" t="s">
        <v>473</v>
      </c>
      <c r="D1829" s="107" t="s">
        <v>4857</v>
      </c>
      <c r="E1829" s="109" t="s">
        <v>355</v>
      </c>
      <c r="F1829" s="109" t="s">
        <v>355</v>
      </c>
      <c r="G1829" s="55" t="s">
        <v>355</v>
      </c>
      <c r="H1829" s="108" t="s">
        <v>402</v>
      </c>
      <c r="I1829" s="111" t="s">
        <v>402</v>
      </c>
      <c r="J1829" s="111" t="s">
        <v>402</v>
      </c>
      <c r="K1829" s="106" t="s">
        <v>403</v>
      </c>
      <c r="L1829" s="55" t="s">
        <v>404</v>
      </c>
      <c r="M1829" s="55" t="s">
        <v>7634</v>
      </c>
    </row>
    <row r="1830" spans="1:13">
      <c r="A1830" s="408" t="s">
        <v>4858</v>
      </c>
      <c r="B1830" s="106" t="s">
        <v>327</v>
      </c>
      <c r="C1830" s="106" t="s">
        <v>473</v>
      </c>
      <c r="D1830" s="107" t="s">
        <v>4859</v>
      </c>
      <c r="E1830" s="109" t="s">
        <v>355</v>
      </c>
      <c r="F1830" s="109" t="s">
        <v>355</v>
      </c>
      <c r="G1830" s="55" t="s">
        <v>355</v>
      </c>
      <c r="H1830" s="108" t="s">
        <v>402</v>
      </c>
      <c r="I1830" s="111" t="s">
        <v>402</v>
      </c>
      <c r="J1830" s="111" t="s">
        <v>402</v>
      </c>
      <c r="K1830" s="106" t="s">
        <v>403</v>
      </c>
      <c r="L1830" s="55" t="s">
        <v>404</v>
      </c>
      <c r="M1830" s="55" t="s">
        <v>7634</v>
      </c>
    </row>
    <row r="1831" spans="1:13">
      <c r="A1831" s="408" t="s">
        <v>4860</v>
      </c>
      <c r="B1831" s="106" t="s">
        <v>327</v>
      </c>
      <c r="C1831" s="106" t="s">
        <v>473</v>
      </c>
      <c r="D1831" s="107" t="s">
        <v>4861</v>
      </c>
      <c r="E1831" s="109" t="s">
        <v>355</v>
      </c>
      <c r="F1831" s="109" t="s">
        <v>355</v>
      </c>
      <c r="G1831" s="55" t="s">
        <v>355</v>
      </c>
      <c r="H1831" s="108" t="s">
        <v>402</v>
      </c>
      <c r="I1831" s="111" t="s">
        <v>402</v>
      </c>
      <c r="J1831" s="111" t="s">
        <v>402</v>
      </c>
      <c r="K1831" s="106" t="s">
        <v>403</v>
      </c>
      <c r="L1831" s="55" t="s">
        <v>404</v>
      </c>
      <c r="M1831" s="55" t="s">
        <v>7634</v>
      </c>
    </row>
    <row r="1832" spans="1:13">
      <c r="A1832" s="408" t="s">
        <v>4862</v>
      </c>
      <c r="B1832" s="106" t="s">
        <v>327</v>
      </c>
      <c r="C1832" s="106" t="s">
        <v>473</v>
      </c>
      <c r="D1832" s="107" t="s">
        <v>4863</v>
      </c>
      <c r="E1832" s="109" t="s">
        <v>355</v>
      </c>
      <c r="F1832" s="109" t="s">
        <v>355</v>
      </c>
      <c r="G1832" s="55" t="s">
        <v>355</v>
      </c>
      <c r="H1832" s="108" t="s">
        <v>402</v>
      </c>
      <c r="I1832" s="111" t="s">
        <v>402</v>
      </c>
      <c r="J1832" s="111" t="s">
        <v>402</v>
      </c>
      <c r="K1832" s="106" t="s">
        <v>403</v>
      </c>
      <c r="L1832" s="55" t="s">
        <v>404</v>
      </c>
      <c r="M1832" s="55" t="s">
        <v>7634</v>
      </c>
    </row>
    <row r="1833" spans="1:13">
      <c r="A1833" s="408" t="s">
        <v>4864</v>
      </c>
      <c r="B1833" s="106" t="s">
        <v>327</v>
      </c>
      <c r="C1833" s="106" t="s">
        <v>473</v>
      </c>
      <c r="D1833" s="107" t="s">
        <v>4865</v>
      </c>
      <c r="E1833" s="109" t="s">
        <v>355</v>
      </c>
      <c r="F1833" s="109" t="s">
        <v>355</v>
      </c>
      <c r="G1833" s="55" t="s">
        <v>355</v>
      </c>
      <c r="H1833" s="108" t="s">
        <v>402</v>
      </c>
      <c r="I1833" s="111" t="s">
        <v>402</v>
      </c>
      <c r="J1833" s="111" t="s">
        <v>402</v>
      </c>
      <c r="K1833" s="106" t="s">
        <v>403</v>
      </c>
      <c r="L1833" s="55" t="s">
        <v>404</v>
      </c>
      <c r="M1833" s="55" t="s">
        <v>7634</v>
      </c>
    </row>
    <row r="1834" spans="1:13">
      <c r="A1834" s="401" t="s">
        <v>4866</v>
      </c>
      <c r="B1834" s="106" t="s">
        <v>1059</v>
      </c>
      <c r="C1834" s="106" t="s">
        <v>473</v>
      </c>
      <c r="D1834" s="109" t="s">
        <v>4867</v>
      </c>
      <c r="E1834" s="109" t="s">
        <v>4868</v>
      </c>
      <c r="F1834" s="109" t="s">
        <v>4869</v>
      </c>
      <c r="G1834" s="590" t="s">
        <v>4870</v>
      </c>
      <c r="H1834" s="115" t="s">
        <v>402</v>
      </c>
      <c r="I1834" s="111" t="s">
        <v>402</v>
      </c>
      <c r="J1834" s="111" t="s">
        <v>402</v>
      </c>
      <c r="K1834" s="106" t="s">
        <v>403</v>
      </c>
      <c r="L1834" s="55" t="s">
        <v>404</v>
      </c>
      <c r="M1834" s="55" t="s">
        <v>383</v>
      </c>
    </row>
    <row r="1835" spans="1:13">
      <c r="A1835" s="408" t="s">
        <v>4871</v>
      </c>
      <c r="B1835" s="106" t="s">
        <v>327</v>
      </c>
      <c r="C1835" s="106" t="s">
        <v>473</v>
      </c>
      <c r="D1835" s="107" t="s">
        <v>4872</v>
      </c>
      <c r="E1835" s="109" t="s">
        <v>355</v>
      </c>
      <c r="F1835" s="109" t="s">
        <v>355</v>
      </c>
      <c r="G1835" s="55" t="s">
        <v>355</v>
      </c>
      <c r="H1835" s="108" t="s">
        <v>402</v>
      </c>
      <c r="I1835" s="111" t="s">
        <v>402</v>
      </c>
      <c r="J1835" s="111" t="s">
        <v>402</v>
      </c>
      <c r="K1835" s="106" t="s">
        <v>403</v>
      </c>
      <c r="L1835" s="55" t="s">
        <v>404</v>
      </c>
      <c r="M1835" s="55" t="s">
        <v>7634</v>
      </c>
    </row>
    <row r="1836" spans="1:13">
      <c r="A1836" s="408" t="s">
        <v>4873</v>
      </c>
      <c r="B1836" s="106" t="s">
        <v>327</v>
      </c>
      <c r="C1836" s="106" t="s">
        <v>473</v>
      </c>
      <c r="D1836" s="107" t="s">
        <v>4872</v>
      </c>
      <c r="E1836" s="109" t="s">
        <v>355</v>
      </c>
      <c r="F1836" s="109" t="s">
        <v>355</v>
      </c>
      <c r="G1836" s="55" t="s">
        <v>355</v>
      </c>
      <c r="H1836" s="108" t="s">
        <v>402</v>
      </c>
      <c r="I1836" s="111" t="s">
        <v>402</v>
      </c>
      <c r="J1836" s="111" t="s">
        <v>402</v>
      </c>
      <c r="K1836" s="106" t="s">
        <v>403</v>
      </c>
      <c r="L1836" s="55" t="s">
        <v>404</v>
      </c>
      <c r="M1836" s="55" t="s">
        <v>7634</v>
      </c>
    </row>
    <row r="1837" spans="1:13">
      <c r="A1837" s="408" t="s">
        <v>4874</v>
      </c>
      <c r="B1837" s="106" t="s">
        <v>327</v>
      </c>
      <c r="C1837" s="106" t="s">
        <v>473</v>
      </c>
      <c r="D1837" s="107" t="s">
        <v>4872</v>
      </c>
      <c r="E1837" s="109" t="s">
        <v>355</v>
      </c>
      <c r="F1837" s="109" t="s">
        <v>355</v>
      </c>
      <c r="G1837" s="55" t="s">
        <v>355</v>
      </c>
      <c r="H1837" s="108" t="s">
        <v>402</v>
      </c>
      <c r="I1837" s="111" t="s">
        <v>402</v>
      </c>
      <c r="J1837" s="111" t="s">
        <v>402</v>
      </c>
      <c r="K1837" s="106" t="s">
        <v>403</v>
      </c>
      <c r="L1837" s="55" t="s">
        <v>404</v>
      </c>
      <c r="M1837" s="55" t="s">
        <v>7634</v>
      </c>
    </row>
    <row r="1838" spans="1:13">
      <c r="A1838" s="401" t="s">
        <v>4875</v>
      </c>
      <c r="B1838" s="106" t="s">
        <v>327</v>
      </c>
      <c r="C1838" s="106" t="s">
        <v>473</v>
      </c>
      <c r="D1838" s="109" t="s">
        <v>4876</v>
      </c>
      <c r="E1838" s="109" t="s">
        <v>4877</v>
      </c>
      <c r="F1838" s="109" t="s">
        <v>4878</v>
      </c>
      <c r="G1838" s="112" t="s">
        <v>4879</v>
      </c>
      <c r="H1838" s="115" t="s">
        <v>402</v>
      </c>
      <c r="I1838" s="111" t="s">
        <v>402</v>
      </c>
      <c r="J1838" s="111" t="s">
        <v>402</v>
      </c>
      <c r="K1838" s="106" t="s">
        <v>403</v>
      </c>
      <c r="L1838" s="55" t="s">
        <v>404</v>
      </c>
      <c r="M1838" s="55" t="s">
        <v>7634</v>
      </c>
    </row>
    <row r="1839" spans="1:13">
      <c r="A1839" s="578" t="s">
        <v>4880</v>
      </c>
      <c r="B1839" s="586" t="s">
        <v>473</v>
      </c>
      <c r="C1839" s="586" t="s">
        <v>473</v>
      </c>
      <c r="D1839" s="586" t="s">
        <v>4881</v>
      </c>
      <c r="E1839" s="586" t="s">
        <v>4882</v>
      </c>
      <c r="F1839" s="586" t="s">
        <v>4883</v>
      </c>
      <c r="G1839" s="586" t="s">
        <v>4884</v>
      </c>
      <c r="H1839" s="586" t="s">
        <v>359</v>
      </c>
      <c r="I1839" s="587" t="s">
        <v>359</v>
      </c>
      <c r="J1839" s="586"/>
      <c r="K1839" s="586" t="s">
        <v>2508</v>
      </c>
      <c r="L1839" s="586" t="s">
        <v>361</v>
      </c>
      <c r="M1839" s="586" t="s">
        <v>377</v>
      </c>
    </row>
    <row r="1840" spans="1:13">
      <c r="A1840" s="408" t="s">
        <v>4885</v>
      </c>
      <c r="B1840" s="106" t="s">
        <v>327</v>
      </c>
      <c r="C1840" s="106" t="s">
        <v>473</v>
      </c>
      <c r="D1840" s="107" t="s">
        <v>4886</v>
      </c>
      <c r="E1840" s="109" t="s">
        <v>355</v>
      </c>
      <c r="F1840" s="109" t="s">
        <v>355</v>
      </c>
      <c r="G1840" s="55" t="s">
        <v>355</v>
      </c>
      <c r="H1840" s="108" t="s">
        <v>402</v>
      </c>
      <c r="I1840" s="111" t="s">
        <v>402</v>
      </c>
      <c r="J1840" s="111" t="s">
        <v>402</v>
      </c>
      <c r="K1840" s="106" t="s">
        <v>403</v>
      </c>
      <c r="L1840" s="55" t="s">
        <v>404</v>
      </c>
      <c r="M1840" s="55" t="s">
        <v>7634</v>
      </c>
    </row>
    <row r="1841" spans="1:13">
      <c r="A1841" s="408" t="s">
        <v>4887</v>
      </c>
      <c r="B1841" s="106" t="s">
        <v>327</v>
      </c>
      <c r="C1841" s="106" t="s">
        <v>473</v>
      </c>
      <c r="D1841" s="107" t="s">
        <v>4888</v>
      </c>
      <c r="E1841" s="109" t="s">
        <v>355</v>
      </c>
      <c r="F1841" s="109" t="s">
        <v>355</v>
      </c>
      <c r="G1841" s="55" t="s">
        <v>355</v>
      </c>
      <c r="H1841" s="108" t="s">
        <v>402</v>
      </c>
      <c r="I1841" s="111" t="s">
        <v>402</v>
      </c>
      <c r="J1841" s="111" t="s">
        <v>402</v>
      </c>
      <c r="K1841" s="106" t="s">
        <v>403</v>
      </c>
      <c r="L1841" s="55" t="s">
        <v>404</v>
      </c>
      <c r="M1841" s="55" t="s">
        <v>7634</v>
      </c>
    </row>
    <row r="1842" spans="1:13">
      <c r="A1842" s="408" t="s">
        <v>4889</v>
      </c>
      <c r="B1842" s="106" t="s">
        <v>327</v>
      </c>
      <c r="C1842" s="106" t="s">
        <v>473</v>
      </c>
      <c r="D1842" s="107" t="s">
        <v>4890</v>
      </c>
      <c r="E1842" s="109" t="s">
        <v>355</v>
      </c>
      <c r="F1842" s="109" t="s">
        <v>355</v>
      </c>
      <c r="G1842" s="55" t="s">
        <v>355</v>
      </c>
      <c r="H1842" s="108" t="s">
        <v>402</v>
      </c>
      <c r="I1842" s="111" t="s">
        <v>402</v>
      </c>
      <c r="J1842" s="111" t="s">
        <v>402</v>
      </c>
      <c r="K1842" s="106" t="s">
        <v>403</v>
      </c>
      <c r="L1842" s="55" t="s">
        <v>404</v>
      </c>
      <c r="M1842" s="55" t="s">
        <v>7634</v>
      </c>
    </row>
    <row r="1843" spans="1:13">
      <c r="A1843" s="408" t="s">
        <v>4891</v>
      </c>
      <c r="B1843" s="106" t="s">
        <v>327</v>
      </c>
      <c r="C1843" s="106" t="s">
        <v>473</v>
      </c>
      <c r="D1843" s="107" t="s">
        <v>4892</v>
      </c>
      <c r="E1843" s="109" t="s">
        <v>355</v>
      </c>
      <c r="F1843" s="109" t="s">
        <v>355</v>
      </c>
      <c r="G1843" s="55" t="s">
        <v>355</v>
      </c>
      <c r="H1843" s="108" t="s">
        <v>402</v>
      </c>
      <c r="I1843" s="111" t="s">
        <v>402</v>
      </c>
      <c r="J1843" s="111" t="s">
        <v>402</v>
      </c>
      <c r="K1843" s="106" t="s">
        <v>403</v>
      </c>
      <c r="L1843" s="55" t="s">
        <v>404</v>
      </c>
      <c r="M1843" s="55" t="s">
        <v>7634</v>
      </c>
    </row>
    <row r="1844" spans="1:13">
      <c r="A1844" s="408" t="s">
        <v>4893</v>
      </c>
      <c r="B1844" s="106" t="s">
        <v>327</v>
      </c>
      <c r="C1844" s="106" t="s">
        <v>473</v>
      </c>
      <c r="D1844" s="107" t="s">
        <v>4894</v>
      </c>
      <c r="E1844" s="109" t="s">
        <v>355</v>
      </c>
      <c r="F1844" s="109" t="s">
        <v>355</v>
      </c>
      <c r="G1844" s="55" t="s">
        <v>355</v>
      </c>
      <c r="H1844" s="108" t="s">
        <v>402</v>
      </c>
      <c r="I1844" s="111" t="s">
        <v>402</v>
      </c>
      <c r="J1844" s="111" t="s">
        <v>402</v>
      </c>
      <c r="K1844" s="106" t="s">
        <v>403</v>
      </c>
      <c r="L1844" s="55" t="s">
        <v>404</v>
      </c>
      <c r="M1844" s="55" t="s">
        <v>7634</v>
      </c>
    </row>
    <row r="1845" spans="1:13">
      <c r="A1845" s="408" t="s">
        <v>4895</v>
      </c>
      <c r="B1845" s="106" t="s">
        <v>327</v>
      </c>
      <c r="C1845" s="106" t="s">
        <v>473</v>
      </c>
      <c r="D1845" s="107" t="s">
        <v>4896</v>
      </c>
      <c r="E1845" s="109" t="s">
        <v>355</v>
      </c>
      <c r="F1845" s="109" t="s">
        <v>355</v>
      </c>
      <c r="G1845" s="55" t="s">
        <v>355</v>
      </c>
      <c r="H1845" s="108" t="s">
        <v>402</v>
      </c>
      <c r="I1845" s="111" t="s">
        <v>402</v>
      </c>
      <c r="J1845" s="111" t="s">
        <v>402</v>
      </c>
      <c r="K1845" s="106" t="s">
        <v>403</v>
      </c>
      <c r="L1845" s="55" t="s">
        <v>404</v>
      </c>
      <c r="M1845" s="55" t="s">
        <v>7634</v>
      </c>
    </row>
    <row r="1846" spans="1:13">
      <c r="A1846" s="578" t="s">
        <v>4897</v>
      </c>
      <c r="B1846" s="586" t="s">
        <v>373</v>
      </c>
      <c r="C1846" s="586" t="s">
        <v>473</v>
      </c>
      <c r="D1846" s="586" t="s">
        <v>4898</v>
      </c>
      <c r="E1846" s="586" t="s">
        <v>1225</v>
      </c>
      <c r="F1846" s="586" t="s">
        <v>4899</v>
      </c>
      <c r="G1846" s="586" t="s">
        <v>377</v>
      </c>
      <c r="H1846" s="586" t="s">
        <v>359</v>
      </c>
      <c r="I1846" s="587" t="s">
        <v>359</v>
      </c>
      <c r="J1846" s="586"/>
      <c r="K1846" s="586" t="s">
        <v>360</v>
      </c>
      <c r="L1846" s="586" t="s">
        <v>361</v>
      </c>
      <c r="M1846" s="586" t="s">
        <v>377</v>
      </c>
    </row>
    <row r="1847" spans="1:13">
      <c r="A1847" s="401" t="s">
        <v>4900</v>
      </c>
      <c r="B1847" s="106" t="s">
        <v>327</v>
      </c>
      <c r="C1847" s="106" t="s">
        <v>473</v>
      </c>
      <c r="D1847" s="109" t="s">
        <v>4901</v>
      </c>
      <c r="E1847" s="109" t="s">
        <v>4902</v>
      </c>
      <c r="F1847" s="109" t="s">
        <v>4903</v>
      </c>
      <c r="G1847" s="112" t="s">
        <v>4904</v>
      </c>
      <c r="H1847" s="115" t="s">
        <v>402</v>
      </c>
      <c r="I1847" s="111" t="s">
        <v>402</v>
      </c>
      <c r="J1847" s="111" t="s">
        <v>402</v>
      </c>
      <c r="K1847" s="106" t="s">
        <v>403</v>
      </c>
      <c r="L1847" s="55" t="s">
        <v>404</v>
      </c>
      <c r="M1847" s="55" t="s">
        <v>7634</v>
      </c>
    </row>
    <row r="1848" spans="1:13">
      <c r="A1848" s="408" t="s">
        <v>4905</v>
      </c>
      <c r="B1848" s="106" t="s">
        <v>327</v>
      </c>
      <c r="C1848" s="106" t="s">
        <v>473</v>
      </c>
      <c r="D1848" s="107" t="s">
        <v>4906</v>
      </c>
      <c r="E1848" s="109" t="s">
        <v>355</v>
      </c>
      <c r="F1848" s="109" t="s">
        <v>355</v>
      </c>
      <c r="G1848" s="55" t="s">
        <v>355</v>
      </c>
      <c r="H1848" s="108" t="s">
        <v>402</v>
      </c>
      <c r="I1848" s="111" t="s">
        <v>402</v>
      </c>
      <c r="J1848" s="111" t="s">
        <v>402</v>
      </c>
      <c r="K1848" s="106" t="s">
        <v>403</v>
      </c>
      <c r="L1848" s="55" t="s">
        <v>404</v>
      </c>
      <c r="M1848" s="55" t="s">
        <v>7634</v>
      </c>
    </row>
    <row r="1849" spans="1:13">
      <c r="A1849" s="408" t="s">
        <v>4907</v>
      </c>
      <c r="B1849" s="106" t="s">
        <v>327</v>
      </c>
      <c r="C1849" s="106" t="s">
        <v>473</v>
      </c>
      <c r="D1849" s="107" t="s">
        <v>4908</v>
      </c>
      <c r="E1849" s="109" t="s">
        <v>355</v>
      </c>
      <c r="F1849" s="109" t="s">
        <v>355</v>
      </c>
      <c r="G1849" s="55" t="s">
        <v>355</v>
      </c>
      <c r="H1849" s="108" t="s">
        <v>402</v>
      </c>
      <c r="I1849" s="111" t="s">
        <v>402</v>
      </c>
      <c r="J1849" s="111" t="s">
        <v>402</v>
      </c>
      <c r="K1849" s="106" t="s">
        <v>403</v>
      </c>
      <c r="L1849" s="55" t="s">
        <v>404</v>
      </c>
      <c r="M1849" s="55" t="s">
        <v>7634</v>
      </c>
    </row>
    <row r="1850" spans="1:13">
      <c r="A1850" s="408" t="s">
        <v>4909</v>
      </c>
      <c r="B1850" s="106" t="s">
        <v>327</v>
      </c>
      <c r="C1850" s="106" t="s">
        <v>473</v>
      </c>
      <c r="D1850" s="107" t="s">
        <v>4908</v>
      </c>
      <c r="E1850" s="109" t="s">
        <v>355</v>
      </c>
      <c r="F1850" s="109" t="s">
        <v>355</v>
      </c>
      <c r="G1850" s="55" t="s">
        <v>355</v>
      </c>
      <c r="H1850" s="108" t="s">
        <v>402</v>
      </c>
      <c r="I1850" s="111" t="s">
        <v>402</v>
      </c>
      <c r="J1850" s="111" t="s">
        <v>402</v>
      </c>
      <c r="K1850" s="106" t="s">
        <v>403</v>
      </c>
      <c r="L1850" s="55" t="s">
        <v>404</v>
      </c>
      <c r="M1850" s="55" t="s">
        <v>7634</v>
      </c>
    </row>
    <row r="1851" spans="1:13">
      <c r="A1851" s="408" t="s">
        <v>4910</v>
      </c>
      <c r="B1851" s="106" t="s">
        <v>327</v>
      </c>
      <c r="C1851" s="106" t="s">
        <v>473</v>
      </c>
      <c r="D1851" s="107" t="s">
        <v>4908</v>
      </c>
      <c r="E1851" s="109" t="s">
        <v>355</v>
      </c>
      <c r="F1851" s="109" t="s">
        <v>355</v>
      </c>
      <c r="G1851" s="55" t="s">
        <v>355</v>
      </c>
      <c r="H1851" s="108" t="s">
        <v>402</v>
      </c>
      <c r="I1851" s="111" t="s">
        <v>402</v>
      </c>
      <c r="J1851" s="111" t="s">
        <v>402</v>
      </c>
      <c r="K1851" s="106" t="s">
        <v>403</v>
      </c>
      <c r="L1851" s="55" t="s">
        <v>404</v>
      </c>
      <c r="M1851" s="55" t="s">
        <v>7634</v>
      </c>
    </row>
    <row r="1852" spans="1:13">
      <c r="A1852" s="408" t="s">
        <v>4911</v>
      </c>
      <c r="B1852" s="106" t="s">
        <v>327</v>
      </c>
      <c r="C1852" s="106" t="s">
        <v>473</v>
      </c>
      <c r="D1852" s="107" t="s">
        <v>4912</v>
      </c>
      <c r="E1852" s="109" t="s">
        <v>355</v>
      </c>
      <c r="F1852" s="109" t="s">
        <v>355</v>
      </c>
      <c r="G1852" s="55" t="s">
        <v>355</v>
      </c>
      <c r="H1852" s="108" t="s">
        <v>402</v>
      </c>
      <c r="I1852" s="111" t="s">
        <v>402</v>
      </c>
      <c r="J1852" s="111" t="s">
        <v>402</v>
      </c>
      <c r="K1852" s="106" t="s">
        <v>403</v>
      </c>
      <c r="L1852" s="55" t="s">
        <v>404</v>
      </c>
      <c r="M1852" s="55" t="s">
        <v>7634</v>
      </c>
    </row>
    <row r="1853" spans="1:13">
      <c r="A1853" s="408" t="s">
        <v>4913</v>
      </c>
      <c r="B1853" s="106" t="s">
        <v>327</v>
      </c>
      <c r="C1853" s="106" t="s">
        <v>473</v>
      </c>
      <c r="D1853" s="107" t="s">
        <v>4914</v>
      </c>
      <c r="E1853" s="109" t="s">
        <v>355</v>
      </c>
      <c r="F1853" s="109" t="s">
        <v>355</v>
      </c>
      <c r="G1853" s="55" t="s">
        <v>355</v>
      </c>
      <c r="H1853" s="108" t="s">
        <v>402</v>
      </c>
      <c r="I1853" s="111" t="s">
        <v>402</v>
      </c>
      <c r="J1853" s="111" t="s">
        <v>402</v>
      </c>
      <c r="K1853" s="106" t="s">
        <v>403</v>
      </c>
      <c r="L1853" s="55" t="s">
        <v>404</v>
      </c>
      <c r="M1853" s="55" t="s">
        <v>7634</v>
      </c>
    </row>
    <row r="1854" spans="1:13">
      <c r="A1854" s="408" t="s">
        <v>4915</v>
      </c>
      <c r="B1854" s="106" t="s">
        <v>327</v>
      </c>
      <c r="C1854" s="106" t="s">
        <v>473</v>
      </c>
      <c r="D1854" s="107" t="s">
        <v>4916</v>
      </c>
      <c r="E1854" s="109" t="s">
        <v>355</v>
      </c>
      <c r="F1854" s="109" t="s">
        <v>355</v>
      </c>
      <c r="G1854" s="55" t="s">
        <v>355</v>
      </c>
      <c r="H1854" s="108" t="s">
        <v>402</v>
      </c>
      <c r="I1854" s="111" t="s">
        <v>402</v>
      </c>
      <c r="J1854" s="111" t="s">
        <v>402</v>
      </c>
      <c r="K1854" s="106" t="s">
        <v>403</v>
      </c>
      <c r="L1854" s="55" t="s">
        <v>404</v>
      </c>
      <c r="M1854" s="55" t="s">
        <v>7634</v>
      </c>
    </row>
    <row r="1855" spans="1:13">
      <c r="A1855" s="408" t="s">
        <v>4917</v>
      </c>
      <c r="B1855" s="106" t="s">
        <v>327</v>
      </c>
      <c r="C1855" s="106" t="s">
        <v>473</v>
      </c>
      <c r="D1855" s="107" t="s">
        <v>4918</v>
      </c>
      <c r="E1855" s="109" t="s">
        <v>355</v>
      </c>
      <c r="F1855" s="109" t="s">
        <v>355</v>
      </c>
      <c r="G1855" s="55" t="s">
        <v>355</v>
      </c>
      <c r="H1855" s="108" t="s">
        <v>402</v>
      </c>
      <c r="I1855" s="111" t="s">
        <v>402</v>
      </c>
      <c r="J1855" s="111" t="s">
        <v>402</v>
      </c>
      <c r="K1855" s="106" t="s">
        <v>403</v>
      </c>
      <c r="L1855" s="55" t="s">
        <v>404</v>
      </c>
      <c r="M1855" s="55" t="s">
        <v>7634</v>
      </c>
    </row>
    <row r="1856" spans="1:13">
      <c r="A1856" s="401" t="s">
        <v>4919</v>
      </c>
      <c r="B1856" s="106" t="s">
        <v>327</v>
      </c>
      <c r="C1856" s="106" t="s">
        <v>473</v>
      </c>
      <c r="D1856" s="107" t="s">
        <v>4920</v>
      </c>
      <c r="E1856" s="107" t="s">
        <v>4921</v>
      </c>
      <c r="F1856" s="107" t="s">
        <v>4922</v>
      </c>
      <c r="G1856" s="114" t="s">
        <v>355</v>
      </c>
      <c r="H1856" s="115" t="s">
        <v>402</v>
      </c>
      <c r="I1856" s="111" t="s">
        <v>402</v>
      </c>
      <c r="J1856" s="111" t="s">
        <v>402</v>
      </c>
      <c r="K1856" s="106" t="s">
        <v>403</v>
      </c>
      <c r="L1856" s="55" t="s">
        <v>404</v>
      </c>
      <c r="M1856" s="113" t="s">
        <v>4923</v>
      </c>
    </row>
    <row r="1857" spans="1:13">
      <c r="A1857" s="408" t="s">
        <v>4924</v>
      </c>
      <c r="B1857" s="106" t="s">
        <v>327</v>
      </c>
      <c r="C1857" s="106" t="s">
        <v>473</v>
      </c>
      <c r="D1857" s="107" t="s">
        <v>4925</v>
      </c>
      <c r="E1857" s="109" t="s">
        <v>355</v>
      </c>
      <c r="F1857" s="109" t="s">
        <v>355</v>
      </c>
      <c r="G1857" s="55" t="s">
        <v>355</v>
      </c>
      <c r="H1857" s="108" t="s">
        <v>402</v>
      </c>
      <c r="I1857" s="111" t="s">
        <v>402</v>
      </c>
      <c r="J1857" s="111" t="s">
        <v>402</v>
      </c>
      <c r="K1857" s="106" t="s">
        <v>403</v>
      </c>
      <c r="L1857" s="55" t="s">
        <v>404</v>
      </c>
      <c r="M1857" s="55" t="s">
        <v>7634</v>
      </c>
    </row>
    <row r="1858" spans="1:13">
      <c r="A1858" s="408" t="s">
        <v>4926</v>
      </c>
      <c r="B1858" s="106" t="s">
        <v>327</v>
      </c>
      <c r="C1858" s="106" t="s">
        <v>473</v>
      </c>
      <c r="D1858" s="107" t="s">
        <v>4927</v>
      </c>
      <c r="E1858" s="109" t="s">
        <v>355</v>
      </c>
      <c r="F1858" s="109" t="s">
        <v>355</v>
      </c>
      <c r="G1858" s="55" t="s">
        <v>355</v>
      </c>
      <c r="H1858" s="108" t="s">
        <v>402</v>
      </c>
      <c r="I1858" s="111" t="s">
        <v>402</v>
      </c>
      <c r="J1858" s="111" t="s">
        <v>402</v>
      </c>
      <c r="K1858" s="106" t="s">
        <v>403</v>
      </c>
      <c r="L1858" s="55" t="s">
        <v>404</v>
      </c>
      <c r="M1858" s="55" t="s">
        <v>7634</v>
      </c>
    </row>
    <row r="1859" spans="1:13">
      <c r="A1859" s="401" t="s">
        <v>4928</v>
      </c>
      <c r="B1859" s="106" t="s">
        <v>1059</v>
      </c>
      <c r="C1859" s="106" t="s">
        <v>473</v>
      </c>
      <c r="D1859" s="109" t="s">
        <v>4929</v>
      </c>
      <c r="E1859" s="109" t="s">
        <v>4930</v>
      </c>
      <c r="F1859" s="109" t="s">
        <v>4931</v>
      </c>
      <c r="G1859" s="114" t="s">
        <v>4932</v>
      </c>
      <c r="H1859" s="115" t="s">
        <v>402</v>
      </c>
      <c r="I1859" s="111" t="s">
        <v>402</v>
      </c>
      <c r="J1859" s="111" t="s">
        <v>402</v>
      </c>
      <c r="K1859" s="106" t="s">
        <v>403</v>
      </c>
      <c r="L1859" s="55" t="s">
        <v>404</v>
      </c>
      <c r="M1859" s="55" t="s">
        <v>7634</v>
      </c>
    </row>
    <row r="1860" spans="1:13">
      <c r="A1860" s="408" t="s">
        <v>4933</v>
      </c>
      <c r="B1860" s="106" t="s">
        <v>327</v>
      </c>
      <c r="C1860" s="106" t="s">
        <v>473</v>
      </c>
      <c r="D1860" s="107" t="s">
        <v>4934</v>
      </c>
      <c r="E1860" s="109" t="s">
        <v>355</v>
      </c>
      <c r="F1860" s="109" t="s">
        <v>355</v>
      </c>
      <c r="G1860" s="55" t="s">
        <v>355</v>
      </c>
      <c r="H1860" s="108" t="s">
        <v>402</v>
      </c>
      <c r="I1860" s="111" t="s">
        <v>402</v>
      </c>
      <c r="J1860" s="111" t="s">
        <v>402</v>
      </c>
      <c r="K1860" s="106" t="s">
        <v>403</v>
      </c>
      <c r="L1860" s="55" t="s">
        <v>404</v>
      </c>
      <c r="M1860" s="55" t="s">
        <v>7634</v>
      </c>
    </row>
    <row r="1861" spans="1:13">
      <c r="A1861" s="408" t="s">
        <v>4935</v>
      </c>
      <c r="B1861" s="106" t="s">
        <v>327</v>
      </c>
      <c r="C1861" s="106" t="s">
        <v>473</v>
      </c>
      <c r="D1861" s="107" t="s">
        <v>4936</v>
      </c>
      <c r="E1861" s="109" t="s">
        <v>355</v>
      </c>
      <c r="F1861" s="109" t="s">
        <v>355</v>
      </c>
      <c r="G1861" s="55" t="s">
        <v>355</v>
      </c>
      <c r="H1861" s="108" t="s">
        <v>402</v>
      </c>
      <c r="I1861" s="111" t="s">
        <v>402</v>
      </c>
      <c r="J1861" s="111" t="s">
        <v>402</v>
      </c>
      <c r="K1861" s="106" t="s">
        <v>403</v>
      </c>
      <c r="L1861" s="55" t="s">
        <v>404</v>
      </c>
      <c r="M1861" s="55" t="s">
        <v>7634</v>
      </c>
    </row>
    <row r="1862" spans="1:13">
      <c r="A1862" s="408" t="s">
        <v>4937</v>
      </c>
      <c r="B1862" s="106" t="s">
        <v>327</v>
      </c>
      <c r="C1862" s="106" t="s">
        <v>473</v>
      </c>
      <c r="D1862" s="107" t="s">
        <v>4938</v>
      </c>
      <c r="E1862" s="109" t="s">
        <v>355</v>
      </c>
      <c r="F1862" s="109" t="s">
        <v>355</v>
      </c>
      <c r="G1862" s="55" t="s">
        <v>355</v>
      </c>
      <c r="H1862" s="108" t="s">
        <v>402</v>
      </c>
      <c r="I1862" s="111" t="s">
        <v>402</v>
      </c>
      <c r="J1862" s="111" t="s">
        <v>402</v>
      </c>
      <c r="K1862" s="106" t="s">
        <v>403</v>
      </c>
      <c r="L1862" s="55" t="s">
        <v>404</v>
      </c>
      <c r="M1862" s="55" t="s">
        <v>7634</v>
      </c>
    </row>
    <row r="1863" spans="1:13">
      <c r="A1863" s="408" t="s">
        <v>4939</v>
      </c>
      <c r="B1863" s="106" t="s">
        <v>327</v>
      </c>
      <c r="C1863" s="106" t="s">
        <v>473</v>
      </c>
      <c r="D1863" s="107" t="s">
        <v>4940</v>
      </c>
      <c r="E1863" s="109" t="s">
        <v>355</v>
      </c>
      <c r="F1863" s="109" t="s">
        <v>355</v>
      </c>
      <c r="G1863" s="55" t="s">
        <v>355</v>
      </c>
      <c r="H1863" s="108" t="s">
        <v>402</v>
      </c>
      <c r="I1863" s="111" t="s">
        <v>402</v>
      </c>
      <c r="J1863" s="111" t="s">
        <v>402</v>
      </c>
      <c r="K1863" s="106" t="s">
        <v>403</v>
      </c>
      <c r="L1863" s="55" t="s">
        <v>404</v>
      </c>
      <c r="M1863" s="55" t="s">
        <v>7634</v>
      </c>
    </row>
    <row r="1864" spans="1:13">
      <c r="A1864" s="408" t="s">
        <v>4941</v>
      </c>
      <c r="B1864" s="106" t="s">
        <v>327</v>
      </c>
      <c r="C1864" s="106" t="s">
        <v>473</v>
      </c>
      <c r="D1864" s="107" t="s">
        <v>4942</v>
      </c>
      <c r="E1864" s="109" t="s">
        <v>355</v>
      </c>
      <c r="F1864" s="109" t="s">
        <v>355</v>
      </c>
      <c r="G1864" s="55" t="s">
        <v>355</v>
      </c>
      <c r="H1864" s="108" t="s">
        <v>402</v>
      </c>
      <c r="I1864" s="111" t="s">
        <v>402</v>
      </c>
      <c r="J1864" s="111" t="s">
        <v>402</v>
      </c>
      <c r="K1864" s="106" t="s">
        <v>403</v>
      </c>
      <c r="L1864" s="55" t="s">
        <v>404</v>
      </c>
      <c r="M1864" s="55" t="s">
        <v>7634</v>
      </c>
    </row>
    <row r="1865" spans="1:13">
      <c r="A1865" s="408" t="s">
        <v>4943</v>
      </c>
      <c r="B1865" s="106" t="s">
        <v>327</v>
      </c>
      <c r="C1865" s="106" t="s">
        <v>473</v>
      </c>
      <c r="D1865" s="107" t="s">
        <v>4944</v>
      </c>
      <c r="E1865" s="109" t="s">
        <v>355</v>
      </c>
      <c r="F1865" s="109" t="s">
        <v>355</v>
      </c>
      <c r="G1865" s="55" t="s">
        <v>355</v>
      </c>
      <c r="H1865" s="108" t="s">
        <v>402</v>
      </c>
      <c r="I1865" s="111" t="s">
        <v>402</v>
      </c>
      <c r="J1865" s="111" t="s">
        <v>402</v>
      </c>
      <c r="K1865" s="106" t="s">
        <v>403</v>
      </c>
      <c r="L1865" s="55" t="s">
        <v>404</v>
      </c>
      <c r="M1865" s="55" t="s">
        <v>7634</v>
      </c>
    </row>
    <row r="1866" spans="1:13">
      <c r="A1866" s="408" t="s">
        <v>4945</v>
      </c>
      <c r="B1866" s="106" t="s">
        <v>327</v>
      </c>
      <c r="C1866" s="106" t="s">
        <v>473</v>
      </c>
      <c r="D1866" s="107" t="s">
        <v>4946</v>
      </c>
      <c r="E1866" s="109" t="s">
        <v>355</v>
      </c>
      <c r="F1866" s="109" t="s">
        <v>355</v>
      </c>
      <c r="G1866" s="55" t="s">
        <v>355</v>
      </c>
      <c r="H1866" s="108" t="s">
        <v>402</v>
      </c>
      <c r="I1866" s="111" t="s">
        <v>402</v>
      </c>
      <c r="J1866" s="111" t="s">
        <v>402</v>
      </c>
      <c r="K1866" s="106" t="s">
        <v>403</v>
      </c>
      <c r="L1866" s="55" t="s">
        <v>404</v>
      </c>
      <c r="M1866" s="55" t="s">
        <v>7634</v>
      </c>
    </row>
    <row r="1867" spans="1:13">
      <c r="A1867" s="408" t="s">
        <v>4947</v>
      </c>
      <c r="B1867" s="106" t="s">
        <v>327</v>
      </c>
      <c r="C1867" s="106" t="s">
        <v>473</v>
      </c>
      <c r="D1867" s="107" t="s">
        <v>4948</v>
      </c>
      <c r="E1867" s="109" t="s">
        <v>355</v>
      </c>
      <c r="F1867" s="109" t="s">
        <v>355</v>
      </c>
      <c r="G1867" s="55" t="s">
        <v>355</v>
      </c>
      <c r="H1867" s="108" t="s">
        <v>402</v>
      </c>
      <c r="I1867" s="111" t="s">
        <v>402</v>
      </c>
      <c r="J1867" s="111" t="s">
        <v>402</v>
      </c>
      <c r="K1867" s="106" t="s">
        <v>403</v>
      </c>
      <c r="L1867" s="55" t="s">
        <v>404</v>
      </c>
      <c r="M1867" s="55" t="s">
        <v>7634</v>
      </c>
    </row>
    <row r="1868" spans="1:13">
      <c r="A1868" s="408" t="s">
        <v>4949</v>
      </c>
      <c r="B1868" s="106" t="s">
        <v>327</v>
      </c>
      <c r="C1868" s="106" t="s">
        <v>473</v>
      </c>
      <c r="D1868" s="107" t="s">
        <v>4950</v>
      </c>
      <c r="E1868" s="109" t="s">
        <v>355</v>
      </c>
      <c r="F1868" s="109" t="s">
        <v>355</v>
      </c>
      <c r="G1868" s="55" t="s">
        <v>355</v>
      </c>
      <c r="H1868" s="108" t="s">
        <v>402</v>
      </c>
      <c r="I1868" s="111" t="s">
        <v>402</v>
      </c>
      <c r="J1868" s="111" t="s">
        <v>402</v>
      </c>
      <c r="K1868" s="106" t="s">
        <v>403</v>
      </c>
      <c r="L1868" s="55" t="s">
        <v>404</v>
      </c>
      <c r="M1868" s="55" t="s">
        <v>7634</v>
      </c>
    </row>
    <row r="1869" spans="1:13">
      <c r="A1869" s="408" t="s">
        <v>4951</v>
      </c>
      <c r="B1869" s="106" t="s">
        <v>327</v>
      </c>
      <c r="C1869" s="106" t="s">
        <v>473</v>
      </c>
      <c r="D1869" s="107" t="s">
        <v>4952</v>
      </c>
      <c r="E1869" s="109" t="s">
        <v>355</v>
      </c>
      <c r="F1869" s="109" t="s">
        <v>355</v>
      </c>
      <c r="G1869" s="55" t="s">
        <v>355</v>
      </c>
      <c r="H1869" s="108" t="s">
        <v>402</v>
      </c>
      <c r="I1869" s="111" t="s">
        <v>402</v>
      </c>
      <c r="J1869" s="111" t="s">
        <v>402</v>
      </c>
      <c r="K1869" s="106" t="s">
        <v>403</v>
      </c>
      <c r="L1869" s="55" t="s">
        <v>404</v>
      </c>
      <c r="M1869" s="55" t="s">
        <v>7634</v>
      </c>
    </row>
    <row r="1870" spans="1:13">
      <c r="A1870" s="408" t="s">
        <v>4953</v>
      </c>
      <c r="B1870" s="106" t="s">
        <v>327</v>
      </c>
      <c r="C1870" s="106" t="s">
        <v>473</v>
      </c>
      <c r="D1870" s="107" t="s">
        <v>4954</v>
      </c>
      <c r="E1870" s="109" t="s">
        <v>355</v>
      </c>
      <c r="F1870" s="109" t="s">
        <v>355</v>
      </c>
      <c r="G1870" s="55" t="s">
        <v>355</v>
      </c>
      <c r="H1870" s="108" t="s">
        <v>402</v>
      </c>
      <c r="I1870" s="111" t="s">
        <v>402</v>
      </c>
      <c r="J1870" s="111" t="s">
        <v>402</v>
      </c>
      <c r="K1870" s="106" t="s">
        <v>403</v>
      </c>
      <c r="L1870" s="55" t="s">
        <v>404</v>
      </c>
      <c r="M1870" s="55" t="s">
        <v>7634</v>
      </c>
    </row>
    <row r="1871" spans="1:13">
      <c r="A1871" s="401" t="s">
        <v>4955</v>
      </c>
      <c r="B1871" s="106" t="s">
        <v>327</v>
      </c>
      <c r="C1871" s="106" t="s">
        <v>473</v>
      </c>
      <c r="D1871" s="109" t="s">
        <v>4956</v>
      </c>
      <c r="E1871" s="109" t="s">
        <v>1239</v>
      </c>
      <c r="F1871" s="109" t="s">
        <v>4957</v>
      </c>
      <c r="G1871" s="117" t="s">
        <v>383</v>
      </c>
      <c r="H1871" s="115" t="s">
        <v>402</v>
      </c>
      <c r="I1871" s="111" t="s">
        <v>402</v>
      </c>
      <c r="J1871" s="111" t="s">
        <v>402</v>
      </c>
      <c r="K1871" s="115" t="s">
        <v>403</v>
      </c>
      <c r="L1871" s="55" t="s">
        <v>404</v>
      </c>
      <c r="M1871" s="113" t="s">
        <v>1173</v>
      </c>
    </row>
    <row r="1872" spans="1:13">
      <c r="A1872" s="408" t="s">
        <v>4958</v>
      </c>
      <c r="B1872" s="106" t="s">
        <v>327</v>
      </c>
      <c r="C1872" s="106" t="s">
        <v>473</v>
      </c>
      <c r="D1872" s="107" t="s">
        <v>4959</v>
      </c>
      <c r="E1872" s="109" t="s">
        <v>355</v>
      </c>
      <c r="F1872" s="109" t="s">
        <v>355</v>
      </c>
      <c r="G1872" s="55" t="s">
        <v>355</v>
      </c>
      <c r="H1872" s="108" t="s">
        <v>402</v>
      </c>
      <c r="I1872" s="111" t="s">
        <v>402</v>
      </c>
      <c r="J1872" s="111" t="s">
        <v>402</v>
      </c>
      <c r="K1872" s="106" t="s">
        <v>403</v>
      </c>
      <c r="L1872" s="55" t="s">
        <v>404</v>
      </c>
      <c r="M1872" s="55" t="s">
        <v>7634</v>
      </c>
    </row>
    <row r="1873" spans="1:13">
      <c r="A1873" s="408" t="s">
        <v>4960</v>
      </c>
      <c r="B1873" s="106" t="s">
        <v>327</v>
      </c>
      <c r="C1873" s="106" t="s">
        <v>473</v>
      </c>
      <c r="D1873" s="107" t="s">
        <v>4961</v>
      </c>
      <c r="E1873" s="109" t="s">
        <v>355</v>
      </c>
      <c r="F1873" s="109" t="s">
        <v>355</v>
      </c>
      <c r="G1873" s="55" t="s">
        <v>355</v>
      </c>
      <c r="H1873" s="108" t="s">
        <v>402</v>
      </c>
      <c r="I1873" s="111" t="s">
        <v>402</v>
      </c>
      <c r="J1873" s="111" t="s">
        <v>402</v>
      </c>
      <c r="K1873" s="106" t="s">
        <v>403</v>
      </c>
      <c r="L1873" s="55" t="s">
        <v>404</v>
      </c>
      <c r="M1873" s="55" t="s">
        <v>7634</v>
      </c>
    </row>
    <row r="1874" spans="1:13">
      <c r="A1874" s="408" t="s">
        <v>4962</v>
      </c>
      <c r="B1874" s="106" t="s">
        <v>327</v>
      </c>
      <c r="C1874" s="106" t="s">
        <v>473</v>
      </c>
      <c r="D1874" s="107" t="s">
        <v>4963</v>
      </c>
      <c r="E1874" s="109" t="s">
        <v>355</v>
      </c>
      <c r="F1874" s="109" t="s">
        <v>355</v>
      </c>
      <c r="G1874" s="55" t="s">
        <v>355</v>
      </c>
      <c r="H1874" s="108" t="s">
        <v>402</v>
      </c>
      <c r="I1874" s="111" t="s">
        <v>402</v>
      </c>
      <c r="J1874" s="111" t="s">
        <v>402</v>
      </c>
      <c r="K1874" s="106" t="s">
        <v>403</v>
      </c>
      <c r="L1874" s="55" t="s">
        <v>404</v>
      </c>
      <c r="M1874" s="55" t="s">
        <v>7634</v>
      </c>
    </row>
    <row r="1875" spans="1:13">
      <c r="A1875" s="408" t="s">
        <v>4964</v>
      </c>
      <c r="B1875" s="106" t="s">
        <v>327</v>
      </c>
      <c r="C1875" s="106" t="s">
        <v>473</v>
      </c>
      <c r="D1875" s="107" t="s">
        <v>4965</v>
      </c>
      <c r="E1875" s="109" t="s">
        <v>355</v>
      </c>
      <c r="F1875" s="109" t="s">
        <v>355</v>
      </c>
      <c r="G1875" s="55" t="s">
        <v>355</v>
      </c>
      <c r="H1875" s="108" t="s">
        <v>402</v>
      </c>
      <c r="I1875" s="111" t="s">
        <v>402</v>
      </c>
      <c r="J1875" s="111" t="s">
        <v>402</v>
      </c>
      <c r="K1875" s="106" t="s">
        <v>403</v>
      </c>
      <c r="L1875" s="55" t="s">
        <v>404</v>
      </c>
      <c r="M1875" s="55" t="s">
        <v>7634</v>
      </c>
    </row>
    <row r="1876" spans="1:13">
      <c r="A1876" s="408" t="s">
        <v>4966</v>
      </c>
      <c r="B1876" s="106" t="s">
        <v>327</v>
      </c>
      <c r="C1876" s="106" t="s">
        <v>473</v>
      </c>
      <c r="D1876" s="107" t="s">
        <v>4965</v>
      </c>
      <c r="E1876" s="109" t="s">
        <v>355</v>
      </c>
      <c r="F1876" s="109" t="s">
        <v>355</v>
      </c>
      <c r="G1876" s="55" t="s">
        <v>355</v>
      </c>
      <c r="H1876" s="108" t="s">
        <v>402</v>
      </c>
      <c r="I1876" s="111" t="s">
        <v>402</v>
      </c>
      <c r="J1876" s="111" t="s">
        <v>402</v>
      </c>
      <c r="K1876" s="106" t="s">
        <v>403</v>
      </c>
      <c r="L1876" s="55" t="s">
        <v>404</v>
      </c>
      <c r="M1876" s="55" t="s">
        <v>7634</v>
      </c>
    </row>
    <row r="1877" spans="1:13">
      <c r="A1877" s="408" t="s">
        <v>4967</v>
      </c>
      <c r="B1877" s="106" t="s">
        <v>327</v>
      </c>
      <c r="C1877" s="106" t="s">
        <v>473</v>
      </c>
      <c r="D1877" s="107" t="s">
        <v>4968</v>
      </c>
      <c r="E1877" s="109" t="s">
        <v>355</v>
      </c>
      <c r="F1877" s="109" t="s">
        <v>355</v>
      </c>
      <c r="G1877" s="55" t="s">
        <v>355</v>
      </c>
      <c r="H1877" s="108" t="s">
        <v>402</v>
      </c>
      <c r="I1877" s="111" t="s">
        <v>402</v>
      </c>
      <c r="J1877" s="111" t="s">
        <v>402</v>
      </c>
      <c r="K1877" s="106" t="s">
        <v>403</v>
      </c>
      <c r="L1877" s="55" t="s">
        <v>404</v>
      </c>
      <c r="M1877" s="55" t="s">
        <v>7634</v>
      </c>
    </row>
    <row r="1878" spans="1:13">
      <c r="A1878" s="408" t="s">
        <v>4969</v>
      </c>
      <c r="B1878" s="106" t="s">
        <v>327</v>
      </c>
      <c r="C1878" s="106" t="s">
        <v>473</v>
      </c>
      <c r="D1878" s="107" t="s">
        <v>4970</v>
      </c>
      <c r="E1878" s="109" t="s">
        <v>355</v>
      </c>
      <c r="F1878" s="109" t="s">
        <v>355</v>
      </c>
      <c r="G1878" s="55" t="s">
        <v>355</v>
      </c>
      <c r="H1878" s="108" t="s">
        <v>402</v>
      </c>
      <c r="I1878" s="111" t="s">
        <v>402</v>
      </c>
      <c r="J1878" s="111" t="s">
        <v>402</v>
      </c>
      <c r="K1878" s="106" t="s">
        <v>403</v>
      </c>
      <c r="L1878" s="55" t="s">
        <v>404</v>
      </c>
      <c r="M1878" s="55" t="s">
        <v>7634</v>
      </c>
    </row>
    <row r="1879" spans="1:13">
      <c r="A1879" s="408" t="s">
        <v>4971</v>
      </c>
      <c r="B1879" s="106" t="s">
        <v>327</v>
      </c>
      <c r="C1879" s="106" t="s">
        <v>473</v>
      </c>
      <c r="D1879" s="107" t="s">
        <v>4972</v>
      </c>
      <c r="E1879" s="109" t="s">
        <v>355</v>
      </c>
      <c r="F1879" s="109" t="s">
        <v>355</v>
      </c>
      <c r="G1879" s="55" t="s">
        <v>355</v>
      </c>
      <c r="H1879" s="108" t="s">
        <v>402</v>
      </c>
      <c r="I1879" s="111" t="s">
        <v>402</v>
      </c>
      <c r="J1879" s="111" t="s">
        <v>402</v>
      </c>
      <c r="K1879" s="106" t="s">
        <v>403</v>
      </c>
      <c r="L1879" s="55" t="s">
        <v>404</v>
      </c>
      <c r="M1879" s="55" t="s">
        <v>7634</v>
      </c>
    </row>
    <row r="1880" spans="1:13">
      <c r="A1880" s="408" t="s">
        <v>4973</v>
      </c>
      <c r="B1880" s="106" t="s">
        <v>327</v>
      </c>
      <c r="C1880" s="106" t="s">
        <v>473</v>
      </c>
      <c r="D1880" s="107" t="s">
        <v>4974</v>
      </c>
      <c r="E1880" s="109" t="s">
        <v>355</v>
      </c>
      <c r="F1880" s="109" t="s">
        <v>355</v>
      </c>
      <c r="G1880" s="55" t="s">
        <v>355</v>
      </c>
      <c r="H1880" s="108" t="s">
        <v>402</v>
      </c>
      <c r="I1880" s="111" t="s">
        <v>402</v>
      </c>
      <c r="J1880" s="111" t="s">
        <v>402</v>
      </c>
      <c r="K1880" s="106" t="s">
        <v>403</v>
      </c>
      <c r="L1880" s="55" t="s">
        <v>404</v>
      </c>
      <c r="M1880" s="55" t="s">
        <v>7634</v>
      </c>
    </row>
    <row r="1881" spans="1:13">
      <c r="A1881" s="408" t="s">
        <v>4975</v>
      </c>
      <c r="B1881" s="106" t="s">
        <v>327</v>
      </c>
      <c r="C1881" s="106" t="s">
        <v>473</v>
      </c>
      <c r="D1881" s="107" t="s">
        <v>4976</v>
      </c>
      <c r="E1881" s="109" t="s">
        <v>355</v>
      </c>
      <c r="F1881" s="109" t="s">
        <v>355</v>
      </c>
      <c r="G1881" s="55" t="s">
        <v>355</v>
      </c>
      <c r="H1881" s="108" t="s">
        <v>402</v>
      </c>
      <c r="I1881" s="111" t="s">
        <v>402</v>
      </c>
      <c r="J1881" s="111" t="s">
        <v>402</v>
      </c>
      <c r="K1881" s="106" t="s">
        <v>403</v>
      </c>
      <c r="L1881" s="55" t="s">
        <v>404</v>
      </c>
      <c r="M1881" s="55" t="s">
        <v>7634</v>
      </c>
    </row>
    <row r="1882" spans="1:13">
      <c r="A1882" s="408" t="s">
        <v>4977</v>
      </c>
      <c r="B1882" s="106" t="s">
        <v>327</v>
      </c>
      <c r="C1882" s="106" t="s">
        <v>473</v>
      </c>
      <c r="D1882" s="107" t="s">
        <v>4978</v>
      </c>
      <c r="E1882" s="109" t="s">
        <v>355</v>
      </c>
      <c r="F1882" s="109" t="s">
        <v>355</v>
      </c>
      <c r="G1882" s="55" t="s">
        <v>355</v>
      </c>
      <c r="H1882" s="108" t="s">
        <v>402</v>
      </c>
      <c r="I1882" s="111" t="s">
        <v>402</v>
      </c>
      <c r="J1882" s="111" t="s">
        <v>402</v>
      </c>
      <c r="K1882" s="106" t="s">
        <v>403</v>
      </c>
      <c r="L1882" s="55" t="s">
        <v>404</v>
      </c>
      <c r="M1882" s="55" t="s">
        <v>7634</v>
      </c>
    </row>
    <row r="1883" spans="1:13">
      <c r="A1883" s="408" t="s">
        <v>4979</v>
      </c>
      <c r="B1883" s="106" t="s">
        <v>327</v>
      </c>
      <c r="C1883" s="106" t="s">
        <v>473</v>
      </c>
      <c r="D1883" s="107" t="s">
        <v>4980</v>
      </c>
      <c r="E1883" s="109" t="s">
        <v>355</v>
      </c>
      <c r="F1883" s="109" t="s">
        <v>355</v>
      </c>
      <c r="G1883" s="55" t="s">
        <v>355</v>
      </c>
      <c r="H1883" s="108" t="s">
        <v>402</v>
      </c>
      <c r="I1883" s="111" t="s">
        <v>402</v>
      </c>
      <c r="J1883" s="111" t="s">
        <v>402</v>
      </c>
      <c r="K1883" s="106" t="s">
        <v>403</v>
      </c>
      <c r="L1883" s="55" t="s">
        <v>404</v>
      </c>
      <c r="M1883" s="55" t="s">
        <v>7634</v>
      </c>
    </row>
    <row r="1884" spans="1:13">
      <c r="A1884" s="408" t="s">
        <v>4981</v>
      </c>
      <c r="B1884" s="106" t="s">
        <v>327</v>
      </c>
      <c r="C1884" s="106" t="s">
        <v>473</v>
      </c>
      <c r="D1884" s="107" t="s">
        <v>4982</v>
      </c>
      <c r="E1884" s="109" t="s">
        <v>355</v>
      </c>
      <c r="F1884" s="109" t="s">
        <v>355</v>
      </c>
      <c r="G1884" s="55" t="s">
        <v>355</v>
      </c>
      <c r="H1884" s="108" t="s">
        <v>402</v>
      </c>
      <c r="I1884" s="111" t="s">
        <v>402</v>
      </c>
      <c r="J1884" s="111" t="s">
        <v>402</v>
      </c>
      <c r="K1884" s="106" t="s">
        <v>403</v>
      </c>
      <c r="L1884" s="55" t="s">
        <v>404</v>
      </c>
      <c r="M1884" s="55" t="s">
        <v>7634</v>
      </c>
    </row>
    <row r="1885" spans="1:13">
      <c r="A1885" s="408" t="s">
        <v>4983</v>
      </c>
      <c r="B1885" s="106" t="s">
        <v>327</v>
      </c>
      <c r="C1885" s="106" t="s">
        <v>473</v>
      </c>
      <c r="D1885" s="107" t="s">
        <v>4984</v>
      </c>
      <c r="E1885" s="109" t="s">
        <v>355</v>
      </c>
      <c r="F1885" s="109" t="s">
        <v>355</v>
      </c>
      <c r="G1885" s="55" t="s">
        <v>355</v>
      </c>
      <c r="H1885" s="108" t="s">
        <v>402</v>
      </c>
      <c r="I1885" s="111" t="s">
        <v>402</v>
      </c>
      <c r="J1885" s="111" t="s">
        <v>402</v>
      </c>
      <c r="K1885" s="106" t="s">
        <v>403</v>
      </c>
      <c r="L1885" s="55" t="s">
        <v>404</v>
      </c>
      <c r="M1885" s="55" t="s">
        <v>7634</v>
      </c>
    </row>
    <row r="1886" spans="1:13">
      <c r="A1886" s="401" t="s">
        <v>4985</v>
      </c>
      <c r="B1886" s="106" t="s">
        <v>327</v>
      </c>
      <c r="C1886" s="106" t="s">
        <v>473</v>
      </c>
      <c r="D1886" s="107" t="s">
        <v>4986</v>
      </c>
      <c r="E1886" s="107" t="s">
        <v>4987</v>
      </c>
      <c r="F1886" s="107" t="s">
        <v>4988</v>
      </c>
      <c r="G1886" s="114" t="s">
        <v>355</v>
      </c>
      <c r="H1886" s="108" t="s">
        <v>402</v>
      </c>
      <c r="I1886" s="111" t="s">
        <v>402</v>
      </c>
      <c r="J1886" s="111" t="s">
        <v>402</v>
      </c>
      <c r="K1886" s="115" t="s">
        <v>403</v>
      </c>
      <c r="L1886" s="55" t="s">
        <v>404</v>
      </c>
      <c r="M1886" s="55" t="s">
        <v>355</v>
      </c>
    </row>
    <row r="1887" spans="1:13">
      <c r="A1887" s="408" t="s">
        <v>4989</v>
      </c>
      <c r="B1887" s="106" t="s">
        <v>327</v>
      </c>
      <c r="C1887" s="106" t="s">
        <v>473</v>
      </c>
      <c r="D1887" s="107" t="s">
        <v>4990</v>
      </c>
      <c r="E1887" s="109" t="s">
        <v>355</v>
      </c>
      <c r="F1887" s="109" t="s">
        <v>355</v>
      </c>
      <c r="G1887" s="55" t="s">
        <v>355</v>
      </c>
      <c r="H1887" s="108" t="s">
        <v>402</v>
      </c>
      <c r="I1887" s="111" t="s">
        <v>402</v>
      </c>
      <c r="J1887" s="111" t="s">
        <v>402</v>
      </c>
      <c r="K1887" s="106" t="s">
        <v>403</v>
      </c>
      <c r="L1887" s="55" t="s">
        <v>404</v>
      </c>
      <c r="M1887" s="55" t="s">
        <v>7634</v>
      </c>
    </row>
    <row r="1888" spans="1:13">
      <c r="A1888" s="408" t="s">
        <v>4991</v>
      </c>
      <c r="B1888" s="106" t="s">
        <v>327</v>
      </c>
      <c r="C1888" s="106" t="s">
        <v>473</v>
      </c>
      <c r="D1888" s="107" t="s">
        <v>4990</v>
      </c>
      <c r="E1888" s="109" t="s">
        <v>355</v>
      </c>
      <c r="F1888" s="109" t="s">
        <v>355</v>
      </c>
      <c r="G1888" s="55" t="s">
        <v>355</v>
      </c>
      <c r="H1888" s="108" t="s">
        <v>402</v>
      </c>
      <c r="I1888" s="111" t="s">
        <v>402</v>
      </c>
      <c r="J1888" s="111" t="s">
        <v>402</v>
      </c>
      <c r="K1888" s="106" t="s">
        <v>403</v>
      </c>
      <c r="L1888" s="55" t="s">
        <v>404</v>
      </c>
      <c r="M1888" s="55" t="s">
        <v>7634</v>
      </c>
    </row>
    <row r="1889" spans="1:13">
      <c r="A1889" s="408" t="s">
        <v>4992</v>
      </c>
      <c r="B1889" s="106" t="s">
        <v>327</v>
      </c>
      <c r="C1889" s="106" t="s">
        <v>473</v>
      </c>
      <c r="D1889" s="107" t="s">
        <v>4993</v>
      </c>
      <c r="E1889" s="109" t="s">
        <v>355</v>
      </c>
      <c r="F1889" s="109" t="s">
        <v>355</v>
      </c>
      <c r="G1889" s="55" t="s">
        <v>355</v>
      </c>
      <c r="H1889" s="108" t="s">
        <v>402</v>
      </c>
      <c r="I1889" s="111" t="s">
        <v>402</v>
      </c>
      <c r="J1889" s="111" t="s">
        <v>402</v>
      </c>
      <c r="K1889" s="106" t="s">
        <v>403</v>
      </c>
      <c r="L1889" s="55" t="s">
        <v>404</v>
      </c>
      <c r="M1889" s="55" t="s">
        <v>7634</v>
      </c>
    </row>
    <row r="1890" spans="1:13">
      <c r="A1890" s="408" t="s">
        <v>4994</v>
      </c>
      <c r="B1890" s="106" t="s">
        <v>327</v>
      </c>
      <c r="C1890" s="106" t="s">
        <v>473</v>
      </c>
      <c r="D1890" s="107" t="s">
        <v>4993</v>
      </c>
      <c r="E1890" s="109" t="s">
        <v>355</v>
      </c>
      <c r="F1890" s="109" t="s">
        <v>355</v>
      </c>
      <c r="G1890" s="55" t="s">
        <v>355</v>
      </c>
      <c r="H1890" s="108" t="s">
        <v>402</v>
      </c>
      <c r="I1890" s="111" t="s">
        <v>402</v>
      </c>
      <c r="J1890" s="111" t="s">
        <v>402</v>
      </c>
      <c r="K1890" s="106" t="s">
        <v>403</v>
      </c>
      <c r="L1890" s="55" t="s">
        <v>404</v>
      </c>
      <c r="M1890" s="55" t="s">
        <v>7634</v>
      </c>
    </row>
    <row r="1891" spans="1:13">
      <c r="A1891" s="408" t="s">
        <v>4995</v>
      </c>
      <c r="B1891" s="106" t="s">
        <v>327</v>
      </c>
      <c r="C1891" s="106" t="s">
        <v>473</v>
      </c>
      <c r="D1891" s="107" t="s">
        <v>4996</v>
      </c>
      <c r="E1891" s="109" t="s">
        <v>355</v>
      </c>
      <c r="F1891" s="109" t="s">
        <v>355</v>
      </c>
      <c r="G1891" s="55" t="s">
        <v>355</v>
      </c>
      <c r="H1891" s="108" t="s">
        <v>402</v>
      </c>
      <c r="I1891" s="111" t="s">
        <v>402</v>
      </c>
      <c r="J1891" s="111" t="s">
        <v>402</v>
      </c>
      <c r="K1891" s="106" t="s">
        <v>403</v>
      </c>
      <c r="L1891" s="55" t="s">
        <v>404</v>
      </c>
      <c r="M1891" s="55" t="s">
        <v>7634</v>
      </c>
    </row>
    <row r="1892" spans="1:13">
      <c r="A1892" s="408" t="s">
        <v>4997</v>
      </c>
      <c r="B1892" s="106" t="s">
        <v>327</v>
      </c>
      <c r="C1892" s="106" t="s">
        <v>473</v>
      </c>
      <c r="D1892" s="107" t="s">
        <v>4996</v>
      </c>
      <c r="E1892" s="109" t="s">
        <v>355</v>
      </c>
      <c r="F1892" s="109" t="s">
        <v>355</v>
      </c>
      <c r="G1892" s="55" t="s">
        <v>355</v>
      </c>
      <c r="H1892" s="108" t="s">
        <v>402</v>
      </c>
      <c r="I1892" s="111" t="s">
        <v>402</v>
      </c>
      <c r="J1892" s="111" t="s">
        <v>402</v>
      </c>
      <c r="K1892" s="106" t="s">
        <v>403</v>
      </c>
      <c r="L1892" s="55" t="s">
        <v>404</v>
      </c>
      <c r="M1892" s="55" t="s">
        <v>7634</v>
      </c>
    </row>
    <row r="1893" spans="1:13">
      <c r="A1893" s="408" t="s">
        <v>4998</v>
      </c>
      <c r="B1893" s="106" t="s">
        <v>327</v>
      </c>
      <c r="C1893" s="106" t="s">
        <v>473</v>
      </c>
      <c r="D1893" s="107" t="s">
        <v>4999</v>
      </c>
      <c r="E1893" s="109" t="s">
        <v>355</v>
      </c>
      <c r="F1893" s="109" t="s">
        <v>355</v>
      </c>
      <c r="G1893" s="55" t="s">
        <v>355</v>
      </c>
      <c r="H1893" s="108" t="s">
        <v>402</v>
      </c>
      <c r="I1893" s="111" t="s">
        <v>402</v>
      </c>
      <c r="J1893" s="111" t="s">
        <v>402</v>
      </c>
      <c r="K1893" s="106" t="s">
        <v>403</v>
      </c>
      <c r="L1893" s="55" t="s">
        <v>404</v>
      </c>
      <c r="M1893" s="55" t="s">
        <v>7634</v>
      </c>
    </row>
    <row r="1894" spans="1:13">
      <c r="A1894" s="408" t="s">
        <v>5000</v>
      </c>
      <c r="B1894" s="106" t="s">
        <v>327</v>
      </c>
      <c r="C1894" s="106" t="s">
        <v>473</v>
      </c>
      <c r="D1894" s="107" t="s">
        <v>5001</v>
      </c>
      <c r="E1894" s="109" t="s">
        <v>355</v>
      </c>
      <c r="F1894" s="109" t="s">
        <v>355</v>
      </c>
      <c r="G1894" s="55" t="s">
        <v>355</v>
      </c>
      <c r="H1894" s="108" t="s">
        <v>402</v>
      </c>
      <c r="I1894" s="111" t="s">
        <v>402</v>
      </c>
      <c r="J1894" s="111" t="s">
        <v>402</v>
      </c>
      <c r="K1894" s="106" t="s">
        <v>403</v>
      </c>
      <c r="L1894" s="55" t="s">
        <v>404</v>
      </c>
      <c r="M1894" s="55" t="s">
        <v>7634</v>
      </c>
    </row>
    <row r="1895" spans="1:13">
      <c r="A1895" s="401" t="s">
        <v>5002</v>
      </c>
      <c r="B1895" s="106" t="s">
        <v>327</v>
      </c>
      <c r="C1895" s="106" t="s">
        <v>473</v>
      </c>
      <c r="D1895" s="107" t="s">
        <v>5003</v>
      </c>
      <c r="E1895" s="107" t="s">
        <v>5004</v>
      </c>
      <c r="F1895" s="107" t="s">
        <v>5005</v>
      </c>
      <c r="G1895" s="57" t="s">
        <v>5006</v>
      </c>
      <c r="H1895" s="108" t="s">
        <v>402</v>
      </c>
      <c r="I1895" s="111" t="s">
        <v>402</v>
      </c>
      <c r="J1895" s="111" t="s">
        <v>402</v>
      </c>
      <c r="K1895" s="106" t="s">
        <v>403</v>
      </c>
      <c r="L1895" s="55" t="s">
        <v>404</v>
      </c>
      <c r="M1895" s="55" t="s">
        <v>7634</v>
      </c>
    </row>
    <row r="1896" spans="1:13">
      <c r="A1896" s="401" t="s">
        <v>5007</v>
      </c>
      <c r="B1896" s="106" t="s">
        <v>327</v>
      </c>
      <c r="C1896" s="106" t="s">
        <v>473</v>
      </c>
      <c r="D1896" s="109"/>
      <c r="E1896" s="109" t="s">
        <v>355</v>
      </c>
      <c r="F1896" s="109" t="s">
        <v>355</v>
      </c>
      <c r="G1896" s="55" t="s">
        <v>355</v>
      </c>
      <c r="H1896" s="115" t="s">
        <v>402</v>
      </c>
      <c r="I1896" s="111" t="s">
        <v>402</v>
      </c>
      <c r="J1896" s="111" t="s">
        <v>402</v>
      </c>
      <c r="K1896" s="106"/>
      <c r="L1896" s="55"/>
      <c r="M1896" s="55" t="s">
        <v>7634</v>
      </c>
    </row>
    <row r="1897" spans="1:13">
      <c r="A1897" s="401" t="s">
        <v>5008</v>
      </c>
      <c r="B1897" s="106" t="s">
        <v>327</v>
      </c>
      <c r="C1897" s="106" t="s">
        <v>473</v>
      </c>
      <c r="D1897" s="109" t="s">
        <v>5009</v>
      </c>
      <c r="E1897" s="109" t="s">
        <v>5010</v>
      </c>
      <c r="F1897" s="109" t="s">
        <v>5011</v>
      </c>
      <c r="G1897" s="112" t="s">
        <v>5012</v>
      </c>
      <c r="H1897" s="115" t="s">
        <v>402</v>
      </c>
      <c r="I1897" s="111" t="s">
        <v>402</v>
      </c>
      <c r="J1897" s="111" t="s">
        <v>402</v>
      </c>
      <c r="K1897" s="106" t="s">
        <v>403</v>
      </c>
      <c r="L1897" s="55" t="s">
        <v>404</v>
      </c>
      <c r="M1897" s="113" t="s">
        <v>383</v>
      </c>
    </row>
    <row r="1898" spans="1:13">
      <c r="A1898" s="578" t="s">
        <v>5013</v>
      </c>
      <c r="B1898" s="586" t="s">
        <v>473</v>
      </c>
      <c r="C1898" s="586" t="s">
        <v>473</v>
      </c>
      <c r="D1898" s="586" t="s">
        <v>5014</v>
      </c>
      <c r="E1898" s="586" t="s">
        <v>3697</v>
      </c>
      <c r="F1898" s="586" t="s">
        <v>5015</v>
      </c>
      <c r="G1898" s="586" t="s">
        <v>377</v>
      </c>
      <c r="H1898" s="586" t="s">
        <v>359</v>
      </c>
      <c r="I1898" s="587" t="s">
        <v>359</v>
      </c>
      <c r="J1898" s="586"/>
      <c r="K1898" s="586" t="s">
        <v>360</v>
      </c>
      <c r="L1898" s="586" t="s">
        <v>361</v>
      </c>
      <c r="M1898" s="55" t="s">
        <v>7634</v>
      </c>
    </row>
    <row r="1899" spans="1:13">
      <c r="A1899" s="408" t="s">
        <v>5016</v>
      </c>
      <c r="B1899" s="106" t="s">
        <v>327</v>
      </c>
      <c r="C1899" s="106" t="s">
        <v>473</v>
      </c>
      <c r="D1899" s="107" t="s">
        <v>5017</v>
      </c>
      <c r="E1899" s="109" t="s">
        <v>355</v>
      </c>
      <c r="F1899" s="109" t="s">
        <v>355</v>
      </c>
      <c r="G1899" s="55" t="s">
        <v>355</v>
      </c>
      <c r="H1899" s="108" t="s">
        <v>402</v>
      </c>
      <c r="I1899" s="111" t="s">
        <v>402</v>
      </c>
      <c r="J1899" s="111" t="s">
        <v>402</v>
      </c>
      <c r="K1899" s="106" t="s">
        <v>403</v>
      </c>
      <c r="L1899" s="55" t="s">
        <v>404</v>
      </c>
      <c r="M1899" s="55" t="s">
        <v>7634</v>
      </c>
    </row>
    <row r="1900" spans="1:13">
      <c r="A1900" s="578" t="s">
        <v>5018</v>
      </c>
      <c r="B1900" s="586" t="s">
        <v>473</v>
      </c>
      <c r="C1900" s="586" t="s">
        <v>473</v>
      </c>
      <c r="D1900" s="586" t="s">
        <v>5019</v>
      </c>
      <c r="E1900" s="586" t="s">
        <v>5020</v>
      </c>
      <c r="F1900" s="586" t="s">
        <v>5021</v>
      </c>
      <c r="G1900" s="586"/>
      <c r="H1900" s="586" t="s">
        <v>359</v>
      </c>
      <c r="I1900" s="587" t="s">
        <v>359</v>
      </c>
      <c r="J1900" s="586"/>
      <c r="K1900" s="586" t="s">
        <v>5022</v>
      </c>
      <c r="L1900" s="586" t="s">
        <v>5023</v>
      </c>
      <c r="M1900" s="55" t="s">
        <v>7634</v>
      </c>
    </row>
    <row r="1901" spans="1:13">
      <c r="A1901" s="405" t="s">
        <v>253</v>
      </c>
      <c r="B1901" s="106" t="s">
        <v>327</v>
      </c>
      <c r="C1901" s="132" t="s">
        <v>473</v>
      </c>
      <c r="D1901" s="133" t="s">
        <v>8282</v>
      </c>
      <c r="E1901" s="133" t="s">
        <v>8283</v>
      </c>
      <c r="F1901" s="133" t="s">
        <v>8284</v>
      </c>
      <c r="G1901" s="585" t="s">
        <v>8285</v>
      </c>
      <c r="H1901" s="586" t="s">
        <v>359</v>
      </c>
      <c r="I1901" s="587" t="s">
        <v>359</v>
      </c>
      <c r="J1901" s="586"/>
      <c r="K1901" s="586" t="s">
        <v>5022</v>
      </c>
      <c r="L1901" s="586" t="s">
        <v>5023</v>
      </c>
      <c r="M1901" s="55" t="s">
        <v>383</v>
      </c>
    </row>
    <row r="1902" spans="1:13">
      <c r="A1902" s="401" t="s">
        <v>8586</v>
      </c>
      <c r="B1902" s="106" t="s">
        <v>327</v>
      </c>
      <c r="C1902" s="132" t="s">
        <v>327</v>
      </c>
      <c r="D1902" s="133" t="s">
        <v>8587</v>
      </c>
      <c r="E1902" s="133" t="s">
        <v>8283</v>
      </c>
      <c r="F1902" s="133" t="s">
        <v>8588</v>
      </c>
      <c r="G1902" s="585" t="s">
        <v>8589</v>
      </c>
      <c r="H1902" s="108" t="s">
        <v>402</v>
      </c>
      <c r="I1902" s="111" t="s">
        <v>402</v>
      </c>
      <c r="J1902" s="111" t="s">
        <v>402</v>
      </c>
      <c r="K1902" s="106" t="s">
        <v>403</v>
      </c>
      <c r="L1902" s="55" t="s">
        <v>404</v>
      </c>
      <c r="M1902" s="55" t="s">
        <v>383</v>
      </c>
    </row>
    <row r="1903" spans="1:13">
      <c r="A1903" s="408" t="s">
        <v>5024</v>
      </c>
      <c r="B1903" s="106" t="s">
        <v>327</v>
      </c>
      <c r="C1903" s="106" t="s">
        <v>473</v>
      </c>
      <c r="D1903" s="107" t="s">
        <v>5025</v>
      </c>
      <c r="E1903" s="109" t="s">
        <v>355</v>
      </c>
      <c r="F1903" s="109" t="s">
        <v>355</v>
      </c>
      <c r="G1903" s="55" t="s">
        <v>355</v>
      </c>
      <c r="H1903" s="108" t="s">
        <v>402</v>
      </c>
      <c r="I1903" s="111" t="s">
        <v>402</v>
      </c>
      <c r="J1903" s="111" t="s">
        <v>402</v>
      </c>
      <c r="K1903" s="106" t="s">
        <v>403</v>
      </c>
      <c r="L1903" s="55" t="s">
        <v>404</v>
      </c>
      <c r="M1903" s="55" t="s">
        <v>7634</v>
      </c>
    </row>
    <row r="1904" spans="1:13">
      <c r="A1904" s="401" t="s">
        <v>5026</v>
      </c>
      <c r="B1904" s="106" t="s">
        <v>327</v>
      </c>
      <c r="C1904" s="106" t="s">
        <v>473</v>
      </c>
      <c r="D1904" s="109" t="s">
        <v>383</v>
      </c>
      <c r="E1904" s="109" t="s">
        <v>383</v>
      </c>
      <c r="F1904" s="109" t="s">
        <v>383</v>
      </c>
      <c r="G1904" s="114" t="s">
        <v>383</v>
      </c>
      <c r="H1904" s="115" t="s">
        <v>402</v>
      </c>
      <c r="I1904" s="111" t="s">
        <v>402</v>
      </c>
      <c r="J1904" s="111" t="s">
        <v>402</v>
      </c>
      <c r="K1904" s="115" t="s">
        <v>403</v>
      </c>
      <c r="L1904" s="55" t="s">
        <v>404</v>
      </c>
      <c r="M1904" s="55" t="s">
        <v>383</v>
      </c>
    </row>
    <row r="1905" spans="1:13">
      <c r="A1905" s="408" t="s">
        <v>5027</v>
      </c>
      <c r="B1905" s="106" t="s">
        <v>327</v>
      </c>
      <c r="C1905" s="106" t="s">
        <v>473</v>
      </c>
      <c r="D1905" s="107" t="s">
        <v>5028</v>
      </c>
      <c r="E1905" s="109" t="s">
        <v>355</v>
      </c>
      <c r="F1905" s="109" t="s">
        <v>355</v>
      </c>
      <c r="G1905" s="55" t="s">
        <v>355</v>
      </c>
      <c r="H1905" s="108" t="s">
        <v>402</v>
      </c>
      <c r="I1905" s="111" t="s">
        <v>402</v>
      </c>
      <c r="J1905" s="111" t="s">
        <v>402</v>
      </c>
      <c r="K1905" s="106" t="s">
        <v>403</v>
      </c>
      <c r="L1905" s="55" t="s">
        <v>404</v>
      </c>
      <c r="M1905" s="55" t="s">
        <v>7634</v>
      </c>
    </row>
    <row r="1906" spans="1:13">
      <c r="A1906" s="408" t="s">
        <v>5029</v>
      </c>
      <c r="B1906" s="106" t="s">
        <v>327</v>
      </c>
      <c r="C1906" s="106" t="s">
        <v>473</v>
      </c>
      <c r="D1906" s="107" t="s">
        <v>5030</v>
      </c>
      <c r="E1906" s="109" t="s">
        <v>355</v>
      </c>
      <c r="F1906" s="109" t="s">
        <v>355</v>
      </c>
      <c r="G1906" s="55" t="s">
        <v>355</v>
      </c>
      <c r="H1906" s="108" t="s">
        <v>402</v>
      </c>
      <c r="I1906" s="111" t="s">
        <v>402</v>
      </c>
      <c r="J1906" s="111" t="s">
        <v>402</v>
      </c>
      <c r="K1906" s="106" t="s">
        <v>403</v>
      </c>
      <c r="L1906" s="55" t="s">
        <v>404</v>
      </c>
      <c r="M1906" s="55" t="s">
        <v>7634</v>
      </c>
    </row>
    <row r="1907" spans="1:13">
      <c r="A1907" s="408" t="s">
        <v>5031</v>
      </c>
      <c r="B1907" s="106" t="s">
        <v>327</v>
      </c>
      <c r="C1907" s="106" t="s">
        <v>473</v>
      </c>
      <c r="D1907" s="107" t="s">
        <v>5030</v>
      </c>
      <c r="E1907" s="109" t="s">
        <v>355</v>
      </c>
      <c r="F1907" s="109" t="s">
        <v>355</v>
      </c>
      <c r="G1907" s="55" t="s">
        <v>355</v>
      </c>
      <c r="H1907" s="108" t="s">
        <v>402</v>
      </c>
      <c r="I1907" s="111" t="s">
        <v>402</v>
      </c>
      <c r="J1907" s="111" t="s">
        <v>402</v>
      </c>
      <c r="K1907" s="106" t="s">
        <v>403</v>
      </c>
      <c r="L1907" s="55" t="s">
        <v>404</v>
      </c>
      <c r="M1907" s="55" t="s">
        <v>7634</v>
      </c>
    </row>
    <row r="1908" spans="1:13">
      <c r="A1908" s="408" t="s">
        <v>5032</v>
      </c>
      <c r="B1908" s="106" t="s">
        <v>327</v>
      </c>
      <c r="C1908" s="106" t="s">
        <v>473</v>
      </c>
      <c r="D1908" s="107" t="s">
        <v>5030</v>
      </c>
      <c r="E1908" s="109" t="s">
        <v>355</v>
      </c>
      <c r="F1908" s="109" t="s">
        <v>355</v>
      </c>
      <c r="G1908" s="55" t="s">
        <v>355</v>
      </c>
      <c r="H1908" s="108" t="s">
        <v>402</v>
      </c>
      <c r="I1908" s="111" t="s">
        <v>402</v>
      </c>
      <c r="J1908" s="111" t="s">
        <v>402</v>
      </c>
      <c r="K1908" s="106" t="s">
        <v>403</v>
      </c>
      <c r="L1908" s="55" t="s">
        <v>404</v>
      </c>
      <c r="M1908" s="55" t="s">
        <v>7634</v>
      </c>
    </row>
    <row r="1909" spans="1:13">
      <c r="A1909" s="408" t="s">
        <v>5033</v>
      </c>
      <c r="B1909" s="106" t="s">
        <v>327</v>
      </c>
      <c r="C1909" s="106" t="s">
        <v>473</v>
      </c>
      <c r="D1909" s="107" t="s">
        <v>5034</v>
      </c>
      <c r="E1909" s="109" t="s">
        <v>355</v>
      </c>
      <c r="F1909" s="109" t="s">
        <v>355</v>
      </c>
      <c r="G1909" s="55" t="s">
        <v>355</v>
      </c>
      <c r="H1909" s="108" t="s">
        <v>402</v>
      </c>
      <c r="I1909" s="111" t="s">
        <v>402</v>
      </c>
      <c r="J1909" s="111" t="s">
        <v>402</v>
      </c>
      <c r="K1909" s="106" t="s">
        <v>403</v>
      </c>
      <c r="L1909" s="55" t="s">
        <v>404</v>
      </c>
      <c r="M1909" s="55" t="s">
        <v>7634</v>
      </c>
    </row>
    <row r="1910" spans="1:13">
      <c r="A1910" s="408" t="s">
        <v>5035</v>
      </c>
      <c r="B1910" s="106" t="s">
        <v>327</v>
      </c>
      <c r="C1910" s="106" t="s">
        <v>473</v>
      </c>
      <c r="D1910" s="107" t="s">
        <v>5036</v>
      </c>
      <c r="E1910" s="109" t="s">
        <v>355</v>
      </c>
      <c r="F1910" s="109" t="s">
        <v>355</v>
      </c>
      <c r="G1910" s="55" t="s">
        <v>355</v>
      </c>
      <c r="H1910" s="108" t="s">
        <v>402</v>
      </c>
      <c r="I1910" s="111" t="s">
        <v>402</v>
      </c>
      <c r="J1910" s="111" t="s">
        <v>402</v>
      </c>
      <c r="K1910" s="106" t="s">
        <v>403</v>
      </c>
      <c r="L1910" s="55" t="s">
        <v>404</v>
      </c>
      <c r="M1910" s="55" t="s">
        <v>7634</v>
      </c>
    </row>
    <row r="1911" spans="1:13">
      <c r="A1911" s="578" t="s">
        <v>5037</v>
      </c>
      <c r="B1911" s="586" t="s">
        <v>373</v>
      </c>
      <c r="C1911" s="586" t="s">
        <v>473</v>
      </c>
      <c r="D1911" s="586" t="s">
        <v>5038</v>
      </c>
      <c r="E1911" s="586" t="s">
        <v>5039</v>
      </c>
      <c r="F1911" s="586" t="s">
        <v>5040</v>
      </c>
      <c r="G1911" s="586" t="s">
        <v>377</v>
      </c>
      <c r="H1911" s="586" t="s">
        <v>359</v>
      </c>
      <c r="I1911" s="587" t="s">
        <v>359</v>
      </c>
      <c r="J1911" s="586"/>
      <c r="K1911" s="586" t="s">
        <v>360</v>
      </c>
      <c r="L1911" s="586" t="s">
        <v>361</v>
      </c>
      <c r="M1911" s="586" t="s">
        <v>377</v>
      </c>
    </row>
    <row r="1912" spans="1:13">
      <c r="A1912" s="408" t="s">
        <v>5041</v>
      </c>
      <c r="B1912" s="106" t="s">
        <v>327</v>
      </c>
      <c r="C1912" s="106" t="s">
        <v>473</v>
      </c>
      <c r="D1912" s="107" t="s">
        <v>5042</v>
      </c>
      <c r="E1912" s="109" t="s">
        <v>355</v>
      </c>
      <c r="F1912" s="109" t="s">
        <v>355</v>
      </c>
      <c r="G1912" s="55" t="s">
        <v>355</v>
      </c>
      <c r="H1912" s="108" t="s">
        <v>402</v>
      </c>
      <c r="I1912" s="111" t="s">
        <v>402</v>
      </c>
      <c r="J1912" s="111" t="s">
        <v>402</v>
      </c>
      <c r="K1912" s="106" t="s">
        <v>403</v>
      </c>
      <c r="L1912" s="55" t="s">
        <v>404</v>
      </c>
      <c r="M1912" s="55" t="s">
        <v>7634</v>
      </c>
    </row>
    <row r="1913" spans="1:13">
      <c r="A1913" s="578" t="s">
        <v>5043</v>
      </c>
      <c r="B1913" s="586" t="s">
        <v>473</v>
      </c>
      <c r="C1913" s="586" t="s">
        <v>473</v>
      </c>
      <c r="D1913" s="586" t="s">
        <v>5044</v>
      </c>
      <c r="E1913" s="586" t="s">
        <v>5045</v>
      </c>
      <c r="F1913" s="586" t="s">
        <v>5046</v>
      </c>
      <c r="G1913" s="586" t="s">
        <v>377</v>
      </c>
      <c r="H1913" s="586" t="s">
        <v>359</v>
      </c>
      <c r="I1913" s="587" t="s">
        <v>359</v>
      </c>
      <c r="J1913" s="586"/>
      <c r="K1913" s="586" t="s">
        <v>360</v>
      </c>
      <c r="L1913" s="586" t="s">
        <v>361</v>
      </c>
      <c r="M1913" s="55" t="s">
        <v>7634</v>
      </c>
    </row>
    <row r="1914" spans="1:13">
      <c r="A1914" s="408" t="s">
        <v>5047</v>
      </c>
      <c r="B1914" s="106" t="s">
        <v>327</v>
      </c>
      <c r="C1914" s="106" t="s">
        <v>473</v>
      </c>
      <c r="D1914" s="107" t="s">
        <v>5048</v>
      </c>
      <c r="E1914" s="109" t="s">
        <v>355</v>
      </c>
      <c r="F1914" s="109" t="s">
        <v>355</v>
      </c>
      <c r="G1914" s="55" t="s">
        <v>355</v>
      </c>
      <c r="H1914" s="108" t="s">
        <v>402</v>
      </c>
      <c r="I1914" s="111" t="s">
        <v>402</v>
      </c>
      <c r="J1914" s="111" t="s">
        <v>402</v>
      </c>
      <c r="K1914" s="106" t="s">
        <v>403</v>
      </c>
      <c r="L1914" s="55" t="s">
        <v>404</v>
      </c>
      <c r="M1914" s="55" t="s">
        <v>7634</v>
      </c>
    </row>
    <row r="1915" spans="1:13">
      <c r="A1915" s="408" t="s">
        <v>5049</v>
      </c>
      <c r="B1915" s="106" t="s">
        <v>327</v>
      </c>
      <c r="C1915" s="106" t="s">
        <v>473</v>
      </c>
      <c r="D1915" s="107" t="s">
        <v>5050</v>
      </c>
      <c r="E1915" s="109" t="s">
        <v>355</v>
      </c>
      <c r="F1915" s="109" t="s">
        <v>355</v>
      </c>
      <c r="G1915" s="55" t="s">
        <v>355</v>
      </c>
      <c r="H1915" s="108" t="s">
        <v>402</v>
      </c>
      <c r="I1915" s="111" t="s">
        <v>402</v>
      </c>
      <c r="J1915" s="111" t="s">
        <v>402</v>
      </c>
      <c r="K1915" s="106" t="s">
        <v>403</v>
      </c>
      <c r="L1915" s="55" t="s">
        <v>404</v>
      </c>
      <c r="M1915" s="55" t="s">
        <v>7634</v>
      </c>
    </row>
    <row r="1916" spans="1:13">
      <c r="A1916" s="408" t="s">
        <v>5051</v>
      </c>
      <c r="B1916" s="106" t="s">
        <v>327</v>
      </c>
      <c r="C1916" s="106" t="s">
        <v>473</v>
      </c>
      <c r="D1916" s="107" t="s">
        <v>5052</v>
      </c>
      <c r="E1916" s="109" t="s">
        <v>355</v>
      </c>
      <c r="F1916" s="109" t="s">
        <v>355</v>
      </c>
      <c r="G1916" s="55" t="s">
        <v>355</v>
      </c>
      <c r="H1916" s="108" t="s">
        <v>402</v>
      </c>
      <c r="I1916" s="111" t="s">
        <v>402</v>
      </c>
      <c r="J1916" s="111" t="s">
        <v>402</v>
      </c>
      <c r="K1916" s="106" t="s">
        <v>403</v>
      </c>
      <c r="L1916" s="55" t="s">
        <v>404</v>
      </c>
      <c r="M1916" s="55" t="s">
        <v>7634</v>
      </c>
    </row>
    <row r="1917" spans="1:13">
      <c r="A1917" s="408" t="s">
        <v>5053</v>
      </c>
      <c r="B1917" s="106" t="s">
        <v>327</v>
      </c>
      <c r="C1917" s="106" t="s">
        <v>473</v>
      </c>
      <c r="D1917" s="107" t="s">
        <v>5054</v>
      </c>
      <c r="E1917" s="109" t="s">
        <v>355</v>
      </c>
      <c r="F1917" s="109" t="s">
        <v>355</v>
      </c>
      <c r="G1917" s="55" t="s">
        <v>355</v>
      </c>
      <c r="H1917" s="108" t="s">
        <v>402</v>
      </c>
      <c r="I1917" s="111" t="s">
        <v>402</v>
      </c>
      <c r="J1917" s="111" t="s">
        <v>402</v>
      </c>
      <c r="K1917" s="106" t="s">
        <v>403</v>
      </c>
      <c r="L1917" s="55" t="s">
        <v>404</v>
      </c>
      <c r="M1917" s="55" t="s">
        <v>7634</v>
      </c>
    </row>
    <row r="1918" spans="1:13">
      <c r="A1918" s="408" t="s">
        <v>5055</v>
      </c>
      <c r="B1918" s="106" t="s">
        <v>327</v>
      </c>
      <c r="C1918" s="106" t="s">
        <v>473</v>
      </c>
      <c r="D1918" s="107" t="s">
        <v>5056</v>
      </c>
      <c r="E1918" s="109" t="s">
        <v>355</v>
      </c>
      <c r="F1918" s="109" t="s">
        <v>355</v>
      </c>
      <c r="G1918" s="55" t="s">
        <v>355</v>
      </c>
      <c r="H1918" s="108" t="s">
        <v>402</v>
      </c>
      <c r="I1918" s="111" t="s">
        <v>402</v>
      </c>
      <c r="J1918" s="111" t="s">
        <v>402</v>
      </c>
      <c r="K1918" s="106" t="s">
        <v>403</v>
      </c>
      <c r="L1918" s="55" t="s">
        <v>404</v>
      </c>
      <c r="M1918" s="55" t="s">
        <v>7634</v>
      </c>
    </row>
    <row r="1919" spans="1:13">
      <c r="A1919" s="408" t="s">
        <v>5057</v>
      </c>
      <c r="B1919" s="106" t="s">
        <v>327</v>
      </c>
      <c r="C1919" s="106" t="s">
        <v>473</v>
      </c>
      <c r="D1919" s="107" t="s">
        <v>5058</v>
      </c>
      <c r="E1919" s="109" t="s">
        <v>355</v>
      </c>
      <c r="F1919" s="109" t="s">
        <v>355</v>
      </c>
      <c r="G1919" s="55" t="s">
        <v>355</v>
      </c>
      <c r="H1919" s="108" t="s">
        <v>402</v>
      </c>
      <c r="I1919" s="111" t="s">
        <v>402</v>
      </c>
      <c r="J1919" s="111" t="s">
        <v>402</v>
      </c>
      <c r="K1919" s="106" t="s">
        <v>403</v>
      </c>
      <c r="L1919" s="55" t="s">
        <v>404</v>
      </c>
      <c r="M1919" s="55" t="s">
        <v>7634</v>
      </c>
    </row>
    <row r="1920" spans="1:13">
      <c r="A1920" s="408" t="s">
        <v>5059</v>
      </c>
      <c r="B1920" s="106" t="s">
        <v>327</v>
      </c>
      <c r="C1920" s="106" t="s">
        <v>473</v>
      </c>
      <c r="D1920" s="107" t="s">
        <v>5060</v>
      </c>
      <c r="E1920" s="109" t="s">
        <v>355</v>
      </c>
      <c r="F1920" s="109" t="s">
        <v>355</v>
      </c>
      <c r="G1920" s="55" t="s">
        <v>355</v>
      </c>
      <c r="H1920" s="108" t="s">
        <v>402</v>
      </c>
      <c r="I1920" s="111" t="s">
        <v>402</v>
      </c>
      <c r="J1920" s="111" t="s">
        <v>402</v>
      </c>
      <c r="K1920" s="106" t="s">
        <v>403</v>
      </c>
      <c r="L1920" s="55" t="s">
        <v>404</v>
      </c>
      <c r="M1920" s="55" t="s">
        <v>7634</v>
      </c>
    </row>
    <row r="1921" spans="1:13">
      <c r="A1921" s="408" t="s">
        <v>5061</v>
      </c>
      <c r="B1921" s="106" t="s">
        <v>327</v>
      </c>
      <c r="C1921" s="106" t="s">
        <v>473</v>
      </c>
      <c r="D1921" s="107" t="s">
        <v>5062</v>
      </c>
      <c r="E1921" s="109" t="s">
        <v>355</v>
      </c>
      <c r="F1921" s="109" t="s">
        <v>355</v>
      </c>
      <c r="G1921" s="55" t="s">
        <v>355</v>
      </c>
      <c r="H1921" s="108" t="s">
        <v>402</v>
      </c>
      <c r="I1921" s="111" t="s">
        <v>402</v>
      </c>
      <c r="J1921" s="111" t="s">
        <v>402</v>
      </c>
      <c r="K1921" s="106" t="s">
        <v>403</v>
      </c>
      <c r="L1921" s="55" t="s">
        <v>404</v>
      </c>
      <c r="M1921" s="55" t="s">
        <v>7634</v>
      </c>
    </row>
    <row r="1922" spans="1:13">
      <c r="A1922" s="408" t="s">
        <v>5063</v>
      </c>
      <c r="B1922" s="106" t="s">
        <v>327</v>
      </c>
      <c r="C1922" s="106" t="s">
        <v>473</v>
      </c>
      <c r="D1922" s="107" t="s">
        <v>5064</v>
      </c>
      <c r="E1922" s="109" t="s">
        <v>355</v>
      </c>
      <c r="F1922" s="109" t="s">
        <v>355</v>
      </c>
      <c r="G1922" s="55" t="s">
        <v>355</v>
      </c>
      <c r="H1922" s="108" t="s">
        <v>402</v>
      </c>
      <c r="I1922" s="111" t="s">
        <v>402</v>
      </c>
      <c r="J1922" s="111" t="s">
        <v>402</v>
      </c>
      <c r="K1922" s="106" t="s">
        <v>403</v>
      </c>
      <c r="L1922" s="55" t="s">
        <v>404</v>
      </c>
      <c r="M1922" s="55" t="s">
        <v>7634</v>
      </c>
    </row>
    <row r="1923" spans="1:13">
      <c r="A1923" s="408" t="s">
        <v>5065</v>
      </c>
      <c r="B1923" s="106" t="s">
        <v>327</v>
      </c>
      <c r="C1923" s="106" t="s">
        <v>473</v>
      </c>
      <c r="D1923" s="107" t="s">
        <v>5066</v>
      </c>
      <c r="E1923" s="109" t="s">
        <v>355</v>
      </c>
      <c r="F1923" s="109" t="s">
        <v>355</v>
      </c>
      <c r="G1923" s="55" t="s">
        <v>355</v>
      </c>
      <c r="H1923" s="108" t="s">
        <v>402</v>
      </c>
      <c r="I1923" s="111" t="s">
        <v>402</v>
      </c>
      <c r="J1923" s="111" t="s">
        <v>402</v>
      </c>
      <c r="K1923" s="106" t="s">
        <v>403</v>
      </c>
      <c r="L1923" s="55" t="s">
        <v>404</v>
      </c>
      <c r="M1923" s="55" t="s">
        <v>7634</v>
      </c>
    </row>
    <row r="1924" spans="1:13">
      <c r="A1924" s="408" t="s">
        <v>5067</v>
      </c>
      <c r="B1924" s="106" t="s">
        <v>327</v>
      </c>
      <c r="C1924" s="106" t="s">
        <v>473</v>
      </c>
      <c r="D1924" s="107" t="s">
        <v>5068</v>
      </c>
      <c r="E1924" s="109" t="s">
        <v>355</v>
      </c>
      <c r="F1924" s="109" t="s">
        <v>355</v>
      </c>
      <c r="G1924" s="55" t="s">
        <v>355</v>
      </c>
      <c r="H1924" s="108" t="s">
        <v>402</v>
      </c>
      <c r="I1924" s="111" t="s">
        <v>402</v>
      </c>
      <c r="J1924" s="111" t="s">
        <v>402</v>
      </c>
      <c r="K1924" s="106" t="s">
        <v>403</v>
      </c>
      <c r="L1924" s="55" t="s">
        <v>404</v>
      </c>
      <c r="M1924" s="55" t="s">
        <v>7634</v>
      </c>
    </row>
    <row r="1925" spans="1:13">
      <c r="A1925" s="408" t="s">
        <v>5069</v>
      </c>
      <c r="B1925" s="106" t="s">
        <v>327</v>
      </c>
      <c r="C1925" s="106" t="s">
        <v>473</v>
      </c>
      <c r="D1925" s="107" t="s">
        <v>5070</v>
      </c>
      <c r="E1925" s="109" t="s">
        <v>355</v>
      </c>
      <c r="F1925" s="109" t="s">
        <v>355</v>
      </c>
      <c r="G1925" s="55" t="s">
        <v>355</v>
      </c>
      <c r="H1925" s="108" t="s">
        <v>402</v>
      </c>
      <c r="I1925" s="111" t="s">
        <v>402</v>
      </c>
      <c r="J1925" s="111" t="s">
        <v>402</v>
      </c>
      <c r="K1925" s="106" t="s">
        <v>403</v>
      </c>
      <c r="L1925" s="55" t="s">
        <v>404</v>
      </c>
      <c r="M1925" s="55" t="s">
        <v>7634</v>
      </c>
    </row>
    <row r="1926" spans="1:13">
      <c r="A1926" s="408" t="s">
        <v>5071</v>
      </c>
      <c r="B1926" s="106" t="s">
        <v>327</v>
      </c>
      <c r="C1926" s="106" t="s">
        <v>473</v>
      </c>
      <c r="D1926" s="107" t="s">
        <v>5072</v>
      </c>
      <c r="E1926" s="109" t="s">
        <v>355</v>
      </c>
      <c r="F1926" s="109" t="s">
        <v>355</v>
      </c>
      <c r="G1926" s="55" t="s">
        <v>355</v>
      </c>
      <c r="H1926" s="108" t="s">
        <v>402</v>
      </c>
      <c r="I1926" s="111" t="s">
        <v>402</v>
      </c>
      <c r="J1926" s="111" t="s">
        <v>402</v>
      </c>
      <c r="K1926" s="106" t="s">
        <v>403</v>
      </c>
      <c r="L1926" s="55" t="s">
        <v>404</v>
      </c>
      <c r="M1926" s="55" t="s">
        <v>7634</v>
      </c>
    </row>
    <row r="1927" spans="1:13">
      <c r="A1927" s="408" t="s">
        <v>5073</v>
      </c>
      <c r="B1927" s="106" t="s">
        <v>327</v>
      </c>
      <c r="C1927" s="106" t="s">
        <v>473</v>
      </c>
      <c r="D1927" s="107" t="s">
        <v>5074</v>
      </c>
      <c r="E1927" s="109" t="s">
        <v>355</v>
      </c>
      <c r="F1927" s="109" t="s">
        <v>355</v>
      </c>
      <c r="G1927" s="55" t="s">
        <v>355</v>
      </c>
      <c r="H1927" s="108" t="s">
        <v>402</v>
      </c>
      <c r="I1927" s="111" t="s">
        <v>402</v>
      </c>
      <c r="J1927" s="111" t="s">
        <v>402</v>
      </c>
      <c r="K1927" s="106" t="s">
        <v>403</v>
      </c>
      <c r="L1927" s="55" t="s">
        <v>404</v>
      </c>
      <c r="M1927" s="55" t="s">
        <v>7634</v>
      </c>
    </row>
    <row r="1928" spans="1:13">
      <c r="A1928" s="408" t="s">
        <v>5075</v>
      </c>
      <c r="B1928" s="106" t="s">
        <v>327</v>
      </c>
      <c r="C1928" s="106" t="s">
        <v>473</v>
      </c>
      <c r="D1928" s="107" t="s">
        <v>5076</v>
      </c>
      <c r="E1928" s="109" t="s">
        <v>355</v>
      </c>
      <c r="F1928" s="109" t="s">
        <v>355</v>
      </c>
      <c r="G1928" s="55" t="s">
        <v>355</v>
      </c>
      <c r="H1928" s="108" t="s">
        <v>402</v>
      </c>
      <c r="I1928" s="111" t="s">
        <v>402</v>
      </c>
      <c r="J1928" s="111" t="s">
        <v>402</v>
      </c>
      <c r="K1928" s="106" t="s">
        <v>403</v>
      </c>
      <c r="L1928" s="55" t="s">
        <v>404</v>
      </c>
      <c r="M1928" s="55" t="s">
        <v>7634</v>
      </c>
    </row>
    <row r="1929" spans="1:13">
      <c r="A1929" s="401" t="s">
        <v>5077</v>
      </c>
      <c r="B1929" s="106" t="s">
        <v>984</v>
      </c>
      <c r="C1929" s="106" t="s">
        <v>473</v>
      </c>
      <c r="D1929" s="109" t="s">
        <v>5078</v>
      </c>
      <c r="E1929" s="109" t="s">
        <v>1748</v>
      </c>
      <c r="F1929" s="109" t="s">
        <v>5079</v>
      </c>
      <c r="G1929" s="114" t="s">
        <v>383</v>
      </c>
      <c r="H1929" s="115" t="s">
        <v>402</v>
      </c>
      <c r="I1929" s="111" t="s">
        <v>402</v>
      </c>
      <c r="J1929" s="111" t="s">
        <v>402</v>
      </c>
      <c r="K1929" s="115" t="s">
        <v>403</v>
      </c>
      <c r="L1929" s="55" t="s">
        <v>404</v>
      </c>
      <c r="M1929" s="113" t="s">
        <v>5080</v>
      </c>
    </row>
    <row r="1930" spans="1:13">
      <c r="A1930" s="408" t="s">
        <v>5081</v>
      </c>
      <c r="B1930" s="106" t="s">
        <v>327</v>
      </c>
      <c r="C1930" s="106" t="s">
        <v>473</v>
      </c>
      <c r="D1930" s="107" t="s">
        <v>5082</v>
      </c>
      <c r="E1930" s="109" t="s">
        <v>355</v>
      </c>
      <c r="F1930" s="109" t="s">
        <v>355</v>
      </c>
      <c r="G1930" s="55" t="s">
        <v>355</v>
      </c>
      <c r="H1930" s="108" t="s">
        <v>402</v>
      </c>
      <c r="I1930" s="111" t="s">
        <v>402</v>
      </c>
      <c r="J1930" s="111" t="s">
        <v>402</v>
      </c>
      <c r="K1930" s="106" t="s">
        <v>403</v>
      </c>
      <c r="L1930" s="55" t="s">
        <v>404</v>
      </c>
      <c r="M1930" s="55" t="s">
        <v>7634</v>
      </c>
    </row>
    <row r="1931" spans="1:13">
      <c r="A1931" s="408" t="s">
        <v>5083</v>
      </c>
      <c r="B1931" s="106" t="s">
        <v>327</v>
      </c>
      <c r="C1931" s="106" t="s">
        <v>473</v>
      </c>
      <c r="D1931" s="107" t="s">
        <v>5084</v>
      </c>
      <c r="E1931" s="109" t="s">
        <v>355</v>
      </c>
      <c r="F1931" s="109" t="s">
        <v>355</v>
      </c>
      <c r="G1931" s="55" t="s">
        <v>355</v>
      </c>
      <c r="H1931" s="108" t="s">
        <v>402</v>
      </c>
      <c r="I1931" s="111" t="s">
        <v>402</v>
      </c>
      <c r="J1931" s="111" t="s">
        <v>402</v>
      </c>
      <c r="K1931" s="106" t="s">
        <v>403</v>
      </c>
      <c r="L1931" s="55" t="s">
        <v>404</v>
      </c>
      <c r="M1931" s="55" t="s">
        <v>7634</v>
      </c>
    </row>
    <row r="1932" spans="1:13">
      <c r="A1932" s="408" t="s">
        <v>5085</v>
      </c>
      <c r="B1932" s="106" t="s">
        <v>327</v>
      </c>
      <c r="C1932" s="106" t="s">
        <v>473</v>
      </c>
      <c r="D1932" s="107" t="s">
        <v>5086</v>
      </c>
      <c r="E1932" s="109" t="s">
        <v>355</v>
      </c>
      <c r="F1932" s="109" t="s">
        <v>355</v>
      </c>
      <c r="G1932" s="55" t="s">
        <v>355</v>
      </c>
      <c r="H1932" s="108" t="s">
        <v>402</v>
      </c>
      <c r="I1932" s="111" t="s">
        <v>402</v>
      </c>
      <c r="J1932" s="111" t="s">
        <v>402</v>
      </c>
      <c r="K1932" s="106" t="s">
        <v>403</v>
      </c>
      <c r="L1932" s="55" t="s">
        <v>404</v>
      </c>
      <c r="M1932" s="55" t="s">
        <v>7634</v>
      </c>
    </row>
    <row r="1933" spans="1:13">
      <c r="A1933" s="408" t="s">
        <v>5087</v>
      </c>
      <c r="B1933" s="106" t="s">
        <v>327</v>
      </c>
      <c r="C1933" s="106" t="s">
        <v>473</v>
      </c>
      <c r="D1933" s="107" t="s">
        <v>5088</v>
      </c>
      <c r="E1933" s="109" t="s">
        <v>355</v>
      </c>
      <c r="F1933" s="109" t="s">
        <v>355</v>
      </c>
      <c r="G1933" s="55" t="s">
        <v>355</v>
      </c>
      <c r="H1933" s="108" t="s">
        <v>402</v>
      </c>
      <c r="I1933" s="111" t="s">
        <v>402</v>
      </c>
      <c r="J1933" s="111" t="s">
        <v>402</v>
      </c>
      <c r="K1933" s="106" t="s">
        <v>403</v>
      </c>
      <c r="L1933" s="55" t="s">
        <v>404</v>
      </c>
      <c r="M1933" s="55" t="s">
        <v>7634</v>
      </c>
    </row>
    <row r="1934" spans="1:13">
      <c r="A1934" s="408" t="s">
        <v>5089</v>
      </c>
      <c r="B1934" s="106" t="s">
        <v>327</v>
      </c>
      <c r="C1934" s="106" t="s">
        <v>473</v>
      </c>
      <c r="D1934" s="107" t="s">
        <v>5090</v>
      </c>
      <c r="E1934" s="109" t="s">
        <v>355</v>
      </c>
      <c r="F1934" s="109" t="s">
        <v>355</v>
      </c>
      <c r="G1934" s="55" t="s">
        <v>355</v>
      </c>
      <c r="H1934" s="108" t="s">
        <v>402</v>
      </c>
      <c r="I1934" s="111" t="s">
        <v>402</v>
      </c>
      <c r="J1934" s="111" t="s">
        <v>402</v>
      </c>
      <c r="K1934" s="106" t="s">
        <v>403</v>
      </c>
      <c r="L1934" s="55" t="s">
        <v>404</v>
      </c>
      <c r="M1934" s="55" t="s">
        <v>7634</v>
      </c>
    </row>
    <row r="1935" spans="1:13">
      <c r="A1935" s="408" t="s">
        <v>5091</v>
      </c>
      <c r="B1935" s="106" t="s">
        <v>327</v>
      </c>
      <c r="C1935" s="106" t="s">
        <v>473</v>
      </c>
      <c r="D1935" s="107" t="s">
        <v>5092</v>
      </c>
      <c r="E1935" s="109" t="s">
        <v>355</v>
      </c>
      <c r="F1935" s="109" t="s">
        <v>355</v>
      </c>
      <c r="G1935" s="55" t="s">
        <v>355</v>
      </c>
      <c r="H1935" s="108" t="s">
        <v>402</v>
      </c>
      <c r="I1935" s="111" t="s">
        <v>402</v>
      </c>
      <c r="J1935" s="111" t="s">
        <v>402</v>
      </c>
      <c r="K1935" s="106" t="s">
        <v>403</v>
      </c>
      <c r="L1935" s="55" t="s">
        <v>404</v>
      </c>
      <c r="M1935" s="55" t="s">
        <v>7634</v>
      </c>
    </row>
    <row r="1936" spans="1:13">
      <c r="A1936" s="408" t="s">
        <v>5093</v>
      </c>
      <c r="B1936" s="106" t="s">
        <v>327</v>
      </c>
      <c r="C1936" s="106" t="s">
        <v>473</v>
      </c>
      <c r="D1936" s="107" t="s">
        <v>5094</v>
      </c>
      <c r="E1936" s="109" t="s">
        <v>355</v>
      </c>
      <c r="F1936" s="109" t="s">
        <v>355</v>
      </c>
      <c r="G1936" s="55" t="s">
        <v>355</v>
      </c>
      <c r="H1936" s="108" t="s">
        <v>402</v>
      </c>
      <c r="I1936" s="111" t="s">
        <v>402</v>
      </c>
      <c r="J1936" s="111" t="s">
        <v>402</v>
      </c>
      <c r="K1936" s="106" t="s">
        <v>403</v>
      </c>
      <c r="L1936" s="55" t="s">
        <v>404</v>
      </c>
      <c r="M1936" s="55" t="s">
        <v>7634</v>
      </c>
    </row>
    <row r="1937" spans="1:13">
      <c r="A1937" s="408" t="s">
        <v>5095</v>
      </c>
      <c r="B1937" s="106" t="s">
        <v>327</v>
      </c>
      <c r="C1937" s="106" t="s">
        <v>473</v>
      </c>
      <c r="D1937" s="107" t="s">
        <v>5096</v>
      </c>
      <c r="E1937" s="109" t="s">
        <v>355</v>
      </c>
      <c r="F1937" s="109" t="s">
        <v>355</v>
      </c>
      <c r="G1937" s="55" t="s">
        <v>355</v>
      </c>
      <c r="H1937" s="108" t="s">
        <v>402</v>
      </c>
      <c r="I1937" s="111" t="s">
        <v>402</v>
      </c>
      <c r="J1937" s="111" t="s">
        <v>402</v>
      </c>
      <c r="K1937" s="106" t="s">
        <v>403</v>
      </c>
      <c r="L1937" s="55" t="s">
        <v>404</v>
      </c>
      <c r="M1937" s="55" t="s">
        <v>7634</v>
      </c>
    </row>
    <row r="1938" spans="1:13">
      <c r="A1938" s="408" t="s">
        <v>5097</v>
      </c>
      <c r="B1938" s="106" t="s">
        <v>327</v>
      </c>
      <c r="C1938" s="106" t="s">
        <v>473</v>
      </c>
      <c r="D1938" s="107" t="s">
        <v>5098</v>
      </c>
      <c r="E1938" s="109" t="s">
        <v>355</v>
      </c>
      <c r="F1938" s="109" t="s">
        <v>355</v>
      </c>
      <c r="G1938" s="55" t="s">
        <v>355</v>
      </c>
      <c r="H1938" s="108" t="s">
        <v>402</v>
      </c>
      <c r="I1938" s="111" t="s">
        <v>402</v>
      </c>
      <c r="J1938" s="111" t="s">
        <v>402</v>
      </c>
      <c r="K1938" s="106" t="s">
        <v>403</v>
      </c>
      <c r="L1938" s="55" t="s">
        <v>404</v>
      </c>
      <c r="M1938" s="55" t="s">
        <v>7634</v>
      </c>
    </row>
    <row r="1939" spans="1:13">
      <c r="A1939" s="578" t="s">
        <v>5099</v>
      </c>
      <c r="B1939" s="586" t="s">
        <v>473</v>
      </c>
      <c r="C1939" s="586" t="s">
        <v>473</v>
      </c>
      <c r="D1939" s="586" t="s">
        <v>5100</v>
      </c>
      <c r="E1939" s="586" t="s">
        <v>5101</v>
      </c>
      <c r="F1939" s="586" t="s">
        <v>5102</v>
      </c>
      <c r="G1939" s="586" t="s">
        <v>377</v>
      </c>
      <c r="H1939" s="586" t="s">
        <v>359</v>
      </c>
      <c r="I1939" s="587" t="s">
        <v>359</v>
      </c>
      <c r="J1939" s="586"/>
      <c r="K1939" s="586" t="s">
        <v>360</v>
      </c>
      <c r="L1939" s="586" t="s">
        <v>361</v>
      </c>
      <c r="M1939" s="586" t="s">
        <v>5103</v>
      </c>
    </row>
    <row r="1940" spans="1:13">
      <c r="A1940" s="408" t="s">
        <v>5104</v>
      </c>
      <c r="B1940" s="106" t="s">
        <v>327</v>
      </c>
      <c r="C1940" s="106" t="s">
        <v>473</v>
      </c>
      <c r="D1940" s="107" t="s">
        <v>5105</v>
      </c>
      <c r="E1940" s="109" t="s">
        <v>355</v>
      </c>
      <c r="F1940" s="109" t="s">
        <v>355</v>
      </c>
      <c r="G1940" s="55" t="s">
        <v>355</v>
      </c>
      <c r="H1940" s="108" t="s">
        <v>402</v>
      </c>
      <c r="I1940" s="111" t="s">
        <v>402</v>
      </c>
      <c r="J1940" s="111" t="s">
        <v>402</v>
      </c>
      <c r="K1940" s="106" t="s">
        <v>403</v>
      </c>
      <c r="L1940" s="55" t="s">
        <v>404</v>
      </c>
      <c r="M1940" s="55" t="s">
        <v>7634</v>
      </c>
    </row>
    <row r="1941" spans="1:13">
      <c r="A1941" s="401" t="s">
        <v>5106</v>
      </c>
      <c r="B1941" s="106" t="s">
        <v>327</v>
      </c>
      <c r="C1941" s="106" t="s">
        <v>473</v>
      </c>
      <c r="D1941" s="109" t="s">
        <v>5107</v>
      </c>
      <c r="E1941" s="109" t="s">
        <v>5108</v>
      </c>
      <c r="F1941" s="109" t="s">
        <v>5109</v>
      </c>
      <c r="G1941" s="112" t="s">
        <v>5110</v>
      </c>
      <c r="H1941" s="115" t="s">
        <v>402</v>
      </c>
      <c r="I1941" s="111" t="s">
        <v>402</v>
      </c>
      <c r="J1941" s="111" t="s">
        <v>402</v>
      </c>
      <c r="K1941" s="108" t="s">
        <v>403</v>
      </c>
      <c r="L1941" s="55" t="s">
        <v>404</v>
      </c>
      <c r="M1941" s="55" t="s">
        <v>383</v>
      </c>
    </row>
    <row r="1942" spans="1:13">
      <c r="A1942" s="408" t="s">
        <v>5111</v>
      </c>
      <c r="B1942" s="106" t="s">
        <v>327</v>
      </c>
      <c r="C1942" s="106" t="s">
        <v>473</v>
      </c>
      <c r="D1942" s="107" t="s">
        <v>5112</v>
      </c>
      <c r="E1942" s="109" t="s">
        <v>355</v>
      </c>
      <c r="F1942" s="109" t="s">
        <v>355</v>
      </c>
      <c r="G1942" s="55" t="s">
        <v>355</v>
      </c>
      <c r="H1942" s="108" t="s">
        <v>402</v>
      </c>
      <c r="I1942" s="111" t="s">
        <v>402</v>
      </c>
      <c r="J1942" s="111" t="s">
        <v>402</v>
      </c>
      <c r="K1942" s="106" t="s">
        <v>403</v>
      </c>
      <c r="L1942" s="55" t="s">
        <v>404</v>
      </c>
      <c r="M1942" s="55" t="s">
        <v>7634</v>
      </c>
    </row>
    <row r="1943" spans="1:13">
      <c r="A1943" s="408" t="s">
        <v>5113</v>
      </c>
      <c r="B1943" s="106" t="s">
        <v>327</v>
      </c>
      <c r="C1943" s="106" t="s">
        <v>473</v>
      </c>
      <c r="D1943" s="107" t="s">
        <v>5114</v>
      </c>
      <c r="E1943" s="109" t="s">
        <v>355</v>
      </c>
      <c r="F1943" s="109" t="s">
        <v>355</v>
      </c>
      <c r="G1943" s="55" t="s">
        <v>355</v>
      </c>
      <c r="H1943" s="108" t="s">
        <v>402</v>
      </c>
      <c r="I1943" s="111" t="s">
        <v>402</v>
      </c>
      <c r="J1943" s="111" t="s">
        <v>402</v>
      </c>
      <c r="K1943" s="106" t="s">
        <v>403</v>
      </c>
      <c r="L1943" s="55" t="s">
        <v>404</v>
      </c>
      <c r="M1943" s="55" t="s">
        <v>7634</v>
      </c>
    </row>
    <row r="1944" spans="1:13">
      <c r="A1944" s="408" t="s">
        <v>5115</v>
      </c>
      <c r="B1944" s="106" t="s">
        <v>327</v>
      </c>
      <c r="C1944" s="106" t="s">
        <v>473</v>
      </c>
      <c r="D1944" s="107" t="s">
        <v>5116</v>
      </c>
      <c r="E1944" s="109" t="s">
        <v>355</v>
      </c>
      <c r="F1944" s="109" t="s">
        <v>355</v>
      </c>
      <c r="G1944" s="55" t="s">
        <v>355</v>
      </c>
      <c r="H1944" s="108" t="s">
        <v>402</v>
      </c>
      <c r="I1944" s="111" t="s">
        <v>402</v>
      </c>
      <c r="J1944" s="111" t="s">
        <v>402</v>
      </c>
      <c r="K1944" s="106" t="s">
        <v>403</v>
      </c>
      <c r="L1944" s="55" t="s">
        <v>404</v>
      </c>
      <c r="M1944" s="55" t="s">
        <v>7634</v>
      </c>
    </row>
    <row r="1945" spans="1:13">
      <c r="A1945" s="408" t="s">
        <v>5117</v>
      </c>
      <c r="B1945" s="106" t="s">
        <v>327</v>
      </c>
      <c r="C1945" s="106" t="s">
        <v>473</v>
      </c>
      <c r="D1945" s="107" t="s">
        <v>5118</v>
      </c>
      <c r="E1945" s="109" t="s">
        <v>355</v>
      </c>
      <c r="F1945" s="109" t="s">
        <v>355</v>
      </c>
      <c r="G1945" s="55" t="s">
        <v>355</v>
      </c>
      <c r="H1945" s="108" t="s">
        <v>402</v>
      </c>
      <c r="I1945" s="111" t="s">
        <v>402</v>
      </c>
      <c r="J1945" s="111" t="s">
        <v>402</v>
      </c>
      <c r="K1945" s="106" t="s">
        <v>403</v>
      </c>
      <c r="L1945" s="55" t="s">
        <v>404</v>
      </c>
      <c r="M1945" s="55" t="s">
        <v>7634</v>
      </c>
    </row>
    <row r="1946" spans="1:13">
      <c r="A1946" s="408" t="s">
        <v>5119</v>
      </c>
      <c r="B1946" s="106" t="s">
        <v>327</v>
      </c>
      <c r="C1946" s="106" t="s">
        <v>473</v>
      </c>
      <c r="D1946" s="107" t="s">
        <v>5120</v>
      </c>
      <c r="E1946" s="109" t="s">
        <v>355</v>
      </c>
      <c r="F1946" s="109" t="s">
        <v>355</v>
      </c>
      <c r="G1946" s="55" t="s">
        <v>355</v>
      </c>
      <c r="H1946" s="108" t="s">
        <v>402</v>
      </c>
      <c r="I1946" s="111" t="s">
        <v>402</v>
      </c>
      <c r="J1946" s="111" t="s">
        <v>402</v>
      </c>
      <c r="K1946" s="106" t="s">
        <v>403</v>
      </c>
      <c r="L1946" s="55" t="s">
        <v>404</v>
      </c>
      <c r="M1946" s="55" t="s">
        <v>7634</v>
      </c>
    </row>
    <row r="1947" spans="1:13">
      <c r="A1947" s="408" t="s">
        <v>5121</v>
      </c>
      <c r="B1947" s="106" t="s">
        <v>327</v>
      </c>
      <c r="C1947" s="106" t="s">
        <v>473</v>
      </c>
      <c r="D1947" s="107" t="s">
        <v>5122</v>
      </c>
      <c r="E1947" s="109" t="s">
        <v>355</v>
      </c>
      <c r="F1947" s="109" t="s">
        <v>355</v>
      </c>
      <c r="G1947" s="55" t="s">
        <v>355</v>
      </c>
      <c r="H1947" s="108" t="s">
        <v>402</v>
      </c>
      <c r="I1947" s="111" t="s">
        <v>402</v>
      </c>
      <c r="J1947" s="111" t="s">
        <v>402</v>
      </c>
      <c r="K1947" s="106" t="s">
        <v>403</v>
      </c>
      <c r="L1947" s="55" t="s">
        <v>404</v>
      </c>
      <c r="M1947" s="55" t="s">
        <v>7634</v>
      </c>
    </row>
    <row r="1948" spans="1:13">
      <c r="A1948" s="408" t="s">
        <v>5123</v>
      </c>
      <c r="B1948" s="106" t="s">
        <v>327</v>
      </c>
      <c r="C1948" s="106" t="s">
        <v>473</v>
      </c>
      <c r="D1948" s="107" t="s">
        <v>5124</v>
      </c>
      <c r="E1948" s="109" t="s">
        <v>355</v>
      </c>
      <c r="F1948" s="109" t="s">
        <v>355</v>
      </c>
      <c r="G1948" s="55" t="s">
        <v>355</v>
      </c>
      <c r="H1948" s="108" t="s">
        <v>402</v>
      </c>
      <c r="I1948" s="111" t="s">
        <v>402</v>
      </c>
      <c r="J1948" s="111" t="s">
        <v>402</v>
      </c>
      <c r="K1948" s="106" t="s">
        <v>403</v>
      </c>
      <c r="L1948" s="55" t="s">
        <v>404</v>
      </c>
      <c r="M1948" s="55" t="s">
        <v>7634</v>
      </c>
    </row>
    <row r="1949" spans="1:13">
      <c r="A1949" s="408" t="s">
        <v>5125</v>
      </c>
      <c r="B1949" s="106" t="s">
        <v>327</v>
      </c>
      <c r="C1949" s="106" t="s">
        <v>473</v>
      </c>
      <c r="D1949" s="107" t="s">
        <v>5126</v>
      </c>
      <c r="E1949" s="109" t="s">
        <v>355</v>
      </c>
      <c r="F1949" s="109" t="s">
        <v>355</v>
      </c>
      <c r="G1949" s="55" t="s">
        <v>355</v>
      </c>
      <c r="H1949" s="108" t="s">
        <v>402</v>
      </c>
      <c r="I1949" s="111" t="s">
        <v>402</v>
      </c>
      <c r="J1949" s="111" t="s">
        <v>402</v>
      </c>
      <c r="K1949" s="106" t="s">
        <v>403</v>
      </c>
      <c r="L1949" s="55" t="s">
        <v>404</v>
      </c>
      <c r="M1949" s="55" t="s">
        <v>7634</v>
      </c>
    </row>
    <row r="1950" spans="1:13">
      <c r="A1950" s="408" t="s">
        <v>5127</v>
      </c>
      <c r="B1950" s="106" t="s">
        <v>327</v>
      </c>
      <c r="C1950" s="106" t="s">
        <v>473</v>
      </c>
      <c r="D1950" s="107" t="s">
        <v>5128</v>
      </c>
      <c r="E1950" s="109" t="s">
        <v>355</v>
      </c>
      <c r="F1950" s="109" t="s">
        <v>355</v>
      </c>
      <c r="G1950" s="55" t="s">
        <v>355</v>
      </c>
      <c r="H1950" s="108" t="s">
        <v>402</v>
      </c>
      <c r="I1950" s="111" t="s">
        <v>402</v>
      </c>
      <c r="J1950" s="111" t="s">
        <v>402</v>
      </c>
      <c r="K1950" s="106" t="s">
        <v>403</v>
      </c>
      <c r="L1950" s="55" t="s">
        <v>404</v>
      </c>
      <c r="M1950" s="55" t="s">
        <v>7634</v>
      </c>
    </row>
    <row r="1951" spans="1:13">
      <c r="A1951" s="408" t="s">
        <v>5129</v>
      </c>
      <c r="B1951" s="106" t="s">
        <v>327</v>
      </c>
      <c r="C1951" s="106" t="s">
        <v>473</v>
      </c>
      <c r="D1951" s="107" t="s">
        <v>2246</v>
      </c>
      <c r="E1951" s="109" t="s">
        <v>355</v>
      </c>
      <c r="F1951" s="109" t="s">
        <v>355</v>
      </c>
      <c r="G1951" s="55" t="s">
        <v>355</v>
      </c>
      <c r="H1951" s="108" t="s">
        <v>402</v>
      </c>
      <c r="I1951" s="111" t="s">
        <v>402</v>
      </c>
      <c r="J1951" s="111" t="s">
        <v>402</v>
      </c>
      <c r="K1951" s="106" t="s">
        <v>403</v>
      </c>
      <c r="L1951" s="55" t="s">
        <v>404</v>
      </c>
      <c r="M1951" s="55" t="s">
        <v>7634</v>
      </c>
    </row>
    <row r="1952" spans="1:13">
      <c r="A1952" s="408" t="s">
        <v>5130</v>
      </c>
      <c r="B1952" s="106" t="s">
        <v>327</v>
      </c>
      <c r="C1952" s="106" t="s">
        <v>473</v>
      </c>
      <c r="D1952" s="107" t="s">
        <v>5131</v>
      </c>
      <c r="E1952" s="109" t="s">
        <v>355</v>
      </c>
      <c r="F1952" s="109" t="s">
        <v>355</v>
      </c>
      <c r="G1952" s="55" t="s">
        <v>355</v>
      </c>
      <c r="H1952" s="108" t="s">
        <v>402</v>
      </c>
      <c r="I1952" s="111" t="s">
        <v>402</v>
      </c>
      <c r="J1952" s="111" t="s">
        <v>402</v>
      </c>
      <c r="K1952" s="106" t="s">
        <v>403</v>
      </c>
      <c r="L1952" s="55" t="s">
        <v>404</v>
      </c>
      <c r="M1952" s="55" t="s">
        <v>7634</v>
      </c>
    </row>
    <row r="1953" spans="1:13">
      <c r="A1953" s="408" t="s">
        <v>5132</v>
      </c>
      <c r="B1953" s="106" t="s">
        <v>327</v>
      </c>
      <c r="C1953" s="106" t="s">
        <v>473</v>
      </c>
      <c r="D1953" s="107" t="s">
        <v>5133</v>
      </c>
      <c r="E1953" s="109" t="s">
        <v>355</v>
      </c>
      <c r="F1953" s="109" t="s">
        <v>355</v>
      </c>
      <c r="G1953" s="55" t="s">
        <v>355</v>
      </c>
      <c r="H1953" s="108" t="s">
        <v>402</v>
      </c>
      <c r="I1953" s="111" t="s">
        <v>402</v>
      </c>
      <c r="J1953" s="111" t="s">
        <v>402</v>
      </c>
      <c r="K1953" s="106" t="s">
        <v>403</v>
      </c>
      <c r="L1953" s="55" t="s">
        <v>404</v>
      </c>
      <c r="M1953" s="55" t="s">
        <v>7634</v>
      </c>
    </row>
    <row r="1954" spans="1:13">
      <c r="A1954" s="408" t="s">
        <v>5134</v>
      </c>
      <c r="B1954" s="106" t="s">
        <v>327</v>
      </c>
      <c r="C1954" s="106" t="s">
        <v>473</v>
      </c>
      <c r="D1954" s="107" t="s">
        <v>5133</v>
      </c>
      <c r="E1954" s="109" t="s">
        <v>355</v>
      </c>
      <c r="F1954" s="109" t="s">
        <v>355</v>
      </c>
      <c r="G1954" s="55" t="s">
        <v>355</v>
      </c>
      <c r="H1954" s="108" t="s">
        <v>402</v>
      </c>
      <c r="I1954" s="111" t="s">
        <v>402</v>
      </c>
      <c r="J1954" s="111" t="s">
        <v>402</v>
      </c>
      <c r="K1954" s="106" t="s">
        <v>403</v>
      </c>
      <c r="L1954" s="55" t="s">
        <v>404</v>
      </c>
      <c r="M1954" s="55" t="s">
        <v>7634</v>
      </c>
    </row>
    <row r="1955" spans="1:13">
      <c r="A1955" s="408" t="s">
        <v>5135</v>
      </c>
      <c r="B1955" s="106" t="s">
        <v>327</v>
      </c>
      <c r="C1955" s="106" t="s">
        <v>473</v>
      </c>
      <c r="D1955" s="107" t="s">
        <v>5136</v>
      </c>
      <c r="E1955" s="109" t="s">
        <v>355</v>
      </c>
      <c r="F1955" s="109" t="s">
        <v>355</v>
      </c>
      <c r="G1955" s="55" t="s">
        <v>355</v>
      </c>
      <c r="H1955" s="108" t="s">
        <v>402</v>
      </c>
      <c r="I1955" s="111" t="s">
        <v>402</v>
      </c>
      <c r="J1955" s="111" t="s">
        <v>402</v>
      </c>
      <c r="K1955" s="106" t="s">
        <v>403</v>
      </c>
      <c r="L1955" s="55" t="s">
        <v>404</v>
      </c>
      <c r="M1955" s="55" t="s">
        <v>7634</v>
      </c>
    </row>
    <row r="1956" spans="1:13">
      <c r="A1956" s="408" t="s">
        <v>5137</v>
      </c>
      <c r="B1956" s="106" t="s">
        <v>327</v>
      </c>
      <c r="C1956" s="106" t="s">
        <v>473</v>
      </c>
      <c r="D1956" s="107" t="s">
        <v>5138</v>
      </c>
      <c r="E1956" s="109" t="s">
        <v>355</v>
      </c>
      <c r="F1956" s="109" t="s">
        <v>355</v>
      </c>
      <c r="G1956" s="55" t="s">
        <v>355</v>
      </c>
      <c r="H1956" s="108" t="s">
        <v>402</v>
      </c>
      <c r="I1956" s="111" t="s">
        <v>402</v>
      </c>
      <c r="J1956" s="111" t="s">
        <v>402</v>
      </c>
      <c r="K1956" s="106" t="s">
        <v>403</v>
      </c>
      <c r="L1956" s="55" t="s">
        <v>404</v>
      </c>
      <c r="M1956" s="55" t="s">
        <v>7634</v>
      </c>
    </row>
    <row r="1957" spans="1:13">
      <c r="A1957" s="408" t="s">
        <v>5139</v>
      </c>
      <c r="B1957" s="106" t="s">
        <v>327</v>
      </c>
      <c r="C1957" s="106" t="s">
        <v>473</v>
      </c>
      <c r="D1957" s="107" t="s">
        <v>5140</v>
      </c>
      <c r="E1957" s="109" t="s">
        <v>355</v>
      </c>
      <c r="F1957" s="109" t="s">
        <v>355</v>
      </c>
      <c r="G1957" s="55" t="s">
        <v>355</v>
      </c>
      <c r="H1957" s="108" t="s">
        <v>402</v>
      </c>
      <c r="I1957" s="111" t="s">
        <v>402</v>
      </c>
      <c r="J1957" s="111" t="s">
        <v>402</v>
      </c>
      <c r="K1957" s="106" t="s">
        <v>403</v>
      </c>
      <c r="L1957" s="55" t="s">
        <v>404</v>
      </c>
      <c r="M1957" s="55" t="s">
        <v>7634</v>
      </c>
    </row>
    <row r="1958" spans="1:13">
      <c r="A1958" s="408" t="s">
        <v>5141</v>
      </c>
      <c r="B1958" s="106" t="s">
        <v>327</v>
      </c>
      <c r="C1958" s="106" t="s">
        <v>473</v>
      </c>
      <c r="D1958" s="107" t="s">
        <v>5142</v>
      </c>
      <c r="E1958" s="109" t="s">
        <v>355</v>
      </c>
      <c r="F1958" s="109" t="s">
        <v>355</v>
      </c>
      <c r="G1958" s="55" t="s">
        <v>355</v>
      </c>
      <c r="H1958" s="108" t="s">
        <v>402</v>
      </c>
      <c r="I1958" s="111" t="s">
        <v>402</v>
      </c>
      <c r="J1958" s="111" t="s">
        <v>402</v>
      </c>
      <c r="K1958" s="106" t="s">
        <v>403</v>
      </c>
      <c r="L1958" s="55" t="s">
        <v>404</v>
      </c>
      <c r="M1958" s="55" t="s">
        <v>7634</v>
      </c>
    </row>
    <row r="1959" spans="1:13">
      <c r="A1959" s="408" t="s">
        <v>5143</v>
      </c>
      <c r="B1959" s="106" t="s">
        <v>327</v>
      </c>
      <c r="C1959" s="106" t="s">
        <v>473</v>
      </c>
      <c r="D1959" s="107" t="s">
        <v>5144</v>
      </c>
      <c r="E1959" s="109" t="s">
        <v>355</v>
      </c>
      <c r="F1959" s="109" t="s">
        <v>355</v>
      </c>
      <c r="G1959" s="55" t="s">
        <v>355</v>
      </c>
      <c r="H1959" s="108" t="s">
        <v>402</v>
      </c>
      <c r="I1959" s="111" t="s">
        <v>402</v>
      </c>
      <c r="J1959" s="111" t="s">
        <v>402</v>
      </c>
      <c r="K1959" s="106" t="s">
        <v>403</v>
      </c>
      <c r="L1959" s="55" t="s">
        <v>404</v>
      </c>
      <c r="M1959" s="55" t="s">
        <v>7634</v>
      </c>
    </row>
    <row r="1960" spans="1:13">
      <c r="A1960" s="408" t="s">
        <v>5145</v>
      </c>
      <c r="B1960" s="106" t="s">
        <v>327</v>
      </c>
      <c r="C1960" s="106" t="s">
        <v>473</v>
      </c>
      <c r="D1960" s="107" t="s">
        <v>5146</v>
      </c>
      <c r="E1960" s="109" t="s">
        <v>355</v>
      </c>
      <c r="F1960" s="109" t="s">
        <v>355</v>
      </c>
      <c r="G1960" s="55" t="s">
        <v>355</v>
      </c>
      <c r="H1960" s="108" t="s">
        <v>402</v>
      </c>
      <c r="I1960" s="111" t="s">
        <v>402</v>
      </c>
      <c r="J1960" s="111" t="s">
        <v>402</v>
      </c>
      <c r="K1960" s="106" t="s">
        <v>403</v>
      </c>
      <c r="L1960" s="55" t="s">
        <v>404</v>
      </c>
      <c r="M1960" s="55" t="s">
        <v>7634</v>
      </c>
    </row>
    <row r="1961" spans="1:13">
      <c r="A1961" s="408" t="s">
        <v>5147</v>
      </c>
      <c r="B1961" s="106" t="s">
        <v>327</v>
      </c>
      <c r="C1961" s="106" t="s">
        <v>473</v>
      </c>
      <c r="D1961" s="107" t="s">
        <v>5148</v>
      </c>
      <c r="E1961" s="109" t="s">
        <v>355</v>
      </c>
      <c r="F1961" s="109" t="s">
        <v>355</v>
      </c>
      <c r="G1961" s="55" t="s">
        <v>355</v>
      </c>
      <c r="H1961" s="108" t="s">
        <v>402</v>
      </c>
      <c r="I1961" s="111" t="s">
        <v>402</v>
      </c>
      <c r="J1961" s="111" t="s">
        <v>402</v>
      </c>
      <c r="K1961" s="106" t="s">
        <v>403</v>
      </c>
      <c r="L1961" s="55" t="s">
        <v>404</v>
      </c>
      <c r="M1961" s="55" t="s">
        <v>7634</v>
      </c>
    </row>
    <row r="1962" spans="1:13">
      <c r="A1962" s="408" t="s">
        <v>5149</v>
      </c>
      <c r="B1962" s="106" t="s">
        <v>327</v>
      </c>
      <c r="C1962" s="106" t="s">
        <v>473</v>
      </c>
      <c r="D1962" s="107" t="s">
        <v>5150</v>
      </c>
      <c r="E1962" s="109" t="s">
        <v>355</v>
      </c>
      <c r="F1962" s="109" t="s">
        <v>355</v>
      </c>
      <c r="G1962" s="55" t="s">
        <v>355</v>
      </c>
      <c r="H1962" s="108" t="s">
        <v>402</v>
      </c>
      <c r="I1962" s="111" t="s">
        <v>402</v>
      </c>
      <c r="J1962" s="111" t="s">
        <v>402</v>
      </c>
      <c r="K1962" s="106" t="s">
        <v>403</v>
      </c>
      <c r="L1962" s="55" t="s">
        <v>404</v>
      </c>
      <c r="M1962" s="55" t="s">
        <v>7634</v>
      </c>
    </row>
    <row r="1963" spans="1:13">
      <c r="A1963" s="401" t="s">
        <v>5151</v>
      </c>
      <c r="B1963" s="106" t="s">
        <v>327</v>
      </c>
      <c r="C1963" s="106" t="s">
        <v>473</v>
      </c>
      <c r="D1963" s="107" t="s">
        <v>5152</v>
      </c>
      <c r="E1963" s="107" t="s">
        <v>5153</v>
      </c>
      <c r="F1963" s="107" t="s">
        <v>5154</v>
      </c>
      <c r="G1963" s="108" t="s">
        <v>355</v>
      </c>
      <c r="H1963" s="54" t="s">
        <v>359</v>
      </c>
      <c r="I1963" s="583" t="s">
        <v>359</v>
      </c>
      <c r="J1963" s="582" t="s">
        <v>359</v>
      </c>
      <c r="K1963" s="584" t="s">
        <v>360</v>
      </c>
      <c r="L1963" s="54" t="s">
        <v>361</v>
      </c>
      <c r="M1963" s="55" t="s">
        <v>7634</v>
      </c>
    </row>
    <row r="1964" spans="1:13">
      <c r="A1964" s="408" t="s">
        <v>5155</v>
      </c>
      <c r="B1964" s="106" t="s">
        <v>327</v>
      </c>
      <c r="C1964" s="106" t="s">
        <v>473</v>
      </c>
      <c r="D1964" s="107" t="s">
        <v>5156</v>
      </c>
      <c r="E1964" s="109" t="s">
        <v>355</v>
      </c>
      <c r="F1964" s="109" t="s">
        <v>355</v>
      </c>
      <c r="G1964" s="55" t="s">
        <v>355</v>
      </c>
      <c r="H1964" s="108" t="s">
        <v>402</v>
      </c>
      <c r="I1964" s="111" t="s">
        <v>402</v>
      </c>
      <c r="J1964" s="111" t="s">
        <v>402</v>
      </c>
      <c r="K1964" s="106" t="s">
        <v>403</v>
      </c>
      <c r="L1964" s="55" t="s">
        <v>404</v>
      </c>
      <c r="M1964" s="55" t="s">
        <v>7634</v>
      </c>
    </row>
    <row r="1965" spans="1:13">
      <c r="A1965" s="408" t="s">
        <v>5157</v>
      </c>
      <c r="B1965" s="106" t="s">
        <v>327</v>
      </c>
      <c r="C1965" s="106" t="s">
        <v>473</v>
      </c>
      <c r="D1965" s="107" t="s">
        <v>5158</v>
      </c>
      <c r="E1965" s="109" t="s">
        <v>355</v>
      </c>
      <c r="F1965" s="109" t="s">
        <v>355</v>
      </c>
      <c r="G1965" s="55" t="s">
        <v>355</v>
      </c>
      <c r="H1965" s="108" t="s">
        <v>402</v>
      </c>
      <c r="I1965" s="111" t="s">
        <v>402</v>
      </c>
      <c r="J1965" s="111" t="s">
        <v>402</v>
      </c>
      <c r="K1965" s="106" t="s">
        <v>403</v>
      </c>
      <c r="L1965" s="55" t="s">
        <v>404</v>
      </c>
      <c r="M1965" s="55" t="s">
        <v>7634</v>
      </c>
    </row>
    <row r="1966" spans="1:13">
      <c r="A1966" s="401" t="s">
        <v>120</v>
      </c>
      <c r="B1966" s="106" t="s">
        <v>327</v>
      </c>
      <c r="C1966" s="106" t="s">
        <v>473</v>
      </c>
      <c r="D1966" s="109" t="s">
        <v>5159</v>
      </c>
      <c r="E1966" s="109" t="s">
        <v>7579</v>
      </c>
      <c r="F1966" s="109" t="s">
        <v>383</v>
      </c>
      <c r="G1966" s="112" t="s">
        <v>383</v>
      </c>
      <c r="H1966" s="115" t="s">
        <v>402</v>
      </c>
      <c r="I1966" s="111" t="s">
        <v>402</v>
      </c>
      <c r="J1966" s="111" t="s">
        <v>402</v>
      </c>
      <c r="K1966" s="108" t="s">
        <v>403</v>
      </c>
      <c r="L1966" s="55" t="s">
        <v>404</v>
      </c>
      <c r="M1966" s="55" t="s">
        <v>383</v>
      </c>
    </row>
    <row r="1967" spans="1:13">
      <c r="A1967" s="401" t="s">
        <v>8565</v>
      </c>
      <c r="B1967" s="106" t="s">
        <v>327</v>
      </c>
      <c r="C1967" s="132" t="s">
        <v>327</v>
      </c>
      <c r="D1967" s="133" t="s">
        <v>8538</v>
      </c>
      <c r="E1967" s="133" t="s">
        <v>8539</v>
      </c>
      <c r="F1967" s="133" t="s">
        <v>8540</v>
      </c>
      <c r="G1967" s="601" t="s">
        <v>8541</v>
      </c>
      <c r="H1967" s="108" t="s">
        <v>402</v>
      </c>
      <c r="I1967" s="111" t="s">
        <v>402</v>
      </c>
      <c r="J1967" s="111" t="s">
        <v>402</v>
      </c>
      <c r="K1967" s="106" t="s">
        <v>403</v>
      </c>
      <c r="L1967" s="55" t="s">
        <v>404</v>
      </c>
      <c r="M1967" s="55" t="s">
        <v>383</v>
      </c>
    </row>
    <row r="1968" spans="1:13">
      <c r="A1968" s="401" t="s">
        <v>8247</v>
      </c>
      <c r="B1968" s="106" t="s">
        <v>327</v>
      </c>
      <c r="C1968" s="132" t="s">
        <v>327</v>
      </c>
      <c r="D1968" s="133" t="s">
        <v>8248</v>
      </c>
      <c r="E1968" s="133" t="s">
        <v>8249</v>
      </c>
      <c r="F1968" s="133" t="s">
        <v>8250</v>
      </c>
      <c r="G1968" s="601" t="s">
        <v>8251</v>
      </c>
      <c r="H1968" s="108" t="s">
        <v>402</v>
      </c>
      <c r="I1968" s="111" t="s">
        <v>402</v>
      </c>
      <c r="J1968" s="111" t="s">
        <v>402</v>
      </c>
      <c r="K1968" s="106" t="s">
        <v>403</v>
      </c>
      <c r="L1968" s="55" t="s">
        <v>404</v>
      </c>
      <c r="M1968" s="55" t="s">
        <v>383</v>
      </c>
    </row>
    <row r="1969" spans="1:13">
      <c r="A1969" s="401" t="s">
        <v>5160</v>
      </c>
      <c r="B1969" s="106" t="s">
        <v>327</v>
      </c>
      <c r="C1969" s="106" t="s">
        <v>473</v>
      </c>
      <c r="D1969" s="107" t="s">
        <v>5161</v>
      </c>
      <c r="E1969" s="107" t="s">
        <v>5162</v>
      </c>
      <c r="F1969" s="107" t="s">
        <v>5163</v>
      </c>
      <c r="G1969" s="590" t="s">
        <v>5164</v>
      </c>
      <c r="H1969" s="115" t="s">
        <v>402</v>
      </c>
      <c r="I1969" s="111" t="s">
        <v>402</v>
      </c>
      <c r="J1969" s="111" t="s">
        <v>402</v>
      </c>
      <c r="K1969" s="106" t="s">
        <v>403</v>
      </c>
      <c r="L1969" s="55" t="s">
        <v>404</v>
      </c>
      <c r="M1969" s="113" t="s">
        <v>383</v>
      </c>
    </row>
    <row r="1970" spans="1:13">
      <c r="A1970" s="408" t="s">
        <v>5166</v>
      </c>
      <c r="B1970" s="106" t="s">
        <v>327</v>
      </c>
      <c r="C1970" s="106" t="s">
        <v>473</v>
      </c>
      <c r="D1970" s="107" t="s">
        <v>5167</v>
      </c>
      <c r="E1970" s="109" t="s">
        <v>355</v>
      </c>
      <c r="F1970" s="109" t="s">
        <v>355</v>
      </c>
      <c r="G1970" s="55" t="s">
        <v>355</v>
      </c>
      <c r="H1970" s="108" t="s">
        <v>402</v>
      </c>
      <c r="I1970" s="111" t="s">
        <v>402</v>
      </c>
      <c r="J1970" s="111" t="s">
        <v>402</v>
      </c>
      <c r="K1970" s="106" t="s">
        <v>403</v>
      </c>
      <c r="L1970" s="55" t="s">
        <v>404</v>
      </c>
      <c r="M1970" s="55" t="s">
        <v>7634</v>
      </c>
    </row>
    <row r="1971" spans="1:13">
      <c r="A1971" s="408" t="s">
        <v>5168</v>
      </c>
      <c r="B1971" s="106" t="s">
        <v>327</v>
      </c>
      <c r="C1971" s="106" t="s">
        <v>473</v>
      </c>
      <c r="D1971" s="107" t="s">
        <v>5169</v>
      </c>
      <c r="E1971" s="109" t="s">
        <v>355</v>
      </c>
      <c r="F1971" s="109" t="s">
        <v>355</v>
      </c>
      <c r="G1971" s="55" t="s">
        <v>355</v>
      </c>
      <c r="H1971" s="108" t="s">
        <v>402</v>
      </c>
      <c r="I1971" s="111" t="s">
        <v>402</v>
      </c>
      <c r="J1971" s="111" t="s">
        <v>402</v>
      </c>
      <c r="K1971" s="106" t="s">
        <v>403</v>
      </c>
      <c r="L1971" s="55" t="s">
        <v>404</v>
      </c>
      <c r="M1971" s="55" t="s">
        <v>7634</v>
      </c>
    </row>
    <row r="1972" spans="1:13">
      <c r="A1972" s="405" t="s">
        <v>236</v>
      </c>
      <c r="B1972" s="586" t="s">
        <v>473</v>
      </c>
      <c r="C1972" s="586" t="s">
        <v>473</v>
      </c>
      <c r="D1972" s="586" t="s">
        <v>474</v>
      </c>
      <c r="E1972" s="586" t="s">
        <v>475</v>
      </c>
      <c r="F1972" s="586" t="s">
        <v>476</v>
      </c>
      <c r="G1972" s="586" t="s">
        <v>477</v>
      </c>
      <c r="H1972" s="586" t="s">
        <v>478</v>
      </c>
      <c r="I1972" s="587" t="s">
        <v>478</v>
      </c>
      <c r="J1972" s="586"/>
      <c r="K1972" s="586" t="s">
        <v>479</v>
      </c>
      <c r="L1972" s="586" t="s">
        <v>393</v>
      </c>
      <c r="M1972" s="55" t="s">
        <v>7634</v>
      </c>
    </row>
    <row r="1973" spans="1:13">
      <c r="A1973" s="510" t="s">
        <v>134</v>
      </c>
      <c r="B1973" s="106" t="s">
        <v>327</v>
      </c>
      <c r="C1973" s="106" t="s">
        <v>473</v>
      </c>
      <c r="D1973" s="109" t="s">
        <v>764</v>
      </c>
      <c r="E1973" s="109" t="s">
        <v>765</v>
      </c>
      <c r="F1973" s="110" t="s">
        <v>766</v>
      </c>
      <c r="G1973" s="112" t="s">
        <v>767</v>
      </c>
      <c r="H1973" s="55" t="s">
        <v>402</v>
      </c>
      <c r="I1973" s="111" t="s">
        <v>359</v>
      </c>
      <c r="J1973" s="111" t="s">
        <v>359</v>
      </c>
      <c r="K1973" s="106" t="s">
        <v>404</v>
      </c>
      <c r="L1973" s="55" t="s">
        <v>592</v>
      </c>
      <c r="M1973" s="55" t="s">
        <v>383</v>
      </c>
    </row>
    <row r="1974" spans="1:13">
      <c r="A1974" s="408" t="s">
        <v>5170</v>
      </c>
      <c r="B1974" s="106" t="s">
        <v>327</v>
      </c>
      <c r="C1974" s="106" t="s">
        <v>473</v>
      </c>
      <c r="D1974" s="107" t="s">
        <v>5171</v>
      </c>
      <c r="E1974" s="109" t="s">
        <v>355</v>
      </c>
      <c r="F1974" s="109" t="s">
        <v>355</v>
      </c>
      <c r="G1974" s="55" t="s">
        <v>355</v>
      </c>
      <c r="H1974" s="108" t="s">
        <v>402</v>
      </c>
      <c r="I1974" s="111" t="s">
        <v>402</v>
      </c>
      <c r="J1974" s="111" t="s">
        <v>402</v>
      </c>
      <c r="K1974" s="106" t="s">
        <v>403</v>
      </c>
      <c r="L1974" s="55" t="s">
        <v>404</v>
      </c>
      <c r="M1974" s="55" t="s">
        <v>7634</v>
      </c>
    </row>
    <row r="1975" spans="1:13">
      <c r="A1975" s="408" t="s">
        <v>5172</v>
      </c>
      <c r="B1975" s="106" t="s">
        <v>327</v>
      </c>
      <c r="C1975" s="106" t="s">
        <v>473</v>
      </c>
      <c r="D1975" s="107" t="s">
        <v>5173</v>
      </c>
      <c r="E1975" s="109" t="s">
        <v>355</v>
      </c>
      <c r="F1975" s="109" t="s">
        <v>355</v>
      </c>
      <c r="G1975" s="55" t="s">
        <v>355</v>
      </c>
      <c r="H1975" s="108" t="s">
        <v>402</v>
      </c>
      <c r="I1975" s="111" t="s">
        <v>402</v>
      </c>
      <c r="J1975" s="111" t="s">
        <v>402</v>
      </c>
      <c r="K1975" s="106" t="s">
        <v>403</v>
      </c>
      <c r="L1975" s="55" t="s">
        <v>404</v>
      </c>
      <c r="M1975" s="55" t="s">
        <v>7634</v>
      </c>
    </row>
    <row r="1976" spans="1:13">
      <c r="A1976" s="401" t="s">
        <v>5174</v>
      </c>
      <c r="B1976" s="55" t="s">
        <v>1059</v>
      </c>
      <c r="C1976" s="55" t="s">
        <v>473</v>
      </c>
      <c r="D1976" s="107" t="s">
        <v>5175</v>
      </c>
      <c r="E1976" s="107" t="s">
        <v>5176</v>
      </c>
      <c r="F1976" s="107" t="s">
        <v>5177</v>
      </c>
      <c r="G1976" s="57" t="s">
        <v>5178</v>
      </c>
      <c r="H1976" s="108" t="s">
        <v>402</v>
      </c>
      <c r="I1976" s="111" t="s">
        <v>402</v>
      </c>
      <c r="J1976" s="111" t="s">
        <v>402</v>
      </c>
      <c r="K1976" s="106" t="s">
        <v>403</v>
      </c>
      <c r="L1976" s="55" t="s">
        <v>404</v>
      </c>
      <c r="M1976" s="55" t="s">
        <v>355</v>
      </c>
    </row>
    <row r="1977" spans="1:13">
      <c r="A1977" s="401" t="s">
        <v>5179</v>
      </c>
      <c r="B1977" s="106" t="s">
        <v>327</v>
      </c>
      <c r="C1977" s="106" t="s">
        <v>473</v>
      </c>
      <c r="D1977" s="109" t="s">
        <v>5180</v>
      </c>
      <c r="E1977" s="109" t="s">
        <v>5181</v>
      </c>
      <c r="F1977" s="109" t="s">
        <v>5182</v>
      </c>
      <c r="G1977" s="112" t="s">
        <v>5183</v>
      </c>
      <c r="H1977" s="115" t="s">
        <v>402</v>
      </c>
      <c r="I1977" s="111" t="s">
        <v>402</v>
      </c>
      <c r="J1977" s="111" t="s">
        <v>402</v>
      </c>
      <c r="K1977" s="108" t="s">
        <v>403</v>
      </c>
      <c r="L1977" s="55" t="s">
        <v>404</v>
      </c>
      <c r="M1977" s="55" t="s">
        <v>7634</v>
      </c>
    </row>
    <row r="1978" spans="1:13">
      <c r="A1978" s="579" t="s">
        <v>198</v>
      </c>
      <c r="B1978" s="106" t="s">
        <v>327</v>
      </c>
      <c r="C1978" s="106" t="s">
        <v>473</v>
      </c>
      <c r="D1978" s="109" t="s">
        <v>5184</v>
      </c>
      <c r="E1978" s="109" t="s">
        <v>5185</v>
      </c>
      <c r="F1978" s="110" t="s">
        <v>5186</v>
      </c>
      <c r="G1978" s="112" t="s">
        <v>5187</v>
      </c>
      <c r="H1978" s="115" t="s">
        <v>402</v>
      </c>
      <c r="I1978" s="111" t="s">
        <v>402</v>
      </c>
      <c r="J1978" s="111" t="s">
        <v>402</v>
      </c>
      <c r="K1978" s="106" t="s">
        <v>657</v>
      </c>
      <c r="L1978" s="55" t="s">
        <v>5188</v>
      </c>
      <c r="M1978" s="55" t="s">
        <v>383</v>
      </c>
    </row>
    <row r="1979" spans="1:13">
      <c r="A1979" s="578" t="s">
        <v>8852</v>
      </c>
      <c r="B1979" s="586" t="s">
        <v>473</v>
      </c>
      <c r="C1979" s="586" t="s">
        <v>473</v>
      </c>
      <c r="D1979" s="586" t="s">
        <v>8678</v>
      </c>
      <c r="E1979" s="586" t="s">
        <v>8679</v>
      </c>
      <c r="F1979" s="586" t="s">
        <v>8680</v>
      </c>
      <c r="G1979" s="597" t="s">
        <v>8681</v>
      </c>
      <c r="H1979" s="586" t="s">
        <v>359</v>
      </c>
      <c r="I1979" s="587" t="s">
        <v>359</v>
      </c>
      <c r="J1979" s="111" t="s">
        <v>402</v>
      </c>
      <c r="K1979" s="106" t="s">
        <v>657</v>
      </c>
      <c r="L1979" s="55" t="s">
        <v>5188</v>
      </c>
      <c r="M1979" s="55" t="s">
        <v>383</v>
      </c>
    </row>
    <row r="1980" spans="1:13">
      <c r="A1980" s="401" t="s">
        <v>5189</v>
      </c>
      <c r="B1980" s="106" t="s">
        <v>984</v>
      </c>
      <c r="C1980" s="106" t="s">
        <v>473</v>
      </c>
      <c r="D1980" s="109" t="s">
        <v>5190</v>
      </c>
      <c r="E1980" s="109" t="s">
        <v>5191</v>
      </c>
      <c r="F1980" s="109" t="s">
        <v>5192</v>
      </c>
      <c r="G1980" s="114" t="s">
        <v>5193</v>
      </c>
      <c r="H1980" s="115" t="s">
        <v>402</v>
      </c>
      <c r="I1980" s="111" t="s">
        <v>402</v>
      </c>
      <c r="J1980" s="111" t="s">
        <v>402</v>
      </c>
      <c r="K1980" s="115" t="s">
        <v>403</v>
      </c>
      <c r="L1980" s="55" t="s">
        <v>404</v>
      </c>
      <c r="M1980" s="55" t="s">
        <v>7634</v>
      </c>
    </row>
    <row r="1981" spans="1:13">
      <c r="A1981" s="401" t="s">
        <v>5194</v>
      </c>
      <c r="B1981" s="106" t="s">
        <v>327</v>
      </c>
      <c r="C1981" s="106" t="s">
        <v>473</v>
      </c>
      <c r="D1981" s="109" t="s">
        <v>5195</v>
      </c>
      <c r="E1981" s="109" t="s">
        <v>5196</v>
      </c>
      <c r="F1981" s="110" t="s">
        <v>5197</v>
      </c>
      <c r="G1981" s="112" t="s">
        <v>5198</v>
      </c>
      <c r="H1981" s="115" t="s">
        <v>402</v>
      </c>
      <c r="I1981" s="111" t="s">
        <v>402</v>
      </c>
      <c r="J1981" s="111" t="s">
        <v>402</v>
      </c>
      <c r="K1981" s="115" t="s">
        <v>403</v>
      </c>
      <c r="L1981" s="55" t="s">
        <v>404</v>
      </c>
      <c r="M1981" s="113" t="s">
        <v>383</v>
      </c>
    </row>
    <row r="1982" spans="1:13">
      <c r="A1982" s="401" t="s">
        <v>5199</v>
      </c>
      <c r="B1982" s="106" t="s">
        <v>327</v>
      </c>
      <c r="C1982" s="106" t="s">
        <v>473</v>
      </c>
      <c r="D1982" s="109" t="s">
        <v>5200</v>
      </c>
      <c r="E1982" s="109" t="s">
        <v>5201</v>
      </c>
      <c r="F1982" s="109" t="s">
        <v>5202</v>
      </c>
      <c r="G1982" s="55" t="s">
        <v>5203</v>
      </c>
      <c r="H1982" s="115" t="s">
        <v>402</v>
      </c>
      <c r="I1982" s="111" t="s">
        <v>402</v>
      </c>
      <c r="J1982" s="111" t="s">
        <v>402</v>
      </c>
      <c r="K1982" s="108" t="s">
        <v>403</v>
      </c>
      <c r="L1982" s="55" t="s">
        <v>404</v>
      </c>
      <c r="M1982" s="55" t="s">
        <v>5204</v>
      </c>
    </row>
    <row r="1983" spans="1:13">
      <c r="A1983" s="408" t="s">
        <v>5205</v>
      </c>
      <c r="B1983" s="106" t="s">
        <v>327</v>
      </c>
      <c r="C1983" s="106" t="s">
        <v>473</v>
      </c>
      <c r="D1983" s="107" t="s">
        <v>5206</v>
      </c>
      <c r="E1983" s="109" t="s">
        <v>355</v>
      </c>
      <c r="F1983" s="109" t="s">
        <v>355</v>
      </c>
      <c r="G1983" s="55" t="s">
        <v>355</v>
      </c>
      <c r="H1983" s="108" t="s">
        <v>402</v>
      </c>
      <c r="I1983" s="111" t="s">
        <v>402</v>
      </c>
      <c r="J1983" s="111" t="s">
        <v>402</v>
      </c>
      <c r="K1983" s="106" t="s">
        <v>403</v>
      </c>
      <c r="L1983" s="55" t="s">
        <v>404</v>
      </c>
      <c r="M1983" s="55" t="s">
        <v>7634</v>
      </c>
    </row>
    <row r="1984" spans="1:13">
      <c r="A1984" s="401" t="s">
        <v>8662</v>
      </c>
      <c r="B1984" s="106" t="s">
        <v>327</v>
      </c>
      <c r="C1984" s="132" t="s">
        <v>8663</v>
      </c>
      <c r="D1984" s="133" t="s">
        <v>8664</v>
      </c>
      <c r="E1984" s="133" t="s">
        <v>8665</v>
      </c>
      <c r="F1984" s="133" t="s">
        <v>8666</v>
      </c>
      <c r="G1984" s="601" t="s">
        <v>8667</v>
      </c>
      <c r="H1984" s="108" t="s">
        <v>402</v>
      </c>
      <c r="I1984" s="111" t="s">
        <v>402</v>
      </c>
      <c r="J1984" s="111" t="s">
        <v>402</v>
      </c>
      <c r="K1984" s="106" t="s">
        <v>403</v>
      </c>
      <c r="L1984" s="55" t="s">
        <v>404</v>
      </c>
      <c r="M1984" s="55" t="s">
        <v>383</v>
      </c>
    </row>
    <row r="1985" spans="1:13">
      <c r="A1985" s="408" t="s">
        <v>5207</v>
      </c>
      <c r="B1985" s="106" t="s">
        <v>327</v>
      </c>
      <c r="C1985" s="106" t="s">
        <v>473</v>
      </c>
      <c r="D1985" s="107" t="s">
        <v>5208</v>
      </c>
      <c r="E1985" s="109" t="s">
        <v>355</v>
      </c>
      <c r="F1985" s="109" t="s">
        <v>355</v>
      </c>
      <c r="G1985" s="55" t="s">
        <v>355</v>
      </c>
      <c r="H1985" s="108" t="s">
        <v>402</v>
      </c>
      <c r="I1985" s="111" t="s">
        <v>402</v>
      </c>
      <c r="J1985" s="111" t="s">
        <v>402</v>
      </c>
      <c r="K1985" s="106" t="s">
        <v>403</v>
      </c>
      <c r="L1985" s="55" t="s">
        <v>404</v>
      </c>
      <c r="M1985" s="55" t="s">
        <v>7634</v>
      </c>
    </row>
    <row r="1986" spans="1:13">
      <c r="A1986" s="408" t="s">
        <v>5209</v>
      </c>
      <c r="B1986" s="106" t="s">
        <v>327</v>
      </c>
      <c r="C1986" s="106" t="s">
        <v>473</v>
      </c>
      <c r="D1986" s="107" t="s">
        <v>5210</v>
      </c>
      <c r="E1986" s="109" t="s">
        <v>355</v>
      </c>
      <c r="F1986" s="109" t="s">
        <v>355</v>
      </c>
      <c r="G1986" s="55" t="s">
        <v>355</v>
      </c>
      <c r="H1986" s="108" t="s">
        <v>402</v>
      </c>
      <c r="I1986" s="111" t="s">
        <v>402</v>
      </c>
      <c r="J1986" s="111" t="s">
        <v>402</v>
      </c>
      <c r="K1986" s="106" t="s">
        <v>403</v>
      </c>
      <c r="L1986" s="55" t="s">
        <v>404</v>
      </c>
      <c r="M1986" s="55" t="s">
        <v>7634</v>
      </c>
    </row>
    <row r="1987" spans="1:13">
      <c r="A1987" s="408" t="s">
        <v>5211</v>
      </c>
      <c r="B1987" s="106" t="s">
        <v>327</v>
      </c>
      <c r="C1987" s="106" t="s">
        <v>473</v>
      </c>
      <c r="D1987" s="107" t="s">
        <v>5212</v>
      </c>
      <c r="E1987" s="109" t="s">
        <v>355</v>
      </c>
      <c r="F1987" s="109" t="s">
        <v>355</v>
      </c>
      <c r="G1987" s="55" t="s">
        <v>355</v>
      </c>
      <c r="H1987" s="108" t="s">
        <v>402</v>
      </c>
      <c r="I1987" s="111" t="s">
        <v>402</v>
      </c>
      <c r="J1987" s="111" t="s">
        <v>402</v>
      </c>
      <c r="K1987" s="106" t="s">
        <v>403</v>
      </c>
      <c r="L1987" s="55" t="s">
        <v>404</v>
      </c>
      <c r="M1987" s="55" t="s">
        <v>7634</v>
      </c>
    </row>
    <row r="1988" spans="1:13">
      <c r="A1988" s="408" t="s">
        <v>5213</v>
      </c>
      <c r="B1988" s="106" t="s">
        <v>327</v>
      </c>
      <c r="C1988" s="106" t="s">
        <v>473</v>
      </c>
      <c r="D1988" s="107" t="s">
        <v>5214</v>
      </c>
      <c r="E1988" s="109" t="s">
        <v>355</v>
      </c>
      <c r="F1988" s="109" t="s">
        <v>355</v>
      </c>
      <c r="G1988" s="55" t="s">
        <v>355</v>
      </c>
      <c r="H1988" s="108" t="s">
        <v>402</v>
      </c>
      <c r="I1988" s="111" t="s">
        <v>402</v>
      </c>
      <c r="J1988" s="111" t="s">
        <v>402</v>
      </c>
      <c r="K1988" s="106" t="s">
        <v>403</v>
      </c>
      <c r="L1988" s="55" t="s">
        <v>404</v>
      </c>
      <c r="M1988" s="55" t="s">
        <v>7634</v>
      </c>
    </row>
    <row r="1989" spans="1:13">
      <c r="A1989" s="408" t="s">
        <v>5215</v>
      </c>
      <c r="B1989" s="106" t="s">
        <v>327</v>
      </c>
      <c r="C1989" s="106" t="s">
        <v>473</v>
      </c>
      <c r="D1989" s="107" t="s">
        <v>5214</v>
      </c>
      <c r="E1989" s="109" t="s">
        <v>355</v>
      </c>
      <c r="F1989" s="109" t="s">
        <v>355</v>
      </c>
      <c r="G1989" s="55" t="s">
        <v>355</v>
      </c>
      <c r="H1989" s="108" t="s">
        <v>402</v>
      </c>
      <c r="I1989" s="111" t="s">
        <v>402</v>
      </c>
      <c r="J1989" s="111" t="s">
        <v>402</v>
      </c>
      <c r="K1989" s="106" t="s">
        <v>403</v>
      </c>
      <c r="L1989" s="55" t="s">
        <v>404</v>
      </c>
      <c r="M1989" s="55" t="s">
        <v>7634</v>
      </c>
    </row>
    <row r="1990" spans="1:13">
      <c r="A1990" s="408" t="s">
        <v>5216</v>
      </c>
      <c r="B1990" s="106" t="s">
        <v>327</v>
      </c>
      <c r="C1990" s="106" t="s">
        <v>473</v>
      </c>
      <c r="D1990" s="107" t="s">
        <v>5214</v>
      </c>
      <c r="E1990" s="109" t="s">
        <v>355</v>
      </c>
      <c r="F1990" s="109" t="s">
        <v>355</v>
      </c>
      <c r="G1990" s="55" t="s">
        <v>355</v>
      </c>
      <c r="H1990" s="108" t="s">
        <v>402</v>
      </c>
      <c r="I1990" s="111" t="s">
        <v>402</v>
      </c>
      <c r="J1990" s="111" t="s">
        <v>402</v>
      </c>
      <c r="K1990" s="106" t="s">
        <v>403</v>
      </c>
      <c r="L1990" s="55" t="s">
        <v>404</v>
      </c>
      <c r="M1990" s="55" t="s">
        <v>7634</v>
      </c>
    </row>
    <row r="1991" spans="1:13">
      <c r="A1991" s="401" t="s">
        <v>5217</v>
      </c>
      <c r="B1991" s="106" t="s">
        <v>1059</v>
      </c>
      <c r="C1991" s="106" t="s">
        <v>473</v>
      </c>
      <c r="D1991" s="109" t="s">
        <v>5218</v>
      </c>
      <c r="E1991" s="109" t="s">
        <v>5219</v>
      </c>
      <c r="F1991" s="109" t="s">
        <v>5220</v>
      </c>
      <c r="G1991" s="112" t="s">
        <v>5221</v>
      </c>
      <c r="H1991" s="115" t="s">
        <v>402</v>
      </c>
      <c r="I1991" s="111" t="s">
        <v>402</v>
      </c>
      <c r="J1991" s="111" t="s">
        <v>402</v>
      </c>
      <c r="K1991" s="108" t="s">
        <v>403</v>
      </c>
      <c r="L1991" s="55" t="s">
        <v>404</v>
      </c>
      <c r="M1991" s="55" t="s">
        <v>7634</v>
      </c>
    </row>
    <row r="1992" spans="1:13">
      <c r="A1992" s="401" t="s">
        <v>5222</v>
      </c>
      <c r="B1992" s="109" t="s">
        <v>327</v>
      </c>
      <c r="C1992" s="109" t="s">
        <v>473</v>
      </c>
      <c r="D1992" s="109" t="s">
        <v>5223</v>
      </c>
      <c r="E1992" s="109" t="s">
        <v>5224</v>
      </c>
      <c r="F1992" s="110" t="s">
        <v>5225</v>
      </c>
      <c r="G1992" s="55" t="s">
        <v>5226</v>
      </c>
      <c r="H1992" s="115" t="s">
        <v>402</v>
      </c>
      <c r="I1992" s="111" t="s">
        <v>402</v>
      </c>
      <c r="J1992" s="111" t="s">
        <v>402</v>
      </c>
      <c r="K1992" s="108" t="s">
        <v>403</v>
      </c>
      <c r="L1992" s="55" t="s">
        <v>404</v>
      </c>
      <c r="M1992" s="55" t="s">
        <v>383</v>
      </c>
    </row>
    <row r="1993" spans="1:13">
      <c r="A1993" s="408" t="s">
        <v>5227</v>
      </c>
      <c r="B1993" s="106" t="s">
        <v>327</v>
      </c>
      <c r="C1993" s="106" t="s">
        <v>473</v>
      </c>
      <c r="D1993" s="107" t="s">
        <v>5228</v>
      </c>
      <c r="E1993" s="109" t="s">
        <v>355</v>
      </c>
      <c r="F1993" s="109" t="s">
        <v>355</v>
      </c>
      <c r="G1993" s="55" t="s">
        <v>355</v>
      </c>
      <c r="H1993" s="108" t="s">
        <v>402</v>
      </c>
      <c r="I1993" s="111" t="s">
        <v>402</v>
      </c>
      <c r="J1993" s="111" t="s">
        <v>402</v>
      </c>
      <c r="K1993" s="106" t="s">
        <v>403</v>
      </c>
      <c r="L1993" s="55" t="s">
        <v>404</v>
      </c>
      <c r="M1993" s="55" t="s">
        <v>7634</v>
      </c>
    </row>
    <row r="1994" spans="1:13">
      <c r="A1994" s="408" t="s">
        <v>5229</v>
      </c>
      <c r="B1994" s="106" t="s">
        <v>327</v>
      </c>
      <c r="C1994" s="106" t="s">
        <v>473</v>
      </c>
      <c r="D1994" s="107" t="s">
        <v>5230</v>
      </c>
      <c r="E1994" s="109" t="s">
        <v>355</v>
      </c>
      <c r="F1994" s="109" t="s">
        <v>355</v>
      </c>
      <c r="G1994" s="55" t="s">
        <v>355</v>
      </c>
      <c r="H1994" s="108" t="s">
        <v>402</v>
      </c>
      <c r="I1994" s="111" t="s">
        <v>402</v>
      </c>
      <c r="J1994" s="111" t="s">
        <v>402</v>
      </c>
      <c r="K1994" s="106" t="s">
        <v>403</v>
      </c>
      <c r="L1994" s="55" t="s">
        <v>404</v>
      </c>
      <c r="M1994" s="55" t="s">
        <v>7634</v>
      </c>
    </row>
    <row r="1995" spans="1:13">
      <c r="A1995" s="578" t="s">
        <v>5231</v>
      </c>
      <c r="B1995" s="586" t="s">
        <v>473</v>
      </c>
      <c r="C1995" s="586" t="s">
        <v>473</v>
      </c>
      <c r="D1995" s="586" t="s">
        <v>5232</v>
      </c>
      <c r="E1995" s="586" t="s">
        <v>5233</v>
      </c>
      <c r="F1995" s="586" t="s">
        <v>5234</v>
      </c>
      <c r="G1995" s="586" t="s">
        <v>5235</v>
      </c>
      <c r="H1995" s="586" t="s">
        <v>359</v>
      </c>
      <c r="I1995" s="587" t="s">
        <v>359</v>
      </c>
      <c r="J1995" s="586"/>
      <c r="K1995" s="586"/>
      <c r="L1995" s="586"/>
      <c r="M1995" s="55" t="s">
        <v>7634</v>
      </c>
    </row>
    <row r="1996" spans="1:13">
      <c r="A1996" s="401" t="s">
        <v>5236</v>
      </c>
      <c r="B1996" s="106" t="s">
        <v>327</v>
      </c>
      <c r="C1996" s="106" t="s">
        <v>473</v>
      </c>
      <c r="D1996" s="109" t="s">
        <v>5237</v>
      </c>
      <c r="E1996" s="109" t="s">
        <v>5238</v>
      </c>
      <c r="F1996" s="110" t="s">
        <v>383</v>
      </c>
      <c r="G1996" s="112" t="s">
        <v>5239</v>
      </c>
      <c r="H1996" s="115" t="s">
        <v>402</v>
      </c>
      <c r="I1996" s="111" t="s">
        <v>402</v>
      </c>
      <c r="J1996" s="111" t="s">
        <v>402</v>
      </c>
      <c r="K1996" s="115" t="s">
        <v>403</v>
      </c>
      <c r="L1996" s="55" t="s">
        <v>404</v>
      </c>
      <c r="M1996" s="113" t="s">
        <v>383</v>
      </c>
    </row>
    <row r="1997" spans="1:13">
      <c r="A1997" s="408" t="s">
        <v>5240</v>
      </c>
      <c r="B1997" s="106" t="s">
        <v>327</v>
      </c>
      <c r="C1997" s="106" t="s">
        <v>473</v>
      </c>
      <c r="D1997" s="107" t="s">
        <v>5241</v>
      </c>
      <c r="E1997" s="109" t="s">
        <v>355</v>
      </c>
      <c r="F1997" s="109" t="s">
        <v>355</v>
      </c>
      <c r="G1997" s="55" t="s">
        <v>355</v>
      </c>
      <c r="H1997" s="108" t="s">
        <v>402</v>
      </c>
      <c r="I1997" s="111" t="s">
        <v>402</v>
      </c>
      <c r="J1997" s="111" t="s">
        <v>402</v>
      </c>
      <c r="K1997" s="106" t="s">
        <v>403</v>
      </c>
      <c r="L1997" s="55" t="s">
        <v>404</v>
      </c>
      <c r="M1997" s="55" t="s">
        <v>7634</v>
      </c>
    </row>
    <row r="1998" spans="1:13">
      <c r="A1998" s="408" t="s">
        <v>5242</v>
      </c>
      <c r="B1998" s="106" t="s">
        <v>327</v>
      </c>
      <c r="C1998" s="106" t="s">
        <v>473</v>
      </c>
      <c r="D1998" s="107" t="s">
        <v>5243</v>
      </c>
      <c r="E1998" s="109" t="s">
        <v>355</v>
      </c>
      <c r="F1998" s="109" t="s">
        <v>355</v>
      </c>
      <c r="G1998" s="55" t="s">
        <v>355</v>
      </c>
      <c r="H1998" s="108" t="s">
        <v>402</v>
      </c>
      <c r="I1998" s="111" t="s">
        <v>402</v>
      </c>
      <c r="J1998" s="111" t="s">
        <v>402</v>
      </c>
      <c r="K1998" s="106" t="s">
        <v>403</v>
      </c>
      <c r="L1998" s="55" t="s">
        <v>404</v>
      </c>
      <c r="M1998" s="55" t="s">
        <v>7634</v>
      </c>
    </row>
    <row r="1999" spans="1:13">
      <c r="A1999" s="408" t="s">
        <v>5244</v>
      </c>
      <c r="B1999" s="106" t="s">
        <v>327</v>
      </c>
      <c r="C1999" s="106" t="s">
        <v>473</v>
      </c>
      <c r="D1999" s="107" t="s">
        <v>5245</v>
      </c>
      <c r="E1999" s="109" t="s">
        <v>355</v>
      </c>
      <c r="F1999" s="109" t="s">
        <v>355</v>
      </c>
      <c r="G1999" s="55" t="s">
        <v>355</v>
      </c>
      <c r="H1999" s="108" t="s">
        <v>402</v>
      </c>
      <c r="I1999" s="111" t="s">
        <v>402</v>
      </c>
      <c r="J1999" s="111" t="s">
        <v>402</v>
      </c>
      <c r="K1999" s="106" t="s">
        <v>403</v>
      </c>
      <c r="L1999" s="55" t="s">
        <v>404</v>
      </c>
      <c r="M1999" s="55" t="s">
        <v>7634</v>
      </c>
    </row>
    <row r="2000" spans="1:13">
      <c r="A2000" s="408" t="s">
        <v>5246</v>
      </c>
      <c r="B2000" s="106" t="s">
        <v>327</v>
      </c>
      <c r="C2000" s="106" t="s">
        <v>473</v>
      </c>
      <c r="D2000" s="107" t="s">
        <v>5247</v>
      </c>
      <c r="E2000" s="109" t="s">
        <v>355</v>
      </c>
      <c r="F2000" s="109" t="s">
        <v>355</v>
      </c>
      <c r="G2000" s="55" t="s">
        <v>355</v>
      </c>
      <c r="H2000" s="108" t="s">
        <v>402</v>
      </c>
      <c r="I2000" s="111" t="s">
        <v>402</v>
      </c>
      <c r="J2000" s="111" t="s">
        <v>402</v>
      </c>
      <c r="K2000" s="106" t="s">
        <v>403</v>
      </c>
      <c r="L2000" s="55" t="s">
        <v>404</v>
      </c>
      <c r="M2000" s="55" t="s">
        <v>7634</v>
      </c>
    </row>
    <row r="2001" spans="1:13">
      <c r="A2001" s="408" t="s">
        <v>5248</v>
      </c>
      <c r="B2001" s="106" t="s">
        <v>327</v>
      </c>
      <c r="C2001" s="106" t="s">
        <v>473</v>
      </c>
      <c r="D2001" s="107" t="s">
        <v>5249</v>
      </c>
      <c r="E2001" s="109" t="s">
        <v>355</v>
      </c>
      <c r="F2001" s="109" t="s">
        <v>355</v>
      </c>
      <c r="G2001" s="55" t="s">
        <v>355</v>
      </c>
      <c r="H2001" s="108" t="s">
        <v>402</v>
      </c>
      <c r="I2001" s="111" t="s">
        <v>402</v>
      </c>
      <c r="J2001" s="111" t="s">
        <v>402</v>
      </c>
      <c r="K2001" s="106" t="s">
        <v>403</v>
      </c>
      <c r="L2001" s="55" t="s">
        <v>404</v>
      </c>
      <c r="M2001" s="55" t="s">
        <v>7634</v>
      </c>
    </row>
    <row r="2002" spans="1:13">
      <c r="A2002" s="408" t="s">
        <v>5250</v>
      </c>
      <c r="B2002" s="106" t="s">
        <v>327</v>
      </c>
      <c r="C2002" s="106" t="s">
        <v>473</v>
      </c>
      <c r="D2002" s="107" t="s">
        <v>5249</v>
      </c>
      <c r="E2002" s="109" t="s">
        <v>355</v>
      </c>
      <c r="F2002" s="109" t="s">
        <v>355</v>
      </c>
      <c r="G2002" s="55" t="s">
        <v>355</v>
      </c>
      <c r="H2002" s="108" t="s">
        <v>402</v>
      </c>
      <c r="I2002" s="111" t="s">
        <v>402</v>
      </c>
      <c r="J2002" s="111" t="s">
        <v>402</v>
      </c>
      <c r="K2002" s="106" t="s">
        <v>403</v>
      </c>
      <c r="L2002" s="55" t="s">
        <v>404</v>
      </c>
      <c r="M2002" s="55" t="s">
        <v>7634</v>
      </c>
    </row>
    <row r="2003" spans="1:13">
      <c r="A2003" s="408" t="s">
        <v>5251</v>
      </c>
      <c r="B2003" s="106" t="s">
        <v>327</v>
      </c>
      <c r="C2003" s="106" t="s">
        <v>473</v>
      </c>
      <c r="D2003" s="107" t="s">
        <v>5252</v>
      </c>
      <c r="E2003" s="109" t="s">
        <v>355</v>
      </c>
      <c r="F2003" s="109" t="s">
        <v>355</v>
      </c>
      <c r="G2003" s="55" t="s">
        <v>355</v>
      </c>
      <c r="H2003" s="108" t="s">
        <v>402</v>
      </c>
      <c r="I2003" s="111" t="s">
        <v>402</v>
      </c>
      <c r="J2003" s="111" t="s">
        <v>402</v>
      </c>
      <c r="K2003" s="106" t="s">
        <v>403</v>
      </c>
      <c r="L2003" s="55" t="s">
        <v>404</v>
      </c>
      <c r="M2003" s="55" t="s">
        <v>7634</v>
      </c>
    </row>
    <row r="2004" spans="1:13">
      <c r="A2004" s="401" t="s">
        <v>5253</v>
      </c>
      <c r="B2004" s="106" t="s">
        <v>327</v>
      </c>
      <c r="C2004" s="106" t="s">
        <v>473</v>
      </c>
      <c r="D2004" s="109" t="s">
        <v>5254</v>
      </c>
      <c r="E2004" s="109" t="s">
        <v>5255</v>
      </c>
      <c r="F2004" s="110" t="s">
        <v>5256</v>
      </c>
      <c r="G2004" s="112" t="s">
        <v>5257</v>
      </c>
      <c r="H2004" s="115" t="s">
        <v>402</v>
      </c>
      <c r="I2004" s="111" t="s">
        <v>402</v>
      </c>
      <c r="J2004" s="111" t="s">
        <v>402</v>
      </c>
      <c r="K2004" s="106" t="s">
        <v>403</v>
      </c>
      <c r="L2004" s="55" t="s">
        <v>404</v>
      </c>
      <c r="M2004" s="55" t="s">
        <v>383</v>
      </c>
    </row>
    <row r="2005" spans="1:13">
      <c r="A2005" s="408" t="s">
        <v>5258</v>
      </c>
      <c r="B2005" s="106" t="s">
        <v>327</v>
      </c>
      <c r="C2005" s="106" t="s">
        <v>473</v>
      </c>
      <c r="D2005" s="107" t="s">
        <v>5259</v>
      </c>
      <c r="E2005" s="109" t="s">
        <v>355</v>
      </c>
      <c r="F2005" s="109" t="s">
        <v>355</v>
      </c>
      <c r="G2005" s="55" t="s">
        <v>355</v>
      </c>
      <c r="H2005" s="108" t="s">
        <v>402</v>
      </c>
      <c r="I2005" s="111" t="s">
        <v>402</v>
      </c>
      <c r="J2005" s="111" t="s">
        <v>402</v>
      </c>
      <c r="K2005" s="106" t="s">
        <v>403</v>
      </c>
      <c r="L2005" s="55" t="s">
        <v>404</v>
      </c>
      <c r="M2005" s="55" t="s">
        <v>7634</v>
      </c>
    </row>
    <row r="2006" spans="1:13">
      <c r="A2006" s="408" t="s">
        <v>5260</v>
      </c>
      <c r="B2006" s="106" t="s">
        <v>327</v>
      </c>
      <c r="C2006" s="106" t="s">
        <v>473</v>
      </c>
      <c r="D2006" s="107" t="s">
        <v>5261</v>
      </c>
      <c r="E2006" s="109" t="s">
        <v>355</v>
      </c>
      <c r="F2006" s="109" t="s">
        <v>355</v>
      </c>
      <c r="G2006" s="55" t="s">
        <v>355</v>
      </c>
      <c r="H2006" s="108" t="s">
        <v>402</v>
      </c>
      <c r="I2006" s="111" t="s">
        <v>402</v>
      </c>
      <c r="J2006" s="111" t="s">
        <v>402</v>
      </c>
      <c r="K2006" s="106" t="s">
        <v>403</v>
      </c>
      <c r="L2006" s="55" t="s">
        <v>404</v>
      </c>
      <c r="M2006" s="55" t="s">
        <v>7634</v>
      </c>
    </row>
    <row r="2007" spans="1:13">
      <c r="A2007" s="408" t="s">
        <v>5262</v>
      </c>
      <c r="B2007" s="106" t="s">
        <v>327</v>
      </c>
      <c r="C2007" s="106" t="s">
        <v>473</v>
      </c>
      <c r="D2007" s="107" t="s">
        <v>5263</v>
      </c>
      <c r="E2007" s="109" t="s">
        <v>355</v>
      </c>
      <c r="F2007" s="109" t="s">
        <v>355</v>
      </c>
      <c r="G2007" s="55" t="s">
        <v>355</v>
      </c>
      <c r="H2007" s="108" t="s">
        <v>402</v>
      </c>
      <c r="I2007" s="111" t="s">
        <v>402</v>
      </c>
      <c r="J2007" s="111" t="s">
        <v>402</v>
      </c>
      <c r="K2007" s="106" t="s">
        <v>403</v>
      </c>
      <c r="L2007" s="55" t="s">
        <v>404</v>
      </c>
      <c r="M2007" s="55" t="s">
        <v>7634</v>
      </c>
    </row>
    <row r="2008" spans="1:13">
      <c r="A2008" s="408" t="s">
        <v>5264</v>
      </c>
      <c r="B2008" s="106" t="s">
        <v>327</v>
      </c>
      <c r="C2008" s="106" t="s">
        <v>473</v>
      </c>
      <c r="D2008" s="107" t="s">
        <v>5265</v>
      </c>
      <c r="E2008" s="109" t="s">
        <v>355</v>
      </c>
      <c r="F2008" s="109" t="s">
        <v>355</v>
      </c>
      <c r="G2008" s="55" t="s">
        <v>355</v>
      </c>
      <c r="H2008" s="108" t="s">
        <v>402</v>
      </c>
      <c r="I2008" s="111" t="s">
        <v>402</v>
      </c>
      <c r="J2008" s="111" t="s">
        <v>402</v>
      </c>
      <c r="K2008" s="106" t="s">
        <v>403</v>
      </c>
      <c r="L2008" s="55" t="s">
        <v>404</v>
      </c>
      <c r="M2008" s="55" t="s">
        <v>7634</v>
      </c>
    </row>
    <row r="2009" spans="1:13">
      <c r="A2009" s="408" t="s">
        <v>5266</v>
      </c>
      <c r="B2009" s="106" t="s">
        <v>327</v>
      </c>
      <c r="C2009" s="106" t="s">
        <v>473</v>
      </c>
      <c r="D2009" s="107" t="s">
        <v>5267</v>
      </c>
      <c r="E2009" s="109" t="s">
        <v>355</v>
      </c>
      <c r="F2009" s="109" t="s">
        <v>355</v>
      </c>
      <c r="G2009" s="55" t="s">
        <v>355</v>
      </c>
      <c r="H2009" s="108" t="s">
        <v>402</v>
      </c>
      <c r="I2009" s="111" t="s">
        <v>402</v>
      </c>
      <c r="J2009" s="111" t="s">
        <v>402</v>
      </c>
      <c r="K2009" s="106" t="s">
        <v>403</v>
      </c>
      <c r="L2009" s="55" t="s">
        <v>404</v>
      </c>
      <c r="M2009" s="55" t="s">
        <v>7634</v>
      </c>
    </row>
    <row r="2010" spans="1:13">
      <c r="A2010" s="408" t="s">
        <v>5268</v>
      </c>
      <c r="B2010" s="106" t="s">
        <v>327</v>
      </c>
      <c r="C2010" s="106" t="s">
        <v>473</v>
      </c>
      <c r="D2010" s="107" t="s">
        <v>5269</v>
      </c>
      <c r="E2010" s="109" t="s">
        <v>355</v>
      </c>
      <c r="F2010" s="109" t="s">
        <v>355</v>
      </c>
      <c r="G2010" s="55" t="s">
        <v>355</v>
      </c>
      <c r="H2010" s="108" t="s">
        <v>402</v>
      </c>
      <c r="I2010" s="111" t="s">
        <v>402</v>
      </c>
      <c r="J2010" s="111" t="s">
        <v>402</v>
      </c>
      <c r="K2010" s="106" t="s">
        <v>403</v>
      </c>
      <c r="L2010" s="55" t="s">
        <v>404</v>
      </c>
      <c r="M2010" s="55" t="s">
        <v>7634</v>
      </c>
    </row>
    <row r="2011" spans="1:13">
      <c r="A2011" s="408" t="s">
        <v>5270</v>
      </c>
      <c r="B2011" s="106" t="s">
        <v>327</v>
      </c>
      <c r="C2011" s="106" t="s">
        <v>473</v>
      </c>
      <c r="D2011" s="107" t="s">
        <v>5271</v>
      </c>
      <c r="E2011" s="109" t="s">
        <v>355</v>
      </c>
      <c r="F2011" s="109" t="s">
        <v>355</v>
      </c>
      <c r="G2011" s="55" t="s">
        <v>355</v>
      </c>
      <c r="H2011" s="108" t="s">
        <v>402</v>
      </c>
      <c r="I2011" s="111" t="s">
        <v>402</v>
      </c>
      <c r="J2011" s="111" t="s">
        <v>402</v>
      </c>
      <c r="K2011" s="106" t="s">
        <v>403</v>
      </c>
      <c r="L2011" s="55" t="s">
        <v>404</v>
      </c>
      <c r="M2011" s="55" t="s">
        <v>7634</v>
      </c>
    </row>
    <row r="2012" spans="1:13">
      <c r="A2012" s="401" t="s">
        <v>5272</v>
      </c>
      <c r="B2012" s="106" t="s">
        <v>327</v>
      </c>
      <c r="C2012" s="106" t="s">
        <v>473</v>
      </c>
      <c r="D2012" s="109" t="s">
        <v>5273</v>
      </c>
      <c r="E2012" s="109" t="s">
        <v>383</v>
      </c>
      <c r="F2012" s="109" t="s">
        <v>5274</v>
      </c>
      <c r="G2012" s="112" t="s">
        <v>5275</v>
      </c>
      <c r="H2012" s="115" t="s">
        <v>402</v>
      </c>
      <c r="I2012" s="111" t="s">
        <v>402</v>
      </c>
      <c r="J2012" s="111" t="s">
        <v>402</v>
      </c>
      <c r="K2012" s="108" t="s">
        <v>592</v>
      </c>
      <c r="L2012" s="55" t="s">
        <v>404</v>
      </c>
      <c r="M2012" s="55" t="s">
        <v>383</v>
      </c>
    </row>
    <row r="2013" spans="1:13">
      <c r="A2013" s="401" t="s">
        <v>8129</v>
      </c>
      <c r="B2013" s="106" t="s">
        <v>327</v>
      </c>
      <c r="C2013" s="132" t="s">
        <v>327</v>
      </c>
      <c r="D2013" s="133" t="s">
        <v>5276</v>
      </c>
      <c r="E2013" s="133" t="s">
        <v>8754</v>
      </c>
      <c r="F2013" s="133" t="s">
        <v>8755</v>
      </c>
      <c r="G2013" s="601" t="s">
        <v>8756</v>
      </c>
      <c r="H2013" s="108" t="s">
        <v>402</v>
      </c>
      <c r="I2013" s="111" t="s">
        <v>402</v>
      </c>
      <c r="J2013" s="111" t="s">
        <v>402</v>
      </c>
      <c r="K2013" s="106" t="s">
        <v>403</v>
      </c>
      <c r="L2013" s="55" t="s">
        <v>404</v>
      </c>
      <c r="M2013" s="55" t="s">
        <v>383</v>
      </c>
    </row>
    <row r="2014" spans="1:13">
      <c r="A2014" s="401" t="s">
        <v>8129</v>
      </c>
      <c r="B2014" s="106" t="s">
        <v>327</v>
      </c>
      <c r="C2014" s="132" t="s">
        <v>327</v>
      </c>
      <c r="D2014" s="133" t="s">
        <v>8133</v>
      </c>
      <c r="E2014" s="133" t="s">
        <v>8131</v>
      </c>
      <c r="F2014" s="133" t="s">
        <v>8130</v>
      </c>
      <c r="G2014" s="601" t="s">
        <v>8132</v>
      </c>
      <c r="H2014" s="108" t="s">
        <v>402</v>
      </c>
      <c r="I2014" s="111" t="s">
        <v>402</v>
      </c>
      <c r="J2014" s="111" t="s">
        <v>402</v>
      </c>
      <c r="K2014" s="106" t="s">
        <v>403</v>
      </c>
      <c r="L2014" s="55" t="s">
        <v>404</v>
      </c>
      <c r="M2014" s="55" t="s">
        <v>383</v>
      </c>
    </row>
    <row r="2015" spans="1:13">
      <c r="A2015" s="401" t="s">
        <v>5277</v>
      </c>
      <c r="B2015" s="106" t="s">
        <v>984</v>
      </c>
      <c r="C2015" s="106" t="s">
        <v>473</v>
      </c>
      <c r="D2015" s="109" t="s">
        <v>5278</v>
      </c>
      <c r="E2015" s="109" t="s">
        <v>5279</v>
      </c>
      <c r="F2015" s="109"/>
      <c r="G2015" s="112" t="s">
        <v>5280</v>
      </c>
      <c r="H2015" s="115" t="s">
        <v>402</v>
      </c>
      <c r="I2015" s="111" t="s">
        <v>402</v>
      </c>
      <c r="J2015" s="111" t="s">
        <v>402</v>
      </c>
      <c r="K2015" s="108" t="s">
        <v>1254</v>
      </c>
      <c r="L2015" s="55" t="s">
        <v>404</v>
      </c>
      <c r="M2015" s="55" t="s">
        <v>7634</v>
      </c>
    </row>
    <row r="2016" spans="1:13">
      <c r="A2016" s="401" t="s">
        <v>5283</v>
      </c>
      <c r="B2016" s="106" t="s">
        <v>984</v>
      </c>
      <c r="C2016" s="106" t="s">
        <v>473</v>
      </c>
      <c r="D2016" s="109"/>
      <c r="E2016" s="109" t="s">
        <v>5284</v>
      </c>
      <c r="F2016" s="109" t="s">
        <v>656</v>
      </c>
      <c r="G2016" s="114" t="s">
        <v>656</v>
      </c>
      <c r="H2016" s="115" t="s">
        <v>402</v>
      </c>
      <c r="I2016" s="111" t="s">
        <v>402</v>
      </c>
      <c r="J2016" s="111" t="s">
        <v>402</v>
      </c>
      <c r="K2016" s="115" t="s">
        <v>403</v>
      </c>
      <c r="L2016" s="55" t="s">
        <v>404</v>
      </c>
      <c r="M2016" s="55" t="s">
        <v>383</v>
      </c>
    </row>
    <row r="2017" spans="1:13">
      <c r="A2017" s="401" t="s">
        <v>8174</v>
      </c>
      <c r="B2017" s="106" t="s">
        <v>327</v>
      </c>
      <c r="C2017" s="132" t="s">
        <v>327</v>
      </c>
      <c r="D2017" s="133" t="s">
        <v>8175</v>
      </c>
      <c r="E2017" s="133" t="s">
        <v>8176</v>
      </c>
      <c r="F2017" s="133" t="s">
        <v>8177</v>
      </c>
      <c r="G2017" s="601" t="s">
        <v>8178</v>
      </c>
      <c r="H2017" s="108" t="s">
        <v>402</v>
      </c>
      <c r="I2017" s="111" t="s">
        <v>402</v>
      </c>
      <c r="J2017" s="111" t="s">
        <v>402</v>
      </c>
      <c r="K2017" s="106" t="s">
        <v>403</v>
      </c>
      <c r="L2017" s="55" t="s">
        <v>404</v>
      </c>
      <c r="M2017" s="55" t="s">
        <v>383</v>
      </c>
    </row>
    <row r="2018" spans="1:13">
      <c r="A2018" s="401" t="s">
        <v>5285</v>
      </c>
      <c r="B2018" s="106" t="s">
        <v>327</v>
      </c>
      <c r="C2018" s="106" t="s">
        <v>473</v>
      </c>
      <c r="D2018" s="110" t="s">
        <v>5286</v>
      </c>
      <c r="E2018" s="109" t="s">
        <v>5287</v>
      </c>
      <c r="F2018" s="110" t="s">
        <v>383</v>
      </c>
      <c r="G2018" s="123" t="s">
        <v>383</v>
      </c>
      <c r="H2018" s="115" t="s">
        <v>402</v>
      </c>
      <c r="I2018" s="111" t="s">
        <v>402</v>
      </c>
      <c r="J2018" s="111" t="s">
        <v>402</v>
      </c>
      <c r="K2018" s="106" t="s">
        <v>592</v>
      </c>
      <c r="L2018" s="55" t="s">
        <v>404</v>
      </c>
      <c r="M2018" s="55" t="s">
        <v>383</v>
      </c>
    </row>
    <row r="2019" spans="1:13">
      <c r="A2019" s="578" t="s">
        <v>5288</v>
      </c>
      <c r="B2019" s="586" t="s">
        <v>473</v>
      </c>
      <c r="C2019" s="586" t="s">
        <v>473</v>
      </c>
      <c r="D2019" s="586" t="s">
        <v>377</v>
      </c>
      <c r="E2019" s="586" t="s">
        <v>5289</v>
      </c>
      <c r="F2019" s="586" t="s">
        <v>377</v>
      </c>
      <c r="G2019" s="586" t="s">
        <v>377</v>
      </c>
      <c r="H2019" s="586" t="s">
        <v>359</v>
      </c>
      <c r="I2019" s="587" t="s">
        <v>359</v>
      </c>
      <c r="J2019" s="586"/>
      <c r="K2019" s="586"/>
      <c r="L2019" s="586"/>
      <c r="M2019" s="586" t="s">
        <v>377</v>
      </c>
    </row>
    <row r="2020" spans="1:13">
      <c r="A2020" s="578" t="s">
        <v>5290</v>
      </c>
      <c r="B2020" s="586" t="s">
        <v>473</v>
      </c>
      <c r="C2020" s="586" t="s">
        <v>473</v>
      </c>
      <c r="D2020" s="586" t="s">
        <v>5291</v>
      </c>
      <c r="E2020" s="586" t="s">
        <v>5292</v>
      </c>
      <c r="F2020" s="586" t="s">
        <v>5293</v>
      </c>
      <c r="G2020" s="586" t="s">
        <v>377</v>
      </c>
      <c r="H2020" s="586" t="s">
        <v>359</v>
      </c>
      <c r="I2020" s="587" t="s">
        <v>359</v>
      </c>
      <c r="J2020" s="586"/>
      <c r="K2020" s="586" t="s">
        <v>360</v>
      </c>
      <c r="L2020" s="586" t="s">
        <v>361</v>
      </c>
      <c r="M2020" s="55" t="s">
        <v>7634</v>
      </c>
    </row>
    <row r="2021" spans="1:13">
      <c r="A2021" s="401" t="s">
        <v>5294</v>
      </c>
      <c r="B2021" s="106" t="s">
        <v>1059</v>
      </c>
      <c r="C2021" s="106" t="s">
        <v>473</v>
      </c>
      <c r="D2021" s="107" t="s">
        <v>355</v>
      </c>
      <c r="E2021" s="107" t="s">
        <v>5295</v>
      </c>
      <c r="F2021" s="107" t="s">
        <v>5296</v>
      </c>
      <c r="G2021" s="114" t="s">
        <v>355</v>
      </c>
      <c r="H2021" s="115" t="s">
        <v>402</v>
      </c>
      <c r="I2021" s="111" t="s">
        <v>402</v>
      </c>
      <c r="J2021" s="111" t="s">
        <v>402</v>
      </c>
      <c r="K2021" s="106" t="s">
        <v>403</v>
      </c>
      <c r="L2021" s="55" t="s">
        <v>404</v>
      </c>
      <c r="M2021" s="55" t="s">
        <v>7634</v>
      </c>
    </row>
    <row r="2022" spans="1:13">
      <c r="A2022" s="401" t="s">
        <v>5297</v>
      </c>
      <c r="B2022" s="106" t="s">
        <v>327</v>
      </c>
      <c r="C2022" s="106" t="s">
        <v>473</v>
      </c>
      <c r="D2022" s="109" t="s">
        <v>5298</v>
      </c>
      <c r="E2022" s="109" t="s">
        <v>5299</v>
      </c>
      <c r="F2022" s="109" t="s">
        <v>5300</v>
      </c>
      <c r="G2022" s="112" t="s">
        <v>5301</v>
      </c>
      <c r="H2022" s="115" t="s">
        <v>402</v>
      </c>
      <c r="I2022" s="111" t="s">
        <v>402</v>
      </c>
      <c r="J2022" s="111" t="s">
        <v>402</v>
      </c>
      <c r="K2022" s="106" t="s">
        <v>403</v>
      </c>
      <c r="L2022" s="55" t="s">
        <v>404</v>
      </c>
      <c r="M2022" s="55" t="s">
        <v>7634</v>
      </c>
    </row>
    <row r="2023" spans="1:13">
      <c r="A2023" s="401" t="s">
        <v>8985</v>
      </c>
      <c r="B2023" s="106" t="s">
        <v>327</v>
      </c>
      <c r="C2023" s="106" t="s">
        <v>473</v>
      </c>
      <c r="D2023" s="133" t="s">
        <v>8986</v>
      </c>
      <c r="E2023" s="133" t="s">
        <v>8987</v>
      </c>
      <c r="F2023" s="133" t="s">
        <v>8988</v>
      </c>
      <c r="G2023" s="601" t="s">
        <v>8989</v>
      </c>
      <c r="H2023" s="108" t="s">
        <v>402</v>
      </c>
      <c r="I2023" s="111" t="s">
        <v>402</v>
      </c>
      <c r="J2023" s="111" t="s">
        <v>402</v>
      </c>
      <c r="K2023" s="106" t="s">
        <v>403</v>
      </c>
      <c r="L2023" s="55" t="s">
        <v>404</v>
      </c>
      <c r="M2023" s="55" t="s">
        <v>383</v>
      </c>
    </row>
    <row r="2024" spans="1:13">
      <c r="A2024" s="408" t="s">
        <v>5302</v>
      </c>
      <c r="B2024" s="106" t="s">
        <v>327</v>
      </c>
      <c r="C2024" s="106" t="s">
        <v>473</v>
      </c>
      <c r="D2024" s="107" t="s">
        <v>5303</v>
      </c>
      <c r="E2024" s="109" t="s">
        <v>355</v>
      </c>
      <c r="F2024" s="109" t="s">
        <v>355</v>
      </c>
      <c r="G2024" s="55" t="s">
        <v>355</v>
      </c>
      <c r="H2024" s="108" t="s">
        <v>402</v>
      </c>
      <c r="I2024" s="111" t="s">
        <v>402</v>
      </c>
      <c r="J2024" s="111" t="s">
        <v>402</v>
      </c>
      <c r="K2024" s="106" t="s">
        <v>403</v>
      </c>
      <c r="L2024" s="55" t="s">
        <v>404</v>
      </c>
      <c r="M2024" s="55" t="s">
        <v>7634</v>
      </c>
    </row>
    <row r="2025" spans="1:13">
      <c r="A2025" s="408" t="s">
        <v>5304</v>
      </c>
      <c r="B2025" s="106" t="s">
        <v>327</v>
      </c>
      <c r="C2025" s="106" t="s">
        <v>473</v>
      </c>
      <c r="D2025" s="107" t="s">
        <v>5305</v>
      </c>
      <c r="E2025" s="109" t="s">
        <v>355</v>
      </c>
      <c r="F2025" s="109" t="s">
        <v>355</v>
      </c>
      <c r="G2025" s="55" t="s">
        <v>355</v>
      </c>
      <c r="H2025" s="108" t="s">
        <v>402</v>
      </c>
      <c r="I2025" s="111" t="s">
        <v>402</v>
      </c>
      <c r="J2025" s="111" t="s">
        <v>402</v>
      </c>
      <c r="K2025" s="106" t="s">
        <v>403</v>
      </c>
      <c r="L2025" s="55" t="s">
        <v>404</v>
      </c>
      <c r="M2025" s="55" t="s">
        <v>7634</v>
      </c>
    </row>
    <row r="2026" spans="1:13">
      <c r="A2026" s="408" t="s">
        <v>5306</v>
      </c>
      <c r="B2026" s="106" t="s">
        <v>327</v>
      </c>
      <c r="C2026" s="106" t="s">
        <v>473</v>
      </c>
      <c r="D2026" s="107" t="s">
        <v>5307</v>
      </c>
      <c r="E2026" s="109" t="s">
        <v>355</v>
      </c>
      <c r="F2026" s="109" t="s">
        <v>355</v>
      </c>
      <c r="G2026" s="55" t="s">
        <v>355</v>
      </c>
      <c r="H2026" s="108" t="s">
        <v>402</v>
      </c>
      <c r="I2026" s="111" t="s">
        <v>402</v>
      </c>
      <c r="J2026" s="111" t="s">
        <v>402</v>
      </c>
      <c r="K2026" s="106" t="s">
        <v>403</v>
      </c>
      <c r="L2026" s="55" t="s">
        <v>404</v>
      </c>
      <c r="M2026" s="55" t="s">
        <v>7634</v>
      </c>
    </row>
    <row r="2027" spans="1:13">
      <c r="A2027" s="408" t="s">
        <v>5308</v>
      </c>
      <c r="B2027" s="106" t="s">
        <v>327</v>
      </c>
      <c r="C2027" s="106" t="s">
        <v>473</v>
      </c>
      <c r="D2027" s="107" t="s">
        <v>5309</v>
      </c>
      <c r="E2027" s="109" t="s">
        <v>355</v>
      </c>
      <c r="F2027" s="109" t="s">
        <v>355</v>
      </c>
      <c r="G2027" s="55" t="s">
        <v>355</v>
      </c>
      <c r="H2027" s="108" t="s">
        <v>402</v>
      </c>
      <c r="I2027" s="111" t="s">
        <v>402</v>
      </c>
      <c r="J2027" s="111" t="s">
        <v>402</v>
      </c>
      <c r="K2027" s="106" t="s">
        <v>403</v>
      </c>
      <c r="L2027" s="55" t="s">
        <v>404</v>
      </c>
      <c r="M2027" s="55" t="s">
        <v>7634</v>
      </c>
    </row>
    <row r="2028" spans="1:13">
      <c r="A2028" s="408" t="s">
        <v>5310</v>
      </c>
      <c r="B2028" s="106" t="s">
        <v>327</v>
      </c>
      <c r="C2028" s="106" t="s">
        <v>473</v>
      </c>
      <c r="D2028" s="107" t="s">
        <v>5311</v>
      </c>
      <c r="E2028" s="109" t="s">
        <v>355</v>
      </c>
      <c r="F2028" s="109" t="s">
        <v>355</v>
      </c>
      <c r="G2028" s="55" t="s">
        <v>355</v>
      </c>
      <c r="H2028" s="108" t="s">
        <v>402</v>
      </c>
      <c r="I2028" s="111" t="s">
        <v>402</v>
      </c>
      <c r="J2028" s="111" t="s">
        <v>402</v>
      </c>
      <c r="K2028" s="106" t="s">
        <v>403</v>
      </c>
      <c r="L2028" s="55" t="s">
        <v>404</v>
      </c>
      <c r="M2028" s="55" t="s">
        <v>7634</v>
      </c>
    </row>
    <row r="2029" spans="1:13">
      <c r="A2029" s="408" t="s">
        <v>5312</v>
      </c>
      <c r="B2029" s="106" t="s">
        <v>327</v>
      </c>
      <c r="C2029" s="106" t="s">
        <v>473</v>
      </c>
      <c r="D2029" s="107" t="s">
        <v>5313</v>
      </c>
      <c r="E2029" s="109" t="s">
        <v>355</v>
      </c>
      <c r="F2029" s="109" t="s">
        <v>355</v>
      </c>
      <c r="G2029" s="55" t="s">
        <v>355</v>
      </c>
      <c r="H2029" s="108" t="s">
        <v>402</v>
      </c>
      <c r="I2029" s="111" t="s">
        <v>402</v>
      </c>
      <c r="J2029" s="111" t="s">
        <v>402</v>
      </c>
      <c r="K2029" s="106" t="s">
        <v>403</v>
      </c>
      <c r="L2029" s="55" t="s">
        <v>404</v>
      </c>
      <c r="M2029" s="55" t="s">
        <v>7634</v>
      </c>
    </row>
    <row r="2030" spans="1:13">
      <c r="A2030" s="408" t="s">
        <v>5314</v>
      </c>
      <c r="B2030" s="106" t="s">
        <v>327</v>
      </c>
      <c r="C2030" s="106" t="s">
        <v>473</v>
      </c>
      <c r="D2030" s="107" t="s">
        <v>5315</v>
      </c>
      <c r="E2030" s="109" t="s">
        <v>355</v>
      </c>
      <c r="F2030" s="109" t="s">
        <v>355</v>
      </c>
      <c r="G2030" s="55" t="s">
        <v>355</v>
      </c>
      <c r="H2030" s="108" t="s">
        <v>402</v>
      </c>
      <c r="I2030" s="111" t="s">
        <v>402</v>
      </c>
      <c r="J2030" s="111" t="s">
        <v>402</v>
      </c>
      <c r="K2030" s="106" t="s">
        <v>403</v>
      </c>
      <c r="L2030" s="55" t="s">
        <v>404</v>
      </c>
      <c r="M2030" s="55" t="s">
        <v>7634</v>
      </c>
    </row>
    <row r="2031" spans="1:13">
      <c r="A2031" s="408" t="s">
        <v>5316</v>
      </c>
      <c r="B2031" s="106" t="s">
        <v>327</v>
      </c>
      <c r="C2031" s="106" t="s">
        <v>473</v>
      </c>
      <c r="D2031" s="107" t="s">
        <v>5317</v>
      </c>
      <c r="E2031" s="109" t="s">
        <v>355</v>
      </c>
      <c r="F2031" s="109" t="s">
        <v>355</v>
      </c>
      <c r="G2031" s="55" t="s">
        <v>355</v>
      </c>
      <c r="H2031" s="108" t="s">
        <v>402</v>
      </c>
      <c r="I2031" s="111" t="s">
        <v>402</v>
      </c>
      <c r="J2031" s="111" t="s">
        <v>402</v>
      </c>
      <c r="K2031" s="106" t="s">
        <v>403</v>
      </c>
      <c r="L2031" s="55" t="s">
        <v>404</v>
      </c>
      <c r="M2031" s="55" t="s">
        <v>7634</v>
      </c>
    </row>
    <row r="2032" spans="1:13">
      <c r="A2032" s="408" t="s">
        <v>5318</v>
      </c>
      <c r="B2032" s="106" t="s">
        <v>327</v>
      </c>
      <c r="C2032" s="106" t="s">
        <v>473</v>
      </c>
      <c r="D2032" s="107" t="s">
        <v>5319</v>
      </c>
      <c r="E2032" s="109" t="s">
        <v>355</v>
      </c>
      <c r="F2032" s="109" t="s">
        <v>355</v>
      </c>
      <c r="G2032" s="55" t="s">
        <v>355</v>
      </c>
      <c r="H2032" s="108" t="s">
        <v>402</v>
      </c>
      <c r="I2032" s="111" t="s">
        <v>402</v>
      </c>
      <c r="J2032" s="111" t="s">
        <v>402</v>
      </c>
      <c r="K2032" s="106" t="s">
        <v>403</v>
      </c>
      <c r="L2032" s="55" t="s">
        <v>404</v>
      </c>
      <c r="M2032" s="55" t="s">
        <v>7634</v>
      </c>
    </row>
    <row r="2033" spans="1:13">
      <c r="A2033" s="408" t="s">
        <v>5320</v>
      </c>
      <c r="B2033" s="106" t="s">
        <v>327</v>
      </c>
      <c r="C2033" s="106" t="s">
        <v>473</v>
      </c>
      <c r="D2033" s="107" t="s">
        <v>5321</v>
      </c>
      <c r="E2033" s="109" t="s">
        <v>355</v>
      </c>
      <c r="F2033" s="109" t="s">
        <v>355</v>
      </c>
      <c r="G2033" s="55" t="s">
        <v>355</v>
      </c>
      <c r="H2033" s="108" t="s">
        <v>402</v>
      </c>
      <c r="I2033" s="111" t="s">
        <v>402</v>
      </c>
      <c r="J2033" s="111" t="s">
        <v>402</v>
      </c>
      <c r="K2033" s="106" t="s">
        <v>403</v>
      </c>
      <c r="L2033" s="55" t="s">
        <v>404</v>
      </c>
      <c r="M2033" s="55" t="s">
        <v>7634</v>
      </c>
    </row>
    <row r="2034" spans="1:13">
      <c r="A2034" s="408" t="s">
        <v>5322</v>
      </c>
      <c r="B2034" s="106" t="s">
        <v>327</v>
      </c>
      <c r="C2034" s="106" t="s">
        <v>473</v>
      </c>
      <c r="D2034" s="107" t="s">
        <v>5323</v>
      </c>
      <c r="E2034" s="109" t="s">
        <v>355</v>
      </c>
      <c r="F2034" s="109" t="s">
        <v>355</v>
      </c>
      <c r="G2034" s="55" t="s">
        <v>355</v>
      </c>
      <c r="H2034" s="108" t="s">
        <v>402</v>
      </c>
      <c r="I2034" s="111" t="s">
        <v>402</v>
      </c>
      <c r="J2034" s="111" t="s">
        <v>402</v>
      </c>
      <c r="K2034" s="106" t="s">
        <v>403</v>
      </c>
      <c r="L2034" s="55" t="s">
        <v>404</v>
      </c>
      <c r="M2034" s="55" t="s">
        <v>7634</v>
      </c>
    </row>
    <row r="2035" spans="1:13">
      <c r="A2035" s="408" t="s">
        <v>5324</v>
      </c>
      <c r="B2035" s="106" t="s">
        <v>327</v>
      </c>
      <c r="C2035" s="106" t="s">
        <v>473</v>
      </c>
      <c r="D2035" s="107" t="s">
        <v>5325</v>
      </c>
      <c r="E2035" s="109" t="s">
        <v>355</v>
      </c>
      <c r="F2035" s="109" t="s">
        <v>355</v>
      </c>
      <c r="G2035" s="55" t="s">
        <v>355</v>
      </c>
      <c r="H2035" s="108" t="s">
        <v>402</v>
      </c>
      <c r="I2035" s="111" t="s">
        <v>402</v>
      </c>
      <c r="J2035" s="111" t="s">
        <v>402</v>
      </c>
      <c r="K2035" s="106" t="s">
        <v>403</v>
      </c>
      <c r="L2035" s="55" t="s">
        <v>404</v>
      </c>
      <c r="M2035" s="55" t="s">
        <v>7634</v>
      </c>
    </row>
    <row r="2036" spans="1:13">
      <c r="A2036" s="408" t="s">
        <v>5326</v>
      </c>
      <c r="B2036" s="106" t="s">
        <v>327</v>
      </c>
      <c r="C2036" s="106" t="s">
        <v>473</v>
      </c>
      <c r="D2036" s="107" t="s">
        <v>5327</v>
      </c>
      <c r="E2036" s="109" t="s">
        <v>355</v>
      </c>
      <c r="F2036" s="109" t="s">
        <v>355</v>
      </c>
      <c r="G2036" s="55" t="s">
        <v>355</v>
      </c>
      <c r="H2036" s="108" t="s">
        <v>402</v>
      </c>
      <c r="I2036" s="111" t="s">
        <v>402</v>
      </c>
      <c r="J2036" s="111" t="s">
        <v>402</v>
      </c>
      <c r="K2036" s="106" t="s">
        <v>403</v>
      </c>
      <c r="L2036" s="55" t="s">
        <v>404</v>
      </c>
      <c r="M2036" s="55" t="s">
        <v>7634</v>
      </c>
    </row>
    <row r="2037" spans="1:13">
      <c r="A2037" s="408" t="s">
        <v>5328</v>
      </c>
      <c r="B2037" s="106" t="s">
        <v>327</v>
      </c>
      <c r="C2037" s="106" t="s">
        <v>473</v>
      </c>
      <c r="D2037" s="107" t="s">
        <v>5329</v>
      </c>
      <c r="E2037" s="109" t="s">
        <v>355</v>
      </c>
      <c r="F2037" s="109" t="s">
        <v>355</v>
      </c>
      <c r="G2037" s="55" t="s">
        <v>355</v>
      </c>
      <c r="H2037" s="108" t="s">
        <v>402</v>
      </c>
      <c r="I2037" s="111" t="s">
        <v>402</v>
      </c>
      <c r="J2037" s="111" t="s">
        <v>402</v>
      </c>
      <c r="K2037" s="106" t="s">
        <v>403</v>
      </c>
      <c r="L2037" s="55" t="s">
        <v>404</v>
      </c>
      <c r="M2037" s="55" t="s">
        <v>7634</v>
      </c>
    </row>
    <row r="2038" spans="1:13">
      <c r="A2038" s="408" t="s">
        <v>5330</v>
      </c>
      <c r="B2038" s="106" t="s">
        <v>327</v>
      </c>
      <c r="C2038" s="106" t="s">
        <v>473</v>
      </c>
      <c r="D2038" s="107" t="s">
        <v>5329</v>
      </c>
      <c r="E2038" s="109" t="s">
        <v>355</v>
      </c>
      <c r="F2038" s="109" t="s">
        <v>355</v>
      </c>
      <c r="G2038" s="55" t="s">
        <v>355</v>
      </c>
      <c r="H2038" s="108" t="s">
        <v>402</v>
      </c>
      <c r="I2038" s="111" t="s">
        <v>402</v>
      </c>
      <c r="J2038" s="111" t="s">
        <v>402</v>
      </c>
      <c r="K2038" s="106" t="s">
        <v>403</v>
      </c>
      <c r="L2038" s="55" t="s">
        <v>404</v>
      </c>
      <c r="M2038" s="55" t="s">
        <v>7634</v>
      </c>
    </row>
    <row r="2039" spans="1:13">
      <c r="A2039" s="408" t="s">
        <v>5331</v>
      </c>
      <c r="B2039" s="106" t="s">
        <v>327</v>
      </c>
      <c r="C2039" s="106" t="s">
        <v>473</v>
      </c>
      <c r="D2039" s="107" t="s">
        <v>5329</v>
      </c>
      <c r="E2039" s="109" t="s">
        <v>355</v>
      </c>
      <c r="F2039" s="109" t="s">
        <v>355</v>
      </c>
      <c r="G2039" s="55" t="s">
        <v>355</v>
      </c>
      <c r="H2039" s="108" t="s">
        <v>402</v>
      </c>
      <c r="I2039" s="111" t="s">
        <v>402</v>
      </c>
      <c r="J2039" s="111" t="s">
        <v>402</v>
      </c>
      <c r="K2039" s="106" t="s">
        <v>403</v>
      </c>
      <c r="L2039" s="55" t="s">
        <v>404</v>
      </c>
      <c r="M2039" s="55" t="s">
        <v>7634</v>
      </c>
    </row>
    <row r="2040" spans="1:13">
      <c r="A2040" s="408" t="s">
        <v>5332</v>
      </c>
      <c r="B2040" s="106" t="s">
        <v>327</v>
      </c>
      <c r="C2040" s="106" t="s">
        <v>473</v>
      </c>
      <c r="D2040" s="107" t="s">
        <v>5333</v>
      </c>
      <c r="E2040" s="109" t="s">
        <v>355</v>
      </c>
      <c r="F2040" s="109" t="s">
        <v>355</v>
      </c>
      <c r="G2040" s="55" t="s">
        <v>355</v>
      </c>
      <c r="H2040" s="108" t="s">
        <v>402</v>
      </c>
      <c r="I2040" s="111" t="s">
        <v>402</v>
      </c>
      <c r="J2040" s="111" t="s">
        <v>402</v>
      </c>
      <c r="K2040" s="106" t="s">
        <v>403</v>
      </c>
      <c r="L2040" s="55" t="s">
        <v>404</v>
      </c>
      <c r="M2040" s="55" t="s">
        <v>7634</v>
      </c>
    </row>
    <row r="2041" spans="1:13">
      <c r="A2041" s="401" t="s">
        <v>5334</v>
      </c>
      <c r="B2041" s="106" t="s">
        <v>327</v>
      </c>
      <c r="C2041" s="106" t="s">
        <v>473</v>
      </c>
      <c r="D2041" s="109" t="s">
        <v>383</v>
      </c>
      <c r="E2041" s="109" t="s">
        <v>5335</v>
      </c>
      <c r="F2041" s="109" t="s">
        <v>5336</v>
      </c>
      <c r="G2041" s="112" t="s">
        <v>5337</v>
      </c>
      <c r="H2041" s="115" t="s">
        <v>402</v>
      </c>
      <c r="I2041" s="111" t="s">
        <v>402</v>
      </c>
      <c r="J2041" s="111" t="s">
        <v>402</v>
      </c>
      <c r="K2041" s="106" t="s">
        <v>403</v>
      </c>
      <c r="L2041" s="55" t="s">
        <v>404</v>
      </c>
      <c r="M2041" s="55" t="s">
        <v>383</v>
      </c>
    </row>
    <row r="2042" spans="1:13">
      <c r="A2042" s="408" t="s">
        <v>5338</v>
      </c>
      <c r="B2042" s="106" t="s">
        <v>327</v>
      </c>
      <c r="C2042" s="106" t="s">
        <v>473</v>
      </c>
      <c r="D2042" s="107" t="s">
        <v>5339</v>
      </c>
      <c r="E2042" s="109" t="s">
        <v>355</v>
      </c>
      <c r="F2042" s="109" t="s">
        <v>355</v>
      </c>
      <c r="G2042" s="55" t="s">
        <v>355</v>
      </c>
      <c r="H2042" s="108" t="s">
        <v>402</v>
      </c>
      <c r="I2042" s="111" t="s">
        <v>402</v>
      </c>
      <c r="J2042" s="111" t="s">
        <v>402</v>
      </c>
      <c r="K2042" s="106" t="s">
        <v>403</v>
      </c>
      <c r="L2042" s="55" t="s">
        <v>404</v>
      </c>
      <c r="M2042" s="55" t="s">
        <v>7634</v>
      </c>
    </row>
    <row r="2043" spans="1:13">
      <c r="A2043" s="408" t="s">
        <v>5340</v>
      </c>
      <c r="B2043" s="106" t="s">
        <v>327</v>
      </c>
      <c r="C2043" s="106" t="s">
        <v>473</v>
      </c>
      <c r="D2043" s="107" t="s">
        <v>1190</v>
      </c>
      <c r="E2043" s="107" t="s">
        <v>355</v>
      </c>
      <c r="F2043" s="107" t="s">
        <v>5341</v>
      </c>
      <c r="G2043" s="114" t="s">
        <v>355</v>
      </c>
      <c r="H2043" s="108" t="s">
        <v>402</v>
      </c>
      <c r="I2043" s="111" t="s">
        <v>402</v>
      </c>
      <c r="J2043" s="111" t="s">
        <v>402</v>
      </c>
      <c r="K2043" s="106" t="s">
        <v>403</v>
      </c>
      <c r="L2043" s="55" t="s">
        <v>404</v>
      </c>
      <c r="M2043" s="55" t="s">
        <v>7634</v>
      </c>
    </row>
    <row r="2044" spans="1:13">
      <c r="A2044" s="408" t="s">
        <v>5342</v>
      </c>
      <c r="B2044" s="106" t="s">
        <v>327</v>
      </c>
      <c r="C2044" s="106" t="s">
        <v>473</v>
      </c>
      <c r="D2044" s="107" t="s">
        <v>5343</v>
      </c>
      <c r="E2044" s="109" t="s">
        <v>355</v>
      </c>
      <c r="F2044" s="109" t="s">
        <v>355</v>
      </c>
      <c r="G2044" s="55" t="s">
        <v>355</v>
      </c>
      <c r="H2044" s="108" t="s">
        <v>402</v>
      </c>
      <c r="I2044" s="111" t="s">
        <v>402</v>
      </c>
      <c r="J2044" s="111" t="s">
        <v>402</v>
      </c>
      <c r="K2044" s="106" t="s">
        <v>403</v>
      </c>
      <c r="L2044" s="55" t="s">
        <v>404</v>
      </c>
      <c r="M2044" s="55" t="s">
        <v>7634</v>
      </c>
    </row>
    <row r="2045" spans="1:13">
      <c r="A2045" s="578" t="s">
        <v>5344</v>
      </c>
      <c r="B2045" s="586" t="s">
        <v>473</v>
      </c>
      <c r="C2045" s="586" t="s">
        <v>473</v>
      </c>
      <c r="D2045" s="586" t="s">
        <v>5345</v>
      </c>
      <c r="E2045" s="586" t="s">
        <v>5346</v>
      </c>
      <c r="F2045" s="586" t="s">
        <v>5347</v>
      </c>
      <c r="G2045" s="586" t="s">
        <v>377</v>
      </c>
      <c r="H2045" s="586" t="s">
        <v>359</v>
      </c>
      <c r="I2045" s="587" t="s">
        <v>359</v>
      </c>
      <c r="J2045" s="586"/>
      <c r="K2045" s="586" t="s">
        <v>360</v>
      </c>
      <c r="L2045" s="586" t="s">
        <v>361</v>
      </c>
      <c r="M2045" s="586" t="s">
        <v>5103</v>
      </c>
    </row>
    <row r="2046" spans="1:13">
      <c r="A2046" s="408" t="s">
        <v>5348</v>
      </c>
      <c r="B2046" s="106" t="s">
        <v>327</v>
      </c>
      <c r="C2046" s="106" t="s">
        <v>473</v>
      </c>
      <c r="D2046" s="107" t="s">
        <v>5349</v>
      </c>
      <c r="E2046" s="109" t="s">
        <v>355</v>
      </c>
      <c r="F2046" s="109" t="s">
        <v>355</v>
      </c>
      <c r="G2046" s="55" t="s">
        <v>355</v>
      </c>
      <c r="H2046" s="108" t="s">
        <v>402</v>
      </c>
      <c r="I2046" s="111" t="s">
        <v>402</v>
      </c>
      <c r="J2046" s="111" t="s">
        <v>402</v>
      </c>
      <c r="K2046" s="106" t="s">
        <v>403</v>
      </c>
      <c r="L2046" s="55" t="s">
        <v>404</v>
      </c>
      <c r="M2046" s="55" t="s">
        <v>7634</v>
      </c>
    </row>
    <row r="2047" spans="1:13">
      <c r="A2047" s="408" t="s">
        <v>5350</v>
      </c>
      <c r="B2047" s="106" t="s">
        <v>327</v>
      </c>
      <c r="C2047" s="106" t="s">
        <v>473</v>
      </c>
      <c r="D2047" s="107" t="s">
        <v>5351</v>
      </c>
      <c r="E2047" s="109" t="s">
        <v>355</v>
      </c>
      <c r="F2047" s="109" t="s">
        <v>355</v>
      </c>
      <c r="G2047" s="55" t="s">
        <v>355</v>
      </c>
      <c r="H2047" s="108" t="s">
        <v>402</v>
      </c>
      <c r="I2047" s="111" t="s">
        <v>402</v>
      </c>
      <c r="J2047" s="111" t="s">
        <v>402</v>
      </c>
      <c r="K2047" s="106" t="s">
        <v>403</v>
      </c>
      <c r="L2047" s="55" t="s">
        <v>404</v>
      </c>
      <c r="M2047" s="55" t="s">
        <v>7634</v>
      </c>
    </row>
    <row r="2048" spans="1:13">
      <c r="A2048" s="408" t="s">
        <v>5352</v>
      </c>
      <c r="B2048" s="106" t="s">
        <v>327</v>
      </c>
      <c r="C2048" s="106" t="s">
        <v>473</v>
      </c>
      <c r="D2048" s="107" t="s">
        <v>5353</v>
      </c>
      <c r="E2048" s="109" t="s">
        <v>355</v>
      </c>
      <c r="F2048" s="109" t="s">
        <v>355</v>
      </c>
      <c r="G2048" s="55" t="s">
        <v>355</v>
      </c>
      <c r="H2048" s="108" t="s">
        <v>402</v>
      </c>
      <c r="I2048" s="111" t="s">
        <v>402</v>
      </c>
      <c r="J2048" s="111" t="s">
        <v>402</v>
      </c>
      <c r="K2048" s="106" t="s">
        <v>403</v>
      </c>
      <c r="L2048" s="55" t="s">
        <v>404</v>
      </c>
      <c r="M2048" s="55" t="s">
        <v>7634</v>
      </c>
    </row>
    <row r="2049" spans="1:13">
      <c r="A2049" s="408" t="s">
        <v>5354</v>
      </c>
      <c r="B2049" s="106" t="s">
        <v>327</v>
      </c>
      <c r="C2049" s="106" t="s">
        <v>473</v>
      </c>
      <c r="D2049" s="107" t="s">
        <v>5355</v>
      </c>
      <c r="E2049" s="109" t="s">
        <v>355</v>
      </c>
      <c r="F2049" s="109" t="s">
        <v>355</v>
      </c>
      <c r="G2049" s="55" t="s">
        <v>355</v>
      </c>
      <c r="H2049" s="108" t="s">
        <v>402</v>
      </c>
      <c r="I2049" s="111" t="s">
        <v>402</v>
      </c>
      <c r="J2049" s="111" t="s">
        <v>402</v>
      </c>
      <c r="K2049" s="106" t="s">
        <v>403</v>
      </c>
      <c r="L2049" s="55" t="s">
        <v>404</v>
      </c>
      <c r="M2049" s="55" t="s">
        <v>7634</v>
      </c>
    </row>
    <row r="2050" spans="1:13">
      <c r="A2050" s="408" t="s">
        <v>5356</v>
      </c>
      <c r="B2050" s="106" t="s">
        <v>327</v>
      </c>
      <c r="C2050" s="106" t="s">
        <v>473</v>
      </c>
      <c r="D2050" s="107" t="s">
        <v>5351</v>
      </c>
      <c r="E2050" s="109" t="s">
        <v>355</v>
      </c>
      <c r="F2050" s="109" t="s">
        <v>355</v>
      </c>
      <c r="G2050" s="55" t="s">
        <v>355</v>
      </c>
      <c r="H2050" s="108" t="s">
        <v>402</v>
      </c>
      <c r="I2050" s="111" t="s">
        <v>402</v>
      </c>
      <c r="J2050" s="111" t="s">
        <v>402</v>
      </c>
      <c r="K2050" s="106" t="s">
        <v>403</v>
      </c>
      <c r="L2050" s="55" t="s">
        <v>404</v>
      </c>
      <c r="M2050" s="55" t="s">
        <v>7634</v>
      </c>
    </row>
    <row r="2051" spans="1:13">
      <c r="A2051" s="408" t="s">
        <v>5357</v>
      </c>
      <c r="B2051" s="106" t="s">
        <v>327</v>
      </c>
      <c r="C2051" s="106" t="s">
        <v>473</v>
      </c>
      <c r="D2051" s="107" t="s">
        <v>5358</v>
      </c>
      <c r="E2051" s="109" t="s">
        <v>355</v>
      </c>
      <c r="F2051" s="109" t="s">
        <v>355</v>
      </c>
      <c r="G2051" s="55" t="s">
        <v>355</v>
      </c>
      <c r="H2051" s="108" t="s">
        <v>402</v>
      </c>
      <c r="I2051" s="111" t="s">
        <v>402</v>
      </c>
      <c r="J2051" s="111" t="s">
        <v>402</v>
      </c>
      <c r="K2051" s="106" t="s">
        <v>403</v>
      </c>
      <c r="L2051" s="55" t="s">
        <v>404</v>
      </c>
      <c r="M2051" s="55" t="s">
        <v>7634</v>
      </c>
    </row>
    <row r="2052" spans="1:13">
      <c r="A2052" s="408" t="s">
        <v>5359</v>
      </c>
      <c r="B2052" s="106" t="s">
        <v>327</v>
      </c>
      <c r="C2052" s="106" t="s">
        <v>473</v>
      </c>
      <c r="D2052" s="107" t="s">
        <v>5358</v>
      </c>
      <c r="E2052" s="109" t="s">
        <v>355</v>
      </c>
      <c r="F2052" s="109" t="s">
        <v>355</v>
      </c>
      <c r="G2052" s="55" t="s">
        <v>355</v>
      </c>
      <c r="H2052" s="108" t="s">
        <v>402</v>
      </c>
      <c r="I2052" s="111" t="s">
        <v>402</v>
      </c>
      <c r="J2052" s="111" t="s">
        <v>402</v>
      </c>
      <c r="K2052" s="106" t="s">
        <v>403</v>
      </c>
      <c r="L2052" s="55" t="s">
        <v>404</v>
      </c>
      <c r="M2052" s="55" t="s">
        <v>7634</v>
      </c>
    </row>
    <row r="2053" spans="1:13">
      <c r="A2053" s="408" t="s">
        <v>5360</v>
      </c>
      <c r="B2053" s="106" t="s">
        <v>327</v>
      </c>
      <c r="C2053" s="106" t="s">
        <v>473</v>
      </c>
      <c r="D2053" s="107" t="s">
        <v>5361</v>
      </c>
      <c r="E2053" s="109" t="s">
        <v>355</v>
      </c>
      <c r="F2053" s="109" t="s">
        <v>355</v>
      </c>
      <c r="G2053" s="55" t="s">
        <v>355</v>
      </c>
      <c r="H2053" s="108" t="s">
        <v>402</v>
      </c>
      <c r="I2053" s="111" t="s">
        <v>402</v>
      </c>
      <c r="J2053" s="111" t="s">
        <v>402</v>
      </c>
      <c r="K2053" s="106" t="s">
        <v>403</v>
      </c>
      <c r="L2053" s="55" t="s">
        <v>404</v>
      </c>
      <c r="M2053" s="55" t="s">
        <v>7634</v>
      </c>
    </row>
    <row r="2054" spans="1:13">
      <c r="A2054" s="408" t="s">
        <v>5362</v>
      </c>
      <c r="B2054" s="106" t="s">
        <v>327</v>
      </c>
      <c r="C2054" s="106" t="s">
        <v>473</v>
      </c>
      <c r="D2054" s="107" t="s">
        <v>5363</v>
      </c>
      <c r="E2054" s="109" t="s">
        <v>355</v>
      </c>
      <c r="F2054" s="109" t="s">
        <v>355</v>
      </c>
      <c r="G2054" s="55" t="s">
        <v>355</v>
      </c>
      <c r="H2054" s="108" t="s">
        <v>402</v>
      </c>
      <c r="I2054" s="111" t="s">
        <v>402</v>
      </c>
      <c r="J2054" s="111" t="s">
        <v>402</v>
      </c>
      <c r="K2054" s="106" t="s">
        <v>403</v>
      </c>
      <c r="L2054" s="55" t="s">
        <v>404</v>
      </c>
      <c r="M2054" s="55" t="s">
        <v>7634</v>
      </c>
    </row>
    <row r="2055" spans="1:13">
      <c r="A2055" s="408" t="s">
        <v>5364</v>
      </c>
      <c r="B2055" s="106" t="s">
        <v>327</v>
      </c>
      <c r="C2055" s="106" t="s">
        <v>473</v>
      </c>
      <c r="D2055" s="107" t="s">
        <v>5365</v>
      </c>
      <c r="E2055" s="109" t="s">
        <v>355</v>
      </c>
      <c r="F2055" s="109" t="s">
        <v>355</v>
      </c>
      <c r="G2055" s="55" t="s">
        <v>355</v>
      </c>
      <c r="H2055" s="108" t="s">
        <v>402</v>
      </c>
      <c r="I2055" s="111" t="s">
        <v>402</v>
      </c>
      <c r="J2055" s="111" t="s">
        <v>402</v>
      </c>
      <c r="K2055" s="106" t="s">
        <v>403</v>
      </c>
      <c r="L2055" s="55" t="s">
        <v>404</v>
      </c>
      <c r="M2055" s="55" t="s">
        <v>7634</v>
      </c>
    </row>
    <row r="2056" spans="1:13">
      <c r="A2056" s="408" t="s">
        <v>5366</v>
      </c>
      <c r="B2056" s="106" t="s">
        <v>327</v>
      </c>
      <c r="C2056" s="106" t="s">
        <v>473</v>
      </c>
      <c r="D2056" s="107" t="s">
        <v>5367</v>
      </c>
      <c r="E2056" s="109" t="s">
        <v>355</v>
      </c>
      <c r="F2056" s="109" t="s">
        <v>355</v>
      </c>
      <c r="G2056" s="55" t="s">
        <v>355</v>
      </c>
      <c r="H2056" s="108" t="s">
        <v>402</v>
      </c>
      <c r="I2056" s="111" t="s">
        <v>402</v>
      </c>
      <c r="J2056" s="111" t="s">
        <v>402</v>
      </c>
      <c r="K2056" s="106" t="s">
        <v>403</v>
      </c>
      <c r="L2056" s="55" t="s">
        <v>404</v>
      </c>
      <c r="M2056" s="55" t="s">
        <v>7634</v>
      </c>
    </row>
    <row r="2057" spans="1:13">
      <c r="A2057" s="408" t="s">
        <v>5368</v>
      </c>
      <c r="B2057" s="106" t="s">
        <v>327</v>
      </c>
      <c r="C2057" s="106" t="s">
        <v>473</v>
      </c>
      <c r="D2057" s="107" t="s">
        <v>5369</v>
      </c>
      <c r="E2057" s="109" t="s">
        <v>355</v>
      </c>
      <c r="F2057" s="109" t="s">
        <v>355</v>
      </c>
      <c r="G2057" s="55" t="s">
        <v>355</v>
      </c>
      <c r="H2057" s="108" t="s">
        <v>402</v>
      </c>
      <c r="I2057" s="111" t="s">
        <v>402</v>
      </c>
      <c r="J2057" s="111" t="s">
        <v>402</v>
      </c>
      <c r="K2057" s="106" t="s">
        <v>403</v>
      </c>
      <c r="L2057" s="55" t="s">
        <v>404</v>
      </c>
      <c r="M2057" s="55" t="s">
        <v>7634</v>
      </c>
    </row>
    <row r="2058" spans="1:13">
      <c r="A2058" s="578" t="s">
        <v>5370</v>
      </c>
      <c r="B2058" s="586" t="s">
        <v>373</v>
      </c>
      <c r="C2058" s="586" t="s">
        <v>473</v>
      </c>
      <c r="D2058" s="586" t="s">
        <v>5371</v>
      </c>
      <c r="E2058" s="586" t="s">
        <v>5372</v>
      </c>
      <c r="F2058" s="586" t="s">
        <v>5373</v>
      </c>
      <c r="G2058" s="586" t="s">
        <v>377</v>
      </c>
      <c r="H2058" s="586" t="s">
        <v>359</v>
      </c>
      <c r="I2058" s="587" t="s">
        <v>359</v>
      </c>
      <c r="J2058" s="586"/>
      <c r="K2058" s="586" t="s">
        <v>360</v>
      </c>
      <c r="L2058" s="586" t="s">
        <v>361</v>
      </c>
      <c r="M2058" s="586" t="s">
        <v>5103</v>
      </c>
    </row>
    <row r="2059" spans="1:13">
      <c r="A2059" s="408" t="s">
        <v>5374</v>
      </c>
      <c r="B2059" s="106" t="s">
        <v>327</v>
      </c>
      <c r="C2059" s="106" t="s">
        <v>473</v>
      </c>
      <c r="D2059" s="107" t="s">
        <v>5375</v>
      </c>
      <c r="E2059" s="109" t="s">
        <v>355</v>
      </c>
      <c r="F2059" s="109" t="s">
        <v>355</v>
      </c>
      <c r="G2059" s="55" t="s">
        <v>355</v>
      </c>
      <c r="H2059" s="108" t="s">
        <v>402</v>
      </c>
      <c r="I2059" s="111" t="s">
        <v>402</v>
      </c>
      <c r="J2059" s="111" t="s">
        <v>402</v>
      </c>
      <c r="K2059" s="106" t="s">
        <v>403</v>
      </c>
      <c r="L2059" s="55" t="s">
        <v>404</v>
      </c>
      <c r="M2059" s="55" t="s">
        <v>7634</v>
      </c>
    </row>
    <row r="2060" spans="1:13">
      <c r="A2060" s="408" t="s">
        <v>5376</v>
      </c>
      <c r="B2060" s="106" t="s">
        <v>327</v>
      </c>
      <c r="C2060" s="106" t="s">
        <v>473</v>
      </c>
      <c r="D2060" s="107" t="s">
        <v>5377</v>
      </c>
      <c r="E2060" s="109" t="s">
        <v>355</v>
      </c>
      <c r="F2060" s="109" t="s">
        <v>355</v>
      </c>
      <c r="G2060" s="55" t="s">
        <v>355</v>
      </c>
      <c r="H2060" s="108" t="s">
        <v>402</v>
      </c>
      <c r="I2060" s="111" t="s">
        <v>402</v>
      </c>
      <c r="J2060" s="111" t="s">
        <v>402</v>
      </c>
      <c r="K2060" s="106" t="s">
        <v>403</v>
      </c>
      <c r="L2060" s="55" t="s">
        <v>404</v>
      </c>
      <c r="M2060" s="55" t="s">
        <v>7634</v>
      </c>
    </row>
    <row r="2061" spans="1:13">
      <c r="A2061" s="408" t="s">
        <v>5378</v>
      </c>
      <c r="B2061" s="106" t="s">
        <v>327</v>
      </c>
      <c r="C2061" s="106" t="s">
        <v>473</v>
      </c>
      <c r="D2061" s="107" t="s">
        <v>5377</v>
      </c>
      <c r="E2061" s="109" t="s">
        <v>355</v>
      </c>
      <c r="F2061" s="109" t="s">
        <v>355</v>
      </c>
      <c r="G2061" s="55" t="s">
        <v>355</v>
      </c>
      <c r="H2061" s="108" t="s">
        <v>402</v>
      </c>
      <c r="I2061" s="111" t="s">
        <v>402</v>
      </c>
      <c r="J2061" s="111" t="s">
        <v>402</v>
      </c>
      <c r="K2061" s="106" t="s">
        <v>403</v>
      </c>
      <c r="L2061" s="55" t="s">
        <v>404</v>
      </c>
      <c r="M2061" s="55" t="s">
        <v>7634</v>
      </c>
    </row>
    <row r="2062" spans="1:13">
      <c r="A2062" s="408" t="s">
        <v>5379</v>
      </c>
      <c r="B2062" s="106" t="s">
        <v>327</v>
      </c>
      <c r="C2062" s="106" t="s">
        <v>473</v>
      </c>
      <c r="D2062" s="107" t="s">
        <v>5380</v>
      </c>
      <c r="E2062" s="109" t="s">
        <v>355</v>
      </c>
      <c r="F2062" s="109" t="s">
        <v>355</v>
      </c>
      <c r="G2062" s="55" t="s">
        <v>355</v>
      </c>
      <c r="H2062" s="108" t="s">
        <v>402</v>
      </c>
      <c r="I2062" s="111" t="s">
        <v>402</v>
      </c>
      <c r="J2062" s="111" t="s">
        <v>402</v>
      </c>
      <c r="K2062" s="106" t="s">
        <v>403</v>
      </c>
      <c r="L2062" s="55" t="s">
        <v>404</v>
      </c>
      <c r="M2062" s="55" t="s">
        <v>7634</v>
      </c>
    </row>
    <row r="2063" spans="1:13">
      <c r="A2063" s="408" t="s">
        <v>5381</v>
      </c>
      <c r="B2063" s="106" t="s">
        <v>327</v>
      </c>
      <c r="C2063" s="106" t="s">
        <v>473</v>
      </c>
      <c r="D2063" s="107" t="s">
        <v>5382</v>
      </c>
      <c r="E2063" s="109" t="s">
        <v>355</v>
      </c>
      <c r="F2063" s="109" t="s">
        <v>355</v>
      </c>
      <c r="G2063" s="55" t="s">
        <v>355</v>
      </c>
      <c r="H2063" s="108" t="s">
        <v>402</v>
      </c>
      <c r="I2063" s="111" t="s">
        <v>402</v>
      </c>
      <c r="J2063" s="111" t="s">
        <v>402</v>
      </c>
      <c r="K2063" s="106" t="s">
        <v>403</v>
      </c>
      <c r="L2063" s="55" t="s">
        <v>404</v>
      </c>
      <c r="M2063" s="55" t="s">
        <v>7634</v>
      </c>
    </row>
    <row r="2064" spans="1:13">
      <c r="A2064" s="408" t="s">
        <v>5383</v>
      </c>
      <c r="B2064" s="106" t="s">
        <v>327</v>
      </c>
      <c r="C2064" s="106" t="s">
        <v>473</v>
      </c>
      <c r="D2064" s="107" t="s">
        <v>5380</v>
      </c>
      <c r="E2064" s="109" t="s">
        <v>355</v>
      </c>
      <c r="F2064" s="109" t="s">
        <v>355</v>
      </c>
      <c r="G2064" s="55" t="s">
        <v>355</v>
      </c>
      <c r="H2064" s="108" t="s">
        <v>402</v>
      </c>
      <c r="I2064" s="111" t="s">
        <v>402</v>
      </c>
      <c r="J2064" s="111" t="s">
        <v>402</v>
      </c>
      <c r="K2064" s="106" t="s">
        <v>403</v>
      </c>
      <c r="L2064" s="55" t="s">
        <v>404</v>
      </c>
      <c r="M2064" s="55" t="s">
        <v>7634</v>
      </c>
    </row>
    <row r="2065" spans="1:13">
      <c r="A2065" s="578" t="s">
        <v>5384</v>
      </c>
      <c r="B2065" s="586" t="s">
        <v>473</v>
      </c>
      <c r="C2065" s="586" t="s">
        <v>473</v>
      </c>
      <c r="D2065" s="586" t="s">
        <v>5385</v>
      </c>
      <c r="E2065" s="586" t="s">
        <v>5386</v>
      </c>
      <c r="F2065" s="586" t="s">
        <v>5387</v>
      </c>
      <c r="G2065" s="586" t="s">
        <v>5388</v>
      </c>
      <c r="H2065" s="586" t="s">
        <v>359</v>
      </c>
      <c r="I2065" s="587" t="s">
        <v>359</v>
      </c>
      <c r="J2065" s="111" t="s">
        <v>402</v>
      </c>
      <c r="K2065" s="586" t="s">
        <v>359</v>
      </c>
      <c r="L2065" s="586" t="s">
        <v>359</v>
      </c>
      <c r="M2065" s="586" t="s">
        <v>377</v>
      </c>
    </row>
    <row r="2066" spans="1:13">
      <c r="A2066" s="578" t="s">
        <v>5389</v>
      </c>
      <c r="B2066" s="586" t="s">
        <v>473</v>
      </c>
      <c r="C2066" s="586" t="s">
        <v>473</v>
      </c>
      <c r="D2066" s="586" t="s">
        <v>5385</v>
      </c>
      <c r="E2066" s="586" t="s">
        <v>5386</v>
      </c>
      <c r="F2066" s="586" t="s">
        <v>5387</v>
      </c>
      <c r="G2066" s="586" t="s">
        <v>5388</v>
      </c>
      <c r="H2066" s="586" t="s">
        <v>359</v>
      </c>
      <c r="I2066" s="587" t="s">
        <v>359</v>
      </c>
      <c r="J2066" s="111" t="s">
        <v>402</v>
      </c>
      <c r="K2066" s="586" t="s">
        <v>359</v>
      </c>
      <c r="L2066" s="586" t="s">
        <v>359</v>
      </c>
      <c r="M2066" s="55" t="s">
        <v>7634</v>
      </c>
    </row>
    <row r="2067" spans="1:13">
      <c r="A2067" s="578" t="s">
        <v>5390</v>
      </c>
      <c r="B2067" s="586" t="s">
        <v>473</v>
      </c>
      <c r="C2067" s="586" t="s">
        <v>473</v>
      </c>
      <c r="D2067" s="586" t="s">
        <v>5385</v>
      </c>
      <c r="E2067" s="586" t="s">
        <v>5386</v>
      </c>
      <c r="F2067" s="586" t="s">
        <v>5387</v>
      </c>
      <c r="G2067" s="586" t="s">
        <v>5388</v>
      </c>
      <c r="H2067" s="586" t="s">
        <v>359</v>
      </c>
      <c r="I2067" s="587" t="s">
        <v>359</v>
      </c>
      <c r="J2067" s="111" t="s">
        <v>402</v>
      </c>
      <c r="K2067" s="586" t="s">
        <v>359</v>
      </c>
      <c r="L2067" s="586" t="s">
        <v>359</v>
      </c>
      <c r="M2067" s="55" t="s">
        <v>7634</v>
      </c>
    </row>
    <row r="2068" spans="1:13">
      <c r="A2068" s="401" t="s">
        <v>5391</v>
      </c>
      <c r="B2068" s="106" t="s">
        <v>327</v>
      </c>
      <c r="C2068" s="106" t="s">
        <v>473</v>
      </c>
      <c r="D2068" s="109" t="s">
        <v>355</v>
      </c>
      <c r="E2068" s="109" t="s">
        <v>5392</v>
      </c>
      <c r="F2068" s="110" t="s">
        <v>5393</v>
      </c>
      <c r="G2068" s="113" t="s">
        <v>5394</v>
      </c>
      <c r="H2068" s="115" t="s">
        <v>402</v>
      </c>
      <c r="I2068" s="111" t="s">
        <v>402</v>
      </c>
      <c r="J2068" s="111" t="s">
        <v>402</v>
      </c>
      <c r="K2068" s="108" t="s">
        <v>402</v>
      </c>
      <c r="L2068" s="55" t="s">
        <v>402</v>
      </c>
      <c r="M2068" s="55" t="s">
        <v>383</v>
      </c>
    </row>
    <row r="2069" spans="1:13">
      <c r="A2069" s="408" t="s">
        <v>5395</v>
      </c>
      <c r="B2069" s="106" t="s">
        <v>327</v>
      </c>
      <c r="C2069" s="106" t="s">
        <v>473</v>
      </c>
      <c r="D2069" s="107" t="s">
        <v>5396</v>
      </c>
      <c r="E2069" s="109" t="s">
        <v>355</v>
      </c>
      <c r="F2069" s="109" t="s">
        <v>355</v>
      </c>
      <c r="G2069" s="55" t="s">
        <v>355</v>
      </c>
      <c r="H2069" s="108" t="s">
        <v>402</v>
      </c>
      <c r="I2069" s="111" t="s">
        <v>402</v>
      </c>
      <c r="J2069" s="111" t="s">
        <v>402</v>
      </c>
      <c r="K2069" s="106" t="s">
        <v>403</v>
      </c>
      <c r="L2069" s="55" t="s">
        <v>404</v>
      </c>
      <c r="M2069" s="55" t="s">
        <v>7634</v>
      </c>
    </row>
    <row r="2070" spans="1:13">
      <c r="A2070" s="408" t="s">
        <v>5397</v>
      </c>
      <c r="B2070" s="106" t="s">
        <v>327</v>
      </c>
      <c r="C2070" s="106" t="s">
        <v>473</v>
      </c>
      <c r="D2070" s="107" t="s">
        <v>5398</v>
      </c>
      <c r="E2070" s="109" t="s">
        <v>355</v>
      </c>
      <c r="F2070" s="109" t="s">
        <v>355</v>
      </c>
      <c r="G2070" s="55" t="s">
        <v>355</v>
      </c>
      <c r="H2070" s="108" t="s">
        <v>402</v>
      </c>
      <c r="I2070" s="111" t="s">
        <v>402</v>
      </c>
      <c r="J2070" s="111" t="s">
        <v>402</v>
      </c>
      <c r="K2070" s="106" t="s">
        <v>403</v>
      </c>
      <c r="L2070" s="55" t="s">
        <v>404</v>
      </c>
      <c r="M2070" s="55" t="s">
        <v>7634</v>
      </c>
    </row>
    <row r="2071" spans="1:13">
      <c r="A2071" s="408" t="s">
        <v>5399</v>
      </c>
      <c r="B2071" s="106" t="s">
        <v>327</v>
      </c>
      <c r="C2071" s="106" t="s">
        <v>473</v>
      </c>
      <c r="D2071" s="107" t="s">
        <v>5400</v>
      </c>
      <c r="E2071" s="109" t="s">
        <v>355</v>
      </c>
      <c r="F2071" s="109" t="s">
        <v>355</v>
      </c>
      <c r="G2071" s="55" t="s">
        <v>355</v>
      </c>
      <c r="H2071" s="108" t="s">
        <v>402</v>
      </c>
      <c r="I2071" s="111" t="s">
        <v>402</v>
      </c>
      <c r="J2071" s="111" t="s">
        <v>402</v>
      </c>
      <c r="K2071" s="106" t="s">
        <v>403</v>
      </c>
      <c r="L2071" s="55" t="s">
        <v>404</v>
      </c>
      <c r="M2071" s="55" t="s">
        <v>7634</v>
      </c>
    </row>
    <row r="2072" spans="1:13">
      <c r="A2072" s="578" t="s">
        <v>5401</v>
      </c>
      <c r="B2072" s="586" t="s">
        <v>373</v>
      </c>
      <c r="C2072" s="586" t="s">
        <v>473</v>
      </c>
      <c r="D2072" s="586" t="s">
        <v>5402</v>
      </c>
      <c r="E2072" s="586" t="s">
        <v>5403</v>
      </c>
      <c r="F2072" s="586" t="s">
        <v>5404</v>
      </c>
      <c r="G2072" s="586"/>
      <c r="H2072" s="586" t="s">
        <v>359</v>
      </c>
      <c r="I2072" s="587" t="s">
        <v>359</v>
      </c>
      <c r="J2072" s="586"/>
      <c r="K2072" s="586" t="s">
        <v>360</v>
      </c>
      <c r="L2072" s="586" t="s">
        <v>361</v>
      </c>
      <c r="M2072" s="55" t="s">
        <v>7634</v>
      </c>
    </row>
    <row r="2073" spans="1:13">
      <c r="A2073" s="408" t="s">
        <v>5405</v>
      </c>
      <c r="B2073" s="106" t="s">
        <v>327</v>
      </c>
      <c r="C2073" s="106" t="s">
        <v>473</v>
      </c>
      <c r="D2073" s="107" t="s">
        <v>5406</v>
      </c>
      <c r="E2073" s="109" t="s">
        <v>355</v>
      </c>
      <c r="F2073" s="109" t="s">
        <v>355</v>
      </c>
      <c r="G2073" s="55" t="s">
        <v>355</v>
      </c>
      <c r="H2073" s="108" t="s">
        <v>402</v>
      </c>
      <c r="I2073" s="111" t="s">
        <v>402</v>
      </c>
      <c r="J2073" s="111" t="s">
        <v>402</v>
      </c>
      <c r="K2073" s="106" t="s">
        <v>403</v>
      </c>
      <c r="L2073" s="55" t="s">
        <v>404</v>
      </c>
      <c r="M2073" s="55" t="s">
        <v>7634</v>
      </c>
    </row>
    <row r="2074" spans="1:13">
      <c r="A2074" s="401" t="s">
        <v>5407</v>
      </c>
      <c r="B2074" s="106" t="s">
        <v>327</v>
      </c>
      <c r="C2074" s="106" t="s">
        <v>473</v>
      </c>
      <c r="D2074" s="109" t="s">
        <v>5408</v>
      </c>
      <c r="E2074" s="109" t="s">
        <v>377</v>
      </c>
      <c r="F2074" s="109" t="s">
        <v>5409</v>
      </c>
      <c r="G2074" s="112" t="s">
        <v>5410</v>
      </c>
      <c r="H2074" s="115" t="s">
        <v>402</v>
      </c>
      <c r="I2074" s="111" t="s">
        <v>402</v>
      </c>
      <c r="J2074" s="111" t="s">
        <v>402</v>
      </c>
      <c r="K2074" s="115" t="s">
        <v>403</v>
      </c>
      <c r="L2074" s="55" t="s">
        <v>404</v>
      </c>
      <c r="M2074" s="113" t="s">
        <v>383</v>
      </c>
    </row>
    <row r="2075" spans="1:13">
      <c r="A2075" s="408" t="s">
        <v>5411</v>
      </c>
      <c r="B2075" s="106" t="s">
        <v>327</v>
      </c>
      <c r="C2075" s="106" t="s">
        <v>473</v>
      </c>
      <c r="D2075" s="107" t="s">
        <v>5412</v>
      </c>
      <c r="E2075" s="109" t="s">
        <v>355</v>
      </c>
      <c r="F2075" s="109" t="s">
        <v>355</v>
      </c>
      <c r="G2075" s="55" t="s">
        <v>355</v>
      </c>
      <c r="H2075" s="108" t="s">
        <v>402</v>
      </c>
      <c r="I2075" s="111" t="s">
        <v>402</v>
      </c>
      <c r="J2075" s="111" t="s">
        <v>402</v>
      </c>
      <c r="K2075" s="106" t="s">
        <v>403</v>
      </c>
      <c r="L2075" s="55" t="s">
        <v>404</v>
      </c>
      <c r="M2075" s="55" t="s">
        <v>7634</v>
      </c>
    </row>
    <row r="2076" spans="1:13">
      <c r="A2076" s="408" t="s">
        <v>5413</v>
      </c>
      <c r="B2076" s="106" t="s">
        <v>327</v>
      </c>
      <c r="C2076" s="106" t="s">
        <v>473</v>
      </c>
      <c r="D2076" s="107" t="s">
        <v>5412</v>
      </c>
      <c r="E2076" s="109" t="s">
        <v>355</v>
      </c>
      <c r="F2076" s="109" t="s">
        <v>355</v>
      </c>
      <c r="G2076" s="55" t="s">
        <v>355</v>
      </c>
      <c r="H2076" s="108" t="s">
        <v>402</v>
      </c>
      <c r="I2076" s="111" t="s">
        <v>402</v>
      </c>
      <c r="J2076" s="111" t="s">
        <v>402</v>
      </c>
      <c r="K2076" s="106" t="s">
        <v>403</v>
      </c>
      <c r="L2076" s="55" t="s">
        <v>404</v>
      </c>
      <c r="M2076" s="55" t="s">
        <v>7634</v>
      </c>
    </row>
    <row r="2077" spans="1:13">
      <c r="A2077" s="401" t="s">
        <v>8718</v>
      </c>
      <c r="B2077" s="106" t="s">
        <v>327</v>
      </c>
      <c r="C2077" s="106" t="s">
        <v>473</v>
      </c>
      <c r="D2077" s="133" t="s">
        <v>9022</v>
      </c>
      <c r="E2077" s="133" t="s">
        <v>8719</v>
      </c>
      <c r="F2077" s="133" t="s">
        <v>8720</v>
      </c>
      <c r="G2077" s="601" t="s">
        <v>8721</v>
      </c>
      <c r="H2077" s="108" t="s">
        <v>402</v>
      </c>
      <c r="I2077" s="111" t="s">
        <v>402</v>
      </c>
      <c r="J2077" s="111" t="s">
        <v>402</v>
      </c>
      <c r="K2077" s="106" t="s">
        <v>403</v>
      </c>
      <c r="L2077" s="55" t="s">
        <v>404</v>
      </c>
      <c r="M2077" s="55" t="s">
        <v>383</v>
      </c>
    </row>
    <row r="2078" spans="1:13">
      <c r="A2078" s="408" t="s">
        <v>5414</v>
      </c>
      <c r="B2078" s="106" t="s">
        <v>327</v>
      </c>
      <c r="C2078" s="106" t="s">
        <v>473</v>
      </c>
      <c r="D2078" s="107" t="s">
        <v>5415</v>
      </c>
      <c r="E2078" s="109" t="s">
        <v>355</v>
      </c>
      <c r="F2078" s="109" t="s">
        <v>355</v>
      </c>
      <c r="G2078" s="55" t="s">
        <v>355</v>
      </c>
      <c r="H2078" s="108" t="s">
        <v>402</v>
      </c>
      <c r="I2078" s="111" t="s">
        <v>402</v>
      </c>
      <c r="J2078" s="111" t="s">
        <v>402</v>
      </c>
      <c r="K2078" s="106" t="s">
        <v>403</v>
      </c>
      <c r="L2078" s="55" t="s">
        <v>404</v>
      </c>
      <c r="M2078" s="55" t="s">
        <v>7634</v>
      </c>
    </row>
    <row r="2079" spans="1:13">
      <c r="A2079" s="408" t="s">
        <v>5416</v>
      </c>
      <c r="B2079" s="106" t="s">
        <v>327</v>
      </c>
      <c r="C2079" s="106" t="s">
        <v>473</v>
      </c>
      <c r="D2079" s="107" t="s">
        <v>5415</v>
      </c>
      <c r="E2079" s="109" t="s">
        <v>355</v>
      </c>
      <c r="F2079" s="109" t="s">
        <v>355</v>
      </c>
      <c r="G2079" s="55" t="s">
        <v>355</v>
      </c>
      <c r="H2079" s="108" t="s">
        <v>402</v>
      </c>
      <c r="I2079" s="111" t="s">
        <v>402</v>
      </c>
      <c r="J2079" s="111" t="s">
        <v>402</v>
      </c>
      <c r="K2079" s="106" t="s">
        <v>403</v>
      </c>
      <c r="L2079" s="55" t="s">
        <v>404</v>
      </c>
      <c r="M2079" s="55" t="s">
        <v>7634</v>
      </c>
    </row>
    <row r="2080" spans="1:13">
      <c r="A2080" s="408" t="s">
        <v>5417</v>
      </c>
      <c r="B2080" s="106" t="s">
        <v>327</v>
      </c>
      <c r="C2080" s="106" t="s">
        <v>473</v>
      </c>
      <c r="D2080" s="107" t="s">
        <v>5415</v>
      </c>
      <c r="E2080" s="109" t="s">
        <v>355</v>
      </c>
      <c r="F2080" s="109" t="s">
        <v>355</v>
      </c>
      <c r="G2080" s="55" t="s">
        <v>355</v>
      </c>
      <c r="H2080" s="108" t="s">
        <v>402</v>
      </c>
      <c r="I2080" s="111" t="s">
        <v>402</v>
      </c>
      <c r="J2080" s="111" t="s">
        <v>402</v>
      </c>
      <c r="K2080" s="106" t="s">
        <v>403</v>
      </c>
      <c r="L2080" s="55" t="s">
        <v>404</v>
      </c>
      <c r="M2080" s="55" t="s">
        <v>7634</v>
      </c>
    </row>
    <row r="2081" spans="1:13">
      <c r="A2081" s="408" t="s">
        <v>5418</v>
      </c>
      <c r="B2081" s="106" t="s">
        <v>327</v>
      </c>
      <c r="C2081" s="106" t="s">
        <v>473</v>
      </c>
      <c r="D2081" s="107" t="s">
        <v>5419</v>
      </c>
      <c r="E2081" s="109" t="s">
        <v>355</v>
      </c>
      <c r="F2081" s="109" t="s">
        <v>355</v>
      </c>
      <c r="G2081" s="55" t="s">
        <v>355</v>
      </c>
      <c r="H2081" s="108" t="s">
        <v>402</v>
      </c>
      <c r="I2081" s="111" t="s">
        <v>402</v>
      </c>
      <c r="J2081" s="111" t="s">
        <v>402</v>
      </c>
      <c r="K2081" s="106" t="s">
        <v>403</v>
      </c>
      <c r="L2081" s="55" t="s">
        <v>404</v>
      </c>
      <c r="M2081" s="55" t="s">
        <v>7634</v>
      </c>
    </row>
    <row r="2082" spans="1:13">
      <c r="A2082" s="408" t="s">
        <v>5420</v>
      </c>
      <c r="B2082" s="106" t="s">
        <v>327</v>
      </c>
      <c r="C2082" s="106" t="s">
        <v>473</v>
      </c>
      <c r="D2082" s="107" t="s">
        <v>5421</v>
      </c>
      <c r="E2082" s="109" t="s">
        <v>355</v>
      </c>
      <c r="F2082" s="109" t="s">
        <v>355</v>
      </c>
      <c r="G2082" s="55" t="s">
        <v>355</v>
      </c>
      <c r="H2082" s="108" t="s">
        <v>402</v>
      </c>
      <c r="I2082" s="111" t="s">
        <v>402</v>
      </c>
      <c r="J2082" s="111" t="s">
        <v>402</v>
      </c>
      <c r="K2082" s="106" t="s">
        <v>403</v>
      </c>
      <c r="L2082" s="55" t="s">
        <v>404</v>
      </c>
      <c r="M2082" s="55" t="s">
        <v>7634</v>
      </c>
    </row>
    <row r="2083" spans="1:13">
      <c r="A2083" s="408" t="s">
        <v>5422</v>
      </c>
      <c r="B2083" s="106" t="s">
        <v>327</v>
      </c>
      <c r="C2083" s="106" t="s">
        <v>473</v>
      </c>
      <c r="D2083" s="107" t="s">
        <v>5421</v>
      </c>
      <c r="E2083" s="109" t="s">
        <v>355</v>
      </c>
      <c r="F2083" s="109" t="s">
        <v>355</v>
      </c>
      <c r="G2083" s="55" t="s">
        <v>355</v>
      </c>
      <c r="H2083" s="108" t="s">
        <v>402</v>
      </c>
      <c r="I2083" s="111" t="s">
        <v>402</v>
      </c>
      <c r="J2083" s="111" t="s">
        <v>402</v>
      </c>
      <c r="K2083" s="106" t="s">
        <v>403</v>
      </c>
      <c r="L2083" s="55" t="s">
        <v>404</v>
      </c>
      <c r="M2083" s="55" t="s">
        <v>7634</v>
      </c>
    </row>
    <row r="2084" spans="1:13">
      <c r="A2084" s="408" t="s">
        <v>5423</v>
      </c>
      <c r="B2084" s="106" t="s">
        <v>327</v>
      </c>
      <c r="C2084" s="106" t="s">
        <v>473</v>
      </c>
      <c r="D2084" s="107" t="s">
        <v>5421</v>
      </c>
      <c r="E2084" s="109" t="s">
        <v>355</v>
      </c>
      <c r="F2084" s="109" t="s">
        <v>355</v>
      </c>
      <c r="G2084" s="55" t="s">
        <v>355</v>
      </c>
      <c r="H2084" s="108" t="s">
        <v>402</v>
      </c>
      <c r="I2084" s="111" t="s">
        <v>402</v>
      </c>
      <c r="J2084" s="111" t="s">
        <v>402</v>
      </c>
      <c r="K2084" s="106" t="s">
        <v>403</v>
      </c>
      <c r="L2084" s="55" t="s">
        <v>404</v>
      </c>
      <c r="M2084" s="55" t="s">
        <v>7634</v>
      </c>
    </row>
    <row r="2085" spans="1:13">
      <c r="A2085" s="408" t="s">
        <v>5424</v>
      </c>
      <c r="B2085" s="106" t="s">
        <v>327</v>
      </c>
      <c r="C2085" s="106" t="s">
        <v>473</v>
      </c>
      <c r="D2085" s="107" t="s">
        <v>5421</v>
      </c>
      <c r="E2085" s="109" t="s">
        <v>5425</v>
      </c>
      <c r="F2085" s="109" t="s">
        <v>355</v>
      </c>
      <c r="G2085" s="55" t="s">
        <v>355</v>
      </c>
      <c r="H2085" s="108" t="s">
        <v>402</v>
      </c>
      <c r="I2085" s="111" t="s">
        <v>402</v>
      </c>
      <c r="J2085" s="111" t="s">
        <v>402</v>
      </c>
      <c r="K2085" s="106" t="s">
        <v>403</v>
      </c>
      <c r="L2085" s="55" t="s">
        <v>404</v>
      </c>
      <c r="M2085" s="55" t="s">
        <v>7634</v>
      </c>
    </row>
    <row r="2086" spans="1:13">
      <c r="A2086" s="408" t="s">
        <v>5426</v>
      </c>
      <c r="B2086" s="106" t="s">
        <v>327</v>
      </c>
      <c r="C2086" s="106" t="s">
        <v>473</v>
      </c>
      <c r="D2086" s="107" t="s">
        <v>5427</v>
      </c>
      <c r="E2086" s="109" t="s">
        <v>355</v>
      </c>
      <c r="F2086" s="109" t="s">
        <v>355</v>
      </c>
      <c r="G2086" s="55" t="s">
        <v>355</v>
      </c>
      <c r="H2086" s="108" t="s">
        <v>402</v>
      </c>
      <c r="I2086" s="111" t="s">
        <v>402</v>
      </c>
      <c r="J2086" s="111" t="s">
        <v>402</v>
      </c>
      <c r="K2086" s="106" t="s">
        <v>403</v>
      </c>
      <c r="L2086" s="55" t="s">
        <v>404</v>
      </c>
      <c r="M2086" s="55" t="s">
        <v>7634</v>
      </c>
    </row>
    <row r="2087" spans="1:13">
      <c r="A2087" s="408" t="s">
        <v>5428</v>
      </c>
      <c r="B2087" s="106" t="s">
        <v>327</v>
      </c>
      <c r="C2087" s="106" t="s">
        <v>473</v>
      </c>
      <c r="D2087" s="107" t="s">
        <v>5429</v>
      </c>
      <c r="E2087" s="109" t="s">
        <v>355</v>
      </c>
      <c r="F2087" s="109" t="s">
        <v>355</v>
      </c>
      <c r="G2087" s="55" t="s">
        <v>355</v>
      </c>
      <c r="H2087" s="108" t="s">
        <v>402</v>
      </c>
      <c r="I2087" s="111" t="s">
        <v>402</v>
      </c>
      <c r="J2087" s="111" t="s">
        <v>402</v>
      </c>
      <c r="K2087" s="106" t="s">
        <v>403</v>
      </c>
      <c r="L2087" s="55" t="s">
        <v>404</v>
      </c>
      <c r="M2087" s="55" t="s">
        <v>7634</v>
      </c>
    </row>
    <row r="2088" spans="1:13">
      <c r="A2088" s="408" t="s">
        <v>5430</v>
      </c>
      <c r="B2088" s="106" t="s">
        <v>327</v>
      </c>
      <c r="C2088" s="106" t="s">
        <v>473</v>
      </c>
      <c r="D2088" s="107" t="s">
        <v>5431</v>
      </c>
      <c r="E2088" s="109" t="s">
        <v>355</v>
      </c>
      <c r="F2088" s="109" t="s">
        <v>355</v>
      </c>
      <c r="G2088" s="55" t="s">
        <v>355</v>
      </c>
      <c r="H2088" s="108" t="s">
        <v>402</v>
      </c>
      <c r="I2088" s="111" t="s">
        <v>402</v>
      </c>
      <c r="J2088" s="111" t="s">
        <v>402</v>
      </c>
      <c r="K2088" s="106" t="s">
        <v>403</v>
      </c>
      <c r="L2088" s="55" t="s">
        <v>404</v>
      </c>
      <c r="M2088" s="55" t="s">
        <v>7634</v>
      </c>
    </row>
    <row r="2089" spans="1:13">
      <c r="A2089" s="408" t="s">
        <v>5432</v>
      </c>
      <c r="B2089" s="106" t="s">
        <v>327</v>
      </c>
      <c r="C2089" s="106" t="s">
        <v>473</v>
      </c>
      <c r="D2089" s="107" t="s">
        <v>5433</v>
      </c>
      <c r="E2089" s="109" t="s">
        <v>355</v>
      </c>
      <c r="F2089" s="109" t="s">
        <v>355</v>
      </c>
      <c r="G2089" s="55" t="s">
        <v>355</v>
      </c>
      <c r="H2089" s="108" t="s">
        <v>402</v>
      </c>
      <c r="I2089" s="111" t="s">
        <v>402</v>
      </c>
      <c r="J2089" s="111" t="s">
        <v>402</v>
      </c>
      <c r="K2089" s="106" t="s">
        <v>403</v>
      </c>
      <c r="L2089" s="55" t="s">
        <v>404</v>
      </c>
      <c r="M2089" s="55" t="s">
        <v>7634</v>
      </c>
    </row>
    <row r="2090" spans="1:13">
      <c r="A2090" s="408" t="s">
        <v>5434</v>
      </c>
      <c r="B2090" s="106" t="s">
        <v>327</v>
      </c>
      <c r="C2090" s="106" t="s">
        <v>473</v>
      </c>
      <c r="D2090" s="107" t="s">
        <v>5419</v>
      </c>
      <c r="E2090" s="109" t="s">
        <v>355</v>
      </c>
      <c r="F2090" s="109" t="s">
        <v>355</v>
      </c>
      <c r="G2090" s="55" t="s">
        <v>355</v>
      </c>
      <c r="H2090" s="108" t="s">
        <v>402</v>
      </c>
      <c r="I2090" s="111" t="s">
        <v>402</v>
      </c>
      <c r="J2090" s="111" t="s">
        <v>402</v>
      </c>
      <c r="K2090" s="106" t="s">
        <v>403</v>
      </c>
      <c r="L2090" s="55" t="s">
        <v>404</v>
      </c>
      <c r="M2090" s="55" t="s">
        <v>7634</v>
      </c>
    </row>
    <row r="2091" spans="1:13">
      <c r="A2091" s="408" t="s">
        <v>5435</v>
      </c>
      <c r="B2091" s="106" t="s">
        <v>327</v>
      </c>
      <c r="C2091" s="106" t="s">
        <v>473</v>
      </c>
      <c r="D2091" s="107" t="s">
        <v>5436</v>
      </c>
      <c r="E2091" s="109" t="s">
        <v>355</v>
      </c>
      <c r="F2091" s="109" t="s">
        <v>355</v>
      </c>
      <c r="G2091" s="55" t="s">
        <v>355</v>
      </c>
      <c r="H2091" s="108" t="s">
        <v>402</v>
      </c>
      <c r="I2091" s="111" t="s">
        <v>402</v>
      </c>
      <c r="J2091" s="111" t="s">
        <v>402</v>
      </c>
      <c r="K2091" s="106" t="s">
        <v>403</v>
      </c>
      <c r="L2091" s="55" t="s">
        <v>404</v>
      </c>
      <c r="M2091" s="55" t="s">
        <v>7634</v>
      </c>
    </row>
    <row r="2092" spans="1:13">
      <c r="A2092" s="408" t="s">
        <v>5437</v>
      </c>
      <c r="B2092" s="106" t="s">
        <v>327</v>
      </c>
      <c r="C2092" s="106" t="s">
        <v>473</v>
      </c>
      <c r="D2092" s="107" t="s">
        <v>5438</v>
      </c>
      <c r="E2092" s="109" t="s">
        <v>355</v>
      </c>
      <c r="F2092" s="109" t="s">
        <v>355</v>
      </c>
      <c r="G2092" s="55" t="s">
        <v>355</v>
      </c>
      <c r="H2092" s="108" t="s">
        <v>402</v>
      </c>
      <c r="I2092" s="111" t="s">
        <v>402</v>
      </c>
      <c r="J2092" s="111" t="s">
        <v>402</v>
      </c>
      <c r="K2092" s="106" t="s">
        <v>403</v>
      </c>
      <c r="L2092" s="55" t="s">
        <v>404</v>
      </c>
      <c r="M2092" s="55" t="s">
        <v>7634</v>
      </c>
    </row>
    <row r="2093" spans="1:13">
      <c r="A2093" s="408" t="s">
        <v>5439</v>
      </c>
      <c r="B2093" s="106" t="s">
        <v>327</v>
      </c>
      <c r="C2093" s="106" t="s">
        <v>473</v>
      </c>
      <c r="D2093" s="107" t="s">
        <v>5440</v>
      </c>
      <c r="E2093" s="109" t="s">
        <v>355</v>
      </c>
      <c r="F2093" s="109" t="s">
        <v>355</v>
      </c>
      <c r="G2093" s="55" t="s">
        <v>355</v>
      </c>
      <c r="H2093" s="108" t="s">
        <v>402</v>
      </c>
      <c r="I2093" s="111" t="s">
        <v>402</v>
      </c>
      <c r="J2093" s="111" t="s">
        <v>402</v>
      </c>
      <c r="K2093" s="106" t="s">
        <v>403</v>
      </c>
      <c r="L2093" s="55" t="s">
        <v>404</v>
      </c>
      <c r="M2093" s="55" t="s">
        <v>7634</v>
      </c>
    </row>
    <row r="2094" spans="1:13">
      <c r="A2094" s="408" t="s">
        <v>5441</v>
      </c>
      <c r="B2094" s="106" t="s">
        <v>327</v>
      </c>
      <c r="C2094" s="106" t="s">
        <v>473</v>
      </c>
      <c r="D2094" s="107" t="s">
        <v>5442</v>
      </c>
      <c r="E2094" s="109" t="s">
        <v>355</v>
      </c>
      <c r="F2094" s="109" t="s">
        <v>355</v>
      </c>
      <c r="G2094" s="55" t="s">
        <v>355</v>
      </c>
      <c r="H2094" s="108" t="s">
        <v>402</v>
      </c>
      <c r="I2094" s="111" t="s">
        <v>402</v>
      </c>
      <c r="J2094" s="111" t="s">
        <v>402</v>
      </c>
      <c r="K2094" s="106" t="s">
        <v>403</v>
      </c>
      <c r="L2094" s="55" t="s">
        <v>404</v>
      </c>
      <c r="M2094" s="55" t="s">
        <v>7634</v>
      </c>
    </row>
    <row r="2095" spans="1:13">
      <c r="A2095" s="408" t="s">
        <v>5443</v>
      </c>
      <c r="B2095" s="106" t="s">
        <v>327</v>
      </c>
      <c r="C2095" s="106" t="s">
        <v>473</v>
      </c>
      <c r="D2095" s="107" t="s">
        <v>5444</v>
      </c>
      <c r="E2095" s="109" t="s">
        <v>355</v>
      </c>
      <c r="F2095" s="109" t="s">
        <v>355</v>
      </c>
      <c r="G2095" s="55" t="s">
        <v>355</v>
      </c>
      <c r="H2095" s="108" t="s">
        <v>402</v>
      </c>
      <c r="I2095" s="111" t="s">
        <v>402</v>
      </c>
      <c r="J2095" s="111" t="s">
        <v>402</v>
      </c>
      <c r="K2095" s="106" t="s">
        <v>403</v>
      </c>
      <c r="L2095" s="55" t="s">
        <v>404</v>
      </c>
      <c r="M2095" s="55" t="s">
        <v>7634</v>
      </c>
    </row>
    <row r="2096" spans="1:13">
      <c r="A2096" s="408" t="s">
        <v>5445</v>
      </c>
      <c r="B2096" s="106" t="s">
        <v>327</v>
      </c>
      <c r="C2096" s="106" t="s">
        <v>473</v>
      </c>
      <c r="D2096" s="107" t="s">
        <v>5442</v>
      </c>
      <c r="E2096" s="109" t="s">
        <v>355</v>
      </c>
      <c r="F2096" s="109" t="s">
        <v>355</v>
      </c>
      <c r="G2096" s="55" t="s">
        <v>355</v>
      </c>
      <c r="H2096" s="108" t="s">
        <v>402</v>
      </c>
      <c r="I2096" s="111" t="s">
        <v>402</v>
      </c>
      <c r="J2096" s="111" t="s">
        <v>402</v>
      </c>
      <c r="K2096" s="106" t="s">
        <v>403</v>
      </c>
      <c r="L2096" s="55" t="s">
        <v>404</v>
      </c>
      <c r="M2096" s="55" t="s">
        <v>7634</v>
      </c>
    </row>
    <row r="2097" spans="1:13">
      <c r="A2097" s="408" t="s">
        <v>5446</v>
      </c>
      <c r="B2097" s="106" t="s">
        <v>327</v>
      </c>
      <c r="C2097" s="106" t="s">
        <v>473</v>
      </c>
      <c r="D2097" s="107" t="s">
        <v>5447</v>
      </c>
      <c r="E2097" s="109" t="s">
        <v>355</v>
      </c>
      <c r="F2097" s="109" t="s">
        <v>355</v>
      </c>
      <c r="G2097" s="55" t="s">
        <v>355</v>
      </c>
      <c r="H2097" s="108" t="s">
        <v>402</v>
      </c>
      <c r="I2097" s="111" t="s">
        <v>402</v>
      </c>
      <c r="J2097" s="111" t="s">
        <v>402</v>
      </c>
      <c r="K2097" s="106" t="s">
        <v>403</v>
      </c>
      <c r="L2097" s="55" t="s">
        <v>404</v>
      </c>
      <c r="M2097" s="55" t="s">
        <v>7634</v>
      </c>
    </row>
    <row r="2098" spans="1:13">
      <c r="A2098" s="408" t="s">
        <v>5448</v>
      </c>
      <c r="B2098" s="106" t="s">
        <v>327</v>
      </c>
      <c r="C2098" s="106" t="s">
        <v>473</v>
      </c>
      <c r="D2098" s="107" t="s">
        <v>5449</v>
      </c>
      <c r="E2098" s="109" t="s">
        <v>355</v>
      </c>
      <c r="F2098" s="109" t="s">
        <v>355</v>
      </c>
      <c r="G2098" s="55" t="s">
        <v>355</v>
      </c>
      <c r="H2098" s="108" t="s">
        <v>402</v>
      </c>
      <c r="I2098" s="111" t="s">
        <v>402</v>
      </c>
      <c r="J2098" s="111" t="s">
        <v>402</v>
      </c>
      <c r="K2098" s="106" t="s">
        <v>403</v>
      </c>
      <c r="L2098" s="55" t="s">
        <v>404</v>
      </c>
      <c r="M2098" s="55" t="s">
        <v>7634</v>
      </c>
    </row>
    <row r="2099" spans="1:13">
      <c r="A2099" s="408" t="s">
        <v>5450</v>
      </c>
      <c r="B2099" s="106" t="s">
        <v>327</v>
      </c>
      <c r="C2099" s="106" t="s">
        <v>473</v>
      </c>
      <c r="D2099" s="107" t="s">
        <v>5451</v>
      </c>
      <c r="E2099" s="109" t="s">
        <v>355</v>
      </c>
      <c r="F2099" s="109" t="s">
        <v>355</v>
      </c>
      <c r="G2099" s="55" t="s">
        <v>355</v>
      </c>
      <c r="H2099" s="108" t="s">
        <v>402</v>
      </c>
      <c r="I2099" s="111" t="s">
        <v>402</v>
      </c>
      <c r="J2099" s="111" t="s">
        <v>402</v>
      </c>
      <c r="K2099" s="106" t="s">
        <v>403</v>
      </c>
      <c r="L2099" s="55" t="s">
        <v>404</v>
      </c>
      <c r="M2099" s="55" t="s">
        <v>7634</v>
      </c>
    </row>
    <row r="2100" spans="1:13">
      <c r="A2100" s="408" t="s">
        <v>5452</v>
      </c>
      <c r="B2100" s="106" t="s">
        <v>327</v>
      </c>
      <c r="C2100" s="106" t="s">
        <v>473</v>
      </c>
      <c r="D2100" s="107" t="s">
        <v>5453</v>
      </c>
      <c r="E2100" s="109" t="s">
        <v>355</v>
      </c>
      <c r="F2100" s="109" t="s">
        <v>355</v>
      </c>
      <c r="G2100" s="55" t="s">
        <v>355</v>
      </c>
      <c r="H2100" s="108" t="s">
        <v>402</v>
      </c>
      <c r="I2100" s="111" t="s">
        <v>402</v>
      </c>
      <c r="J2100" s="111" t="s">
        <v>402</v>
      </c>
      <c r="K2100" s="106" t="s">
        <v>403</v>
      </c>
      <c r="L2100" s="55" t="s">
        <v>404</v>
      </c>
      <c r="M2100" s="55" t="s">
        <v>7634</v>
      </c>
    </row>
    <row r="2101" spans="1:13">
      <c r="A2101" s="408" t="s">
        <v>5454</v>
      </c>
      <c r="B2101" s="106" t="s">
        <v>327</v>
      </c>
      <c r="C2101" s="106" t="s">
        <v>473</v>
      </c>
      <c r="D2101" s="107" t="s">
        <v>5455</v>
      </c>
      <c r="E2101" s="109" t="s">
        <v>355</v>
      </c>
      <c r="F2101" s="109" t="s">
        <v>355</v>
      </c>
      <c r="G2101" s="55" t="s">
        <v>355</v>
      </c>
      <c r="H2101" s="108" t="s">
        <v>402</v>
      </c>
      <c r="I2101" s="111" t="s">
        <v>402</v>
      </c>
      <c r="J2101" s="111" t="s">
        <v>402</v>
      </c>
      <c r="K2101" s="106" t="s">
        <v>403</v>
      </c>
      <c r="L2101" s="55" t="s">
        <v>404</v>
      </c>
      <c r="M2101" s="55" t="s">
        <v>7634</v>
      </c>
    </row>
    <row r="2102" spans="1:13">
      <c r="A2102" s="408" t="s">
        <v>5456</v>
      </c>
      <c r="B2102" s="106" t="s">
        <v>327</v>
      </c>
      <c r="C2102" s="106" t="s">
        <v>473</v>
      </c>
      <c r="D2102" s="107" t="s">
        <v>5457</v>
      </c>
      <c r="E2102" s="109" t="s">
        <v>355</v>
      </c>
      <c r="F2102" s="109" t="s">
        <v>355</v>
      </c>
      <c r="G2102" s="55" t="s">
        <v>355</v>
      </c>
      <c r="H2102" s="108" t="s">
        <v>402</v>
      </c>
      <c r="I2102" s="111" t="s">
        <v>402</v>
      </c>
      <c r="J2102" s="111" t="s">
        <v>402</v>
      </c>
      <c r="K2102" s="106" t="s">
        <v>403</v>
      </c>
      <c r="L2102" s="55" t="s">
        <v>404</v>
      </c>
      <c r="M2102" s="55" t="s">
        <v>7634</v>
      </c>
    </row>
    <row r="2103" spans="1:13">
      <c r="A2103" s="408" t="s">
        <v>5458</v>
      </c>
      <c r="B2103" s="106" t="s">
        <v>327</v>
      </c>
      <c r="C2103" s="106" t="s">
        <v>473</v>
      </c>
      <c r="D2103" s="107" t="s">
        <v>5459</v>
      </c>
      <c r="E2103" s="109" t="s">
        <v>355</v>
      </c>
      <c r="F2103" s="109" t="s">
        <v>355</v>
      </c>
      <c r="G2103" s="55" t="s">
        <v>355</v>
      </c>
      <c r="H2103" s="108" t="s">
        <v>402</v>
      </c>
      <c r="I2103" s="111" t="s">
        <v>402</v>
      </c>
      <c r="J2103" s="111" t="s">
        <v>402</v>
      </c>
      <c r="K2103" s="106" t="s">
        <v>403</v>
      </c>
      <c r="L2103" s="55" t="s">
        <v>404</v>
      </c>
      <c r="M2103" s="55" t="s">
        <v>7634</v>
      </c>
    </row>
    <row r="2104" spans="1:13">
      <c r="A2104" s="510" t="s">
        <v>239</v>
      </c>
      <c r="B2104" s="106" t="s">
        <v>327</v>
      </c>
      <c r="C2104" s="106" t="s">
        <v>473</v>
      </c>
      <c r="D2104" s="109" t="s">
        <v>5460</v>
      </c>
      <c r="E2104" s="109" t="s">
        <v>5461</v>
      </c>
      <c r="F2104" s="109" t="s">
        <v>5462</v>
      </c>
      <c r="G2104" s="112" t="s">
        <v>5463</v>
      </c>
      <c r="H2104" s="115" t="s">
        <v>402</v>
      </c>
      <c r="I2104" s="111" t="s">
        <v>402</v>
      </c>
      <c r="J2104" s="111" t="s">
        <v>402</v>
      </c>
      <c r="K2104" s="106" t="s">
        <v>592</v>
      </c>
      <c r="L2104" s="55" t="s">
        <v>404</v>
      </c>
      <c r="M2104" s="55" t="s">
        <v>5464</v>
      </c>
    </row>
    <row r="2105" spans="1:13">
      <c r="A2105" s="408" t="s">
        <v>5465</v>
      </c>
      <c r="B2105" s="106" t="s">
        <v>327</v>
      </c>
      <c r="C2105" s="106" t="s">
        <v>473</v>
      </c>
      <c r="D2105" s="107" t="s">
        <v>5466</v>
      </c>
      <c r="E2105" s="109" t="s">
        <v>355</v>
      </c>
      <c r="F2105" s="109" t="s">
        <v>355</v>
      </c>
      <c r="G2105" s="55" t="s">
        <v>355</v>
      </c>
      <c r="H2105" s="108" t="s">
        <v>402</v>
      </c>
      <c r="I2105" s="111" t="s">
        <v>402</v>
      </c>
      <c r="J2105" s="111" t="s">
        <v>402</v>
      </c>
      <c r="K2105" s="106" t="s">
        <v>403</v>
      </c>
      <c r="L2105" s="55" t="s">
        <v>404</v>
      </c>
      <c r="M2105" s="55" t="s">
        <v>7634</v>
      </c>
    </row>
    <row r="2106" spans="1:13">
      <c r="A2106" s="408" t="s">
        <v>5467</v>
      </c>
      <c r="B2106" s="106" t="s">
        <v>327</v>
      </c>
      <c r="C2106" s="106" t="s">
        <v>473</v>
      </c>
      <c r="D2106" s="107" t="s">
        <v>5468</v>
      </c>
      <c r="E2106" s="109" t="s">
        <v>355</v>
      </c>
      <c r="F2106" s="109" t="s">
        <v>355</v>
      </c>
      <c r="G2106" s="55" t="s">
        <v>355</v>
      </c>
      <c r="H2106" s="108" t="s">
        <v>402</v>
      </c>
      <c r="I2106" s="111" t="s">
        <v>402</v>
      </c>
      <c r="J2106" s="111" t="s">
        <v>402</v>
      </c>
      <c r="K2106" s="106" t="s">
        <v>403</v>
      </c>
      <c r="L2106" s="55" t="s">
        <v>404</v>
      </c>
      <c r="M2106" s="55" t="s">
        <v>7634</v>
      </c>
    </row>
    <row r="2107" spans="1:13">
      <c r="A2107" s="408" t="s">
        <v>5469</v>
      </c>
      <c r="B2107" s="106" t="s">
        <v>327</v>
      </c>
      <c r="C2107" s="106" t="s">
        <v>473</v>
      </c>
      <c r="D2107" s="107" t="s">
        <v>5470</v>
      </c>
      <c r="E2107" s="109" t="s">
        <v>355</v>
      </c>
      <c r="F2107" s="109" t="s">
        <v>355</v>
      </c>
      <c r="G2107" s="55" t="s">
        <v>355</v>
      </c>
      <c r="H2107" s="108" t="s">
        <v>402</v>
      </c>
      <c r="I2107" s="111" t="s">
        <v>402</v>
      </c>
      <c r="J2107" s="111" t="s">
        <v>402</v>
      </c>
      <c r="K2107" s="106" t="s">
        <v>403</v>
      </c>
      <c r="L2107" s="55" t="s">
        <v>404</v>
      </c>
      <c r="M2107" s="55" t="s">
        <v>7634</v>
      </c>
    </row>
    <row r="2108" spans="1:13">
      <c r="A2108" s="408" t="s">
        <v>5471</v>
      </c>
      <c r="B2108" s="106" t="s">
        <v>327</v>
      </c>
      <c r="C2108" s="106" t="s">
        <v>473</v>
      </c>
      <c r="D2108" s="107" t="s">
        <v>5472</v>
      </c>
      <c r="E2108" s="109" t="s">
        <v>355</v>
      </c>
      <c r="F2108" s="109" t="s">
        <v>355</v>
      </c>
      <c r="G2108" s="55" t="s">
        <v>355</v>
      </c>
      <c r="H2108" s="108" t="s">
        <v>402</v>
      </c>
      <c r="I2108" s="111" t="s">
        <v>402</v>
      </c>
      <c r="J2108" s="111" t="s">
        <v>402</v>
      </c>
      <c r="K2108" s="106" t="s">
        <v>403</v>
      </c>
      <c r="L2108" s="55" t="s">
        <v>404</v>
      </c>
      <c r="M2108" s="55" t="s">
        <v>7634</v>
      </c>
    </row>
    <row r="2109" spans="1:13">
      <c r="A2109" s="408" t="s">
        <v>5473</v>
      </c>
      <c r="B2109" s="106" t="s">
        <v>327</v>
      </c>
      <c r="C2109" s="106" t="s">
        <v>473</v>
      </c>
      <c r="D2109" s="107" t="s">
        <v>5474</v>
      </c>
      <c r="E2109" s="109" t="s">
        <v>355</v>
      </c>
      <c r="F2109" s="109" t="s">
        <v>355</v>
      </c>
      <c r="G2109" s="55" t="s">
        <v>355</v>
      </c>
      <c r="H2109" s="108" t="s">
        <v>402</v>
      </c>
      <c r="I2109" s="111" t="s">
        <v>402</v>
      </c>
      <c r="J2109" s="111" t="s">
        <v>402</v>
      </c>
      <c r="K2109" s="106" t="s">
        <v>403</v>
      </c>
      <c r="L2109" s="55" t="s">
        <v>404</v>
      </c>
      <c r="M2109" s="55" t="s">
        <v>7634</v>
      </c>
    </row>
    <row r="2110" spans="1:13">
      <c r="A2110" s="408" t="s">
        <v>5475</v>
      </c>
      <c r="B2110" s="106" t="s">
        <v>327</v>
      </c>
      <c r="C2110" s="106" t="s">
        <v>473</v>
      </c>
      <c r="D2110" s="107" t="s">
        <v>5476</v>
      </c>
      <c r="E2110" s="109" t="s">
        <v>355</v>
      </c>
      <c r="F2110" s="109" t="s">
        <v>355</v>
      </c>
      <c r="G2110" s="55" t="s">
        <v>355</v>
      </c>
      <c r="H2110" s="108" t="s">
        <v>402</v>
      </c>
      <c r="I2110" s="111" t="s">
        <v>402</v>
      </c>
      <c r="J2110" s="111" t="s">
        <v>402</v>
      </c>
      <c r="K2110" s="106" t="s">
        <v>403</v>
      </c>
      <c r="L2110" s="55" t="s">
        <v>404</v>
      </c>
      <c r="M2110" s="55" t="s">
        <v>7634</v>
      </c>
    </row>
    <row r="2111" spans="1:13">
      <c r="A2111" s="408" t="s">
        <v>5477</v>
      </c>
      <c r="B2111" s="106" t="s">
        <v>327</v>
      </c>
      <c r="C2111" s="106" t="s">
        <v>473</v>
      </c>
      <c r="D2111" s="107" t="s">
        <v>5478</v>
      </c>
      <c r="E2111" s="109" t="s">
        <v>355</v>
      </c>
      <c r="F2111" s="109" t="s">
        <v>355</v>
      </c>
      <c r="G2111" s="55" t="s">
        <v>355</v>
      </c>
      <c r="H2111" s="108" t="s">
        <v>402</v>
      </c>
      <c r="I2111" s="111" t="s">
        <v>402</v>
      </c>
      <c r="J2111" s="111" t="s">
        <v>402</v>
      </c>
      <c r="K2111" s="106" t="s">
        <v>403</v>
      </c>
      <c r="L2111" s="55" t="s">
        <v>404</v>
      </c>
      <c r="M2111" s="55" t="s">
        <v>7634</v>
      </c>
    </row>
    <row r="2112" spans="1:13">
      <c r="A2112" s="401" t="s">
        <v>5479</v>
      </c>
      <c r="B2112" s="106" t="s">
        <v>327</v>
      </c>
      <c r="C2112" s="106" t="s">
        <v>473</v>
      </c>
      <c r="D2112" s="109" t="s">
        <v>5480</v>
      </c>
      <c r="E2112" s="109" t="s">
        <v>5480</v>
      </c>
      <c r="F2112" s="109" t="s">
        <v>5480</v>
      </c>
      <c r="G2112" s="109" t="s">
        <v>5480</v>
      </c>
      <c r="H2112" s="115" t="s">
        <v>402</v>
      </c>
      <c r="I2112" s="111" t="s">
        <v>402</v>
      </c>
      <c r="J2112" s="111" t="s">
        <v>402</v>
      </c>
      <c r="K2112" s="106" t="s">
        <v>403</v>
      </c>
      <c r="L2112" s="55" t="s">
        <v>404</v>
      </c>
      <c r="M2112" s="113" t="s">
        <v>383</v>
      </c>
    </row>
    <row r="2113" spans="1:13">
      <c r="A2113" s="408" t="s">
        <v>5481</v>
      </c>
      <c r="B2113" s="106" t="s">
        <v>327</v>
      </c>
      <c r="C2113" s="106" t="s">
        <v>473</v>
      </c>
      <c r="D2113" s="107" t="s">
        <v>5482</v>
      </c>
      <c r="E2113" s="109" t="s">
        <v>355</v>
      </c>
      <c r="F2113" s="109" t="s">
        <v>355</v>
      </c>
      <c r="G2113" s="55" t="s">
        <v>355</v>
      </c>
      <c r="H2113" s="108" t="s">
        <v>402</v>
      </c>
      <c r="I2113" s="111" t="s">
        <v>402</v>
      </c>
      <c r="J2113" s="111" t="s">
        <v>402</v>
      </c>
      <c r="K2113" s="106" t="s">
        <v>403</v>
      </c>
      <c r="L2113" s="55" t="s">
        <v>404</v>
      </c>
      <c r="M2113" s="55" t="s">
        <v>7634</v>
      </c>
    </row>
    <row r="2114" spans="1:13">
      <c r="A2114" s="408" t="s">
        <v>5483</v>
      </c>
      <c r="B2114" s="106" t="s">
        <v>327</v>
      </c>
      <c r="C2114" s="106" t="s">
        <v>473</v>
      </c>
      <c r="D2114" s="107" t="s">
        <v>5484</v>
      </c>
      <c r="E2114" s="109" t="s">
        <v>355</v>
      </c>
      <c r="F2114" s="109" t="s">
        <v>355</v>
      </c>
      <c r="G2114" s="55" t="s">
        <v>355</v>
      </c>
      <c r="H2114" s="108" t="s">
        <v>402</v>
      </c>
      <c r="I2114" s="111" t="s">
        <v>402</v>
      </c>
      <c r="J2114" s="111" t="s">
        <v>402</v>
      </c>
      <c r="K2114" s="106" t="s">
        <v>403</v>
      </c>
      <c r="L2114" s="55" t="s">
        <v>404</v>
      </c>
      <c r="M2114" s="55" t="s">
        <v>7634</v>
      </c>
    </row>
    <row r="2115" spans="1:13">
      <c r="A2115" s="401" t="s">
        <v>6978</v>
      </c>
      <c r="B2115" s="106" t="s">
        <v>327</v>
      </c>
      <c r="C2115" s="106" t="s">
        <v>473</v>
      </c>
      <c r="D2115" s="107" t="s">
        <v>355</v>
      </c>
      <c r="E2115" s="107" t="s">
        <v>6979</v>
      </c>
      <c r="F2115" s="107" t="s">
        <v>6980</v>
      </c>
      <c r="G2115" s="589" t="s">
        <v>6981</v>
      </c>
      <c r="H2115" s="108" t="s">
        <v>402</v>
      </c>
      <c r="I2115" s="111" t="s">
        <v>402</v>
      </c>
      <c r="J2115" s="111" t="s">
        <v>402</v>
      </c>
      <c r="K2115" s="106" t="s">
        <v>403</v>
      </c>
      <c r="L2115" s="55" t="s">
        <v>404</v>
      </c>
      <c r="M2115" s="55" t="s">
        <v>7634</v>
      </c>
    </row>
    <row r="2116" spans="1:13">
      <c r="A2116" s="408" t="s">
        <v>5485</v>
      </c>
      <c r="B2116" s="106" t="s">
        <v>327</v>
      </c>
      <c r="C2116" s="106" t="s">
        <v>473</v>
      </c>
      <c r="D2116" s="107" t="s">
        <v>5486</v>
      </c>
      <c r="E2116" s="109" t="s">
        <v>355</v>
      </c>
      <c r="F2116" s="109" t="s">
        <v>355</v>
      </c>
      <c r="G2116" s="55" t="s">
        <v>355</v>
      </c>
      <c r="H2116" s="108" t="s">
        <v>402</v>
      </c>
      <c r="I2116" s="111" t="s">
        <v>402</v>
      </c>
      <c r="J2116" s="111" t="s">
        <v>402</v>
      </c>
      <c r="K2116" s="106" t="s">
        <v>403</v>
      </c>
      <c r="L2116" s="55" t="s">
        <v>404</v>
      </c>
      <c r="M2116" s="55" t="s">
        <v>7634</v>
      </c>
    </row>
    <row r="2117" spans="1:13">
      <c r="A2117" s="408" t="s">
        <v>5487</v>
      </c>
      <c r="B2117" s="106" t="s">
        <v>327</v>
      </c>
      <c r="C2117" s="106" t="s">
        <v>473</v>
      </c>
      <c r="D2117" s="107" t="s">
        <v>5488</v>
      </c>
      <c r="E2117" s="109" t="s">
        <v>355</v>
      </c>
      <c r="F2117" s="109" t="s">
        <v>355</v>
      </c>
      <c r="G2117" s="55" t="s">
        <v>355</v>
      </c>
      <c r="H2117" s="108" t="s">
        <v>402</v>
      </c>
      <c r="I2117" s="111" t="s">
        <v>402</v>
      </c>
      <c r="J2117" s="111" t="s">
        <v>402</v>
      </c>
      <c r="K2117" s="106" t="s">
        <v>403</v>
      </c>
      <c r="L2117" s="55" t="s">
        <v>404</v>
      </c>
      <c r="M2117" s="55" t="s">
        <v>7634</v>
      </c>
    </row>
    <row r="2118" spans="1:13">
      <c r="A2118" s="408" t="s">
        <v>5489</v>
      </c>
      <c r="B2118" s="106" t="s">
        <v>327</v>
      </c>
      <c r="C2118" s="106" t="s">
        <v>473</v>
      </c>
      <c r="D2118" s="107" t="s">
        <v>5488</v>
      </c>
      <c r="E2118" s="109" t="s">
        <v>355</v>
      </c>
      <c r="F2118" s="109" t="s">
        <v>355</v>
      </c>
      <c r="G2118" s="55" t="s">
        <v>355</v>
      </c>
      <c r="H2118" s="108" t="s">
        <v>402</v>
      </c>
      <c r="I2118" s="111" t="s">
        <v>402</v>
      </c>
      <c r="J2118" s="111" t="s">
        <v>402</v>
      </c>
      <c r="K2118" s="106" t="s">
        <v>403</v>
      </c>
      <c r="L2118" s="55" t="s">
        <v>404</v>
      </c>
      <c r="M2118" s="55" t="s">
        <v>7634</v>
      </c>
    </row>
    <row r="2119" spans="1:13">
      <c r="A2119" s="408" t="s">
        <v>5490</v>
      </c>
      <c r="B2119" s="106" t="s">
        <v>327</v>
      </c>
      <c r="C2119" s="106" t="s">
        <v>473</v>
      </c>
      <c r="D2119" s="107" t="s">
        <v>5491</v>
      </c>
      <c r="E2119" s="109" t="s">
        <v>355</v>
      </c>
      <c r="F2119" s="109" t="s">
        <v>355</v>
      </c>
      <c r="G2119" s="55" t="s">
        <v>355</v>
      </c>
      <c r="H2119" s="108" t="s">
        <v>402</v>
      </c>
      <c r="I2119" s="111" t="s">
        <v>402</v>
      </c>
      <c r="J2119" s="111" t="s">
        <v>402</v>
      </c>
      <c r="K2119" s="106" t="s">
        <v>403</v>
      </c>
      <c r="L2119" s="55" t="s">
        <v>404</v>
      </c>
      <c r="M2119" s="55" t="s">
        <v>7634</v>
      </c>
    </row>
    <row r="2120" spans="1:13">
      <c r="A2120" s="408" t="s">
        <v>5492</v>
      </c>
      <c r="B2120" s="106" t="s">
        <v>327</v>
      </c>
      <c r="C2120" s="106" t="s">
        <v>473</v>
      </c>
      <c r="D2120" s="107" t="s">
        <v>5493</v>
      </c>
      <c r="E2120" s="109" t="s">
        <v>355</v>
      </c>
      <c r="F2120" s="109" t="s">
        <v>355</v>
      </c>
      <c r="G2120" s="55" t="s">
        <v>355</v>
      </c>
      <c r="H2120" s="108" t="s">
        <v>402</v>
      </c>
      <c r="I2120" s="111" t="s">
        <v>402</v>
      </c>
      <c r="J2120" s="111" t="s">
        <v>402</v>
      </c>
      <c r="K2120" s="106" t="s">
        <v>403</v>
      </c>
      <c r="L2120" s="55" t="s">
        <v>404</v>
      </c>
      <c r="M2120" s="55" t="s">
        <v>7634</v>
      </c>
    </row>
    <row r="2121" spans="1:13">
      <c r="A2121" s="408" t="s">
        <v>5494</v>
      </c>
      <c r="B2121" s="106" t="s">
        <v>327</v>
      </c>
      <c r="C2121" s="106" t="s">
        <v>473</v>
      </c>
      <c r="D2121" s="107" t="s">
        <v>5495</v>
      </c>
      <c r="E2121" s="109" t="s">
        <v>355</v>
      </c>
      <c r="F2121" s="109" t="s">
        <v>355</v>
      </c>
      <c r="G2121" s="55" t="s">
        <v>355</v>
      </c>
      <c r="H2121" s="108" t="s">
        <v>402</v>
      </c>
      <c r="I2121" s="111" t="s">
        <v>402</v>
      </c>
      <c r="J2121" s="111" t="s">
        <v>402</v>
      </c>
      <c r="K2121" s="106" t="s">
        <v>403</v>
      </c>
      <c r="L2121" s="55" t="s">
        <v>404</v>
      </c>
      <c r="M2121" s="55" t="s">
        <v>7634</v>
      </c>
    </row>
    <row r="2122" spans="1:13">
      <c r="A2122" s="408" t="s">
        <v>5496</v>
      </c>
      <c r="B2122" s="106" t="s">
        <v>327</v>
      </c>
      <c r="C2122" s="106" t="s">
        <v>473</v>
      </c>
      <c r="D2122" s="107" t="s">
        <v>5497</v>
      </c>
      <c r="E2122" s="109" t="s">
        <v>355</v>
      </c>
      <c r="F2122" s="109" t="s">
        <v>355</v>
      </c>
      <c r="G2122" s="55" t="s">
        <v>355</v>
      </c>
      <c r="H2122" s="108" t="s">
        <v>402</v>
      </c>
      <c r="I2122" s="111" t="s">
        <v>402</v>
      </c>
      <c r="J2122" s="111" t="s">
        <v>402</v>
      </c>
      <c r="K2122" s="106" t="s">
        <v>403</v>
      </c>
      <c r="L2122" s="55" t="s">
        <v>404</v>
      </c>
      <c r="M2122" s="55" t="s">
        <v>7634</v>
      </c>
    </row>
    <row r="2123" spans="1:13">
      <c r="A2123" s="408" t="s">
        <v>5498</v>
      </c>
      <c r="B2123" s="106" t="s">
        <v>327</v>
      </c>
      <c r="C2123" s="106" t="s">
        <v>473</v>
      </c>
      <c r="D2123" s="107" t="s">
        <v>5499</v>
      </c>
      <c r="E2123" s="109" t="s">
        <v>355</v>
      </c>
      <c r="F2123" s="109" t="s">
        <v>355</v>
      </c>
      <c r="G2123" s="55" t="s">
        <v>355</v>
      </c>
      <c r="H2123" s="108" t="s">
        <v>402</v>
      </c>
      <c r="I2123" s="111" t="s">
        <v>402</v>
      </c>
      <c r="J2123" s="111" t="s">
        <v>402</v>
      </c>
      <c r="K2123" s="106" t="s">
        <v>403</v>
      </c>
      <c r="L2123" s="55" t="s">
        <v>404</v>
      </c>
      <c r="M2123" s="55" t="s">
        <v>7634</v>
      </c>
    </row>
    <row r="2124" spans="1:13">
      <c r="A2124" s="408" t="s">
        <v>5500</v>
      </c>
      <c r="B2124" s="106" t="s">
        <v>327</v>
      </c>
      <c r="C2124" s="106" t="s">
        <v>473</v>
      </c>
      <c r="D2124" s="107" t="s">
        <v>5501</v>
      </c>
      <c r="E2124" s="109" t="s">
        <v>355</v>
      </c>
      <c r="F2124" s="109" t="s">
        <v>355</v>
      </c>
      <c r="G2124" s="55" t="s">
        <v>355</v>
      </c>
      <c r="H2124" s="108" t="s">
        <v>402</v>
      </c>
      <c r="I2124" s="111" t="s">
        <v>402</v>
      </c>
      <c r="J2124" s="111" t="s">
        <v>402</v>
      </c>
      <c r="K2124" s="106" t="s">
        <v>403</v>
      </c>
      <c r="L2124" s="55" t="s">
        <v>404</v>
      </c>
      <c r="M2124" s="55" t="s">
        <v>7634</v>
      </c>
    </row>
    <row r="2125" spans="1:13">
      <c r="A2125" s="408" t="s">
        <v>5502</v>
      </c>
      <c r="B2125" s="106" t="s">
        <v>327</v>
      </c>
      <c r="C2125" s="106" t="s">
        <v>473</v>
      </c>
      <c r="D2125" s="107" t="s">
        <v>5503</v>
      </c>
      <c r="E2125" s="109" t="s">
        <v>355</v>
      </c>
      <c r="F2125" s="109" t="s">
        <v>355</v>
      </c>
      <c r="G2125" s="55" t="s">
        <v>355</v>
      </c>
      <c r="H2125" s="108" t="s">
        <v>402</v>
      </c>
      <c r="I2125" s="111" t="s">
        <v>402</v>
      </c>
      <c r="J2125" s="111" t="s">
        <v>402</v>
      </c>
      <c r="K2125" s="106" t="s">
        <v>403</v>
      </c>
      <c r="L2125" s="55" t="s">
        <v>404</v>
      </c>
      <c r="M2125" s="55" t="s">
        <v>7634</v>
      </c>
    </row>
    <row r="2126" spans="1:13">
      <c r="A2126" s="408" t="s">
        <v>5504</v>
      </c>
      <c r="B2126" s="106" t="s">
        <v>327</v>
      </c>
      <c r="C2126" s="106" t="s">
        <v>473</v>
      </c>
      <c r="D2126" s="107" t="s">
        <v>5503</v>
      </c>
      <c r="E2126" s="109" t="s">
        <v>355</v>
      </c>
      <c r="F2126" s="109" t="s">
        <v>355</v>
      </c>
      <c r="G2126" s="55" t="s">
        <v>355</v>
      </c>
      <c r="H2126" s="108" t="s">
        <v>402</v>
      </c>
      <c r="I2126" s="111" t="s">
        <v>402</v>
      </c>
      <c r="J2126" s="111" t="s">
        <v>402</v>
      </c>
      <c r="K2126" s="106" t="s">
        <v>403</v>
      </c>
      <c r="L2126" s="55" t="s">
        <v>404</v>
      </c>
      <c r="M2126" s="55" t="s">
        <v>7634</v>
      </c>
    </row>
    <row r="2127" spans="1:13">
      <c r="A2127" s="408" t="s">
        <v>5505</v>
      </c>
      <c r="B2127" s="106" t="s">
        <v>327</v>
      </c>
      <c r="C2127" s="106" t="s">
        <v>473</v>
      </c>
      <c r="D2127" s="107" t="s">
        <v>5506</v>
      </c>
      <c r="E2127" s="109" t="s">
        <v>355</v>
      </c>
      <c r="F2127" s="109" t="s">
        <v>355</v>
      </c>
      <c r="G2127" s="55" t="s">
        <v>355</v>
      </c>
      <c r="H2127" s="108" t="s">
        <v>402</v>
      </c>
      <c r="I2127" s="111" t="s">
        <v>402</v>
      </c>
      <c r="J2127" s="111" t="s">
        <v>402</v>
      </c>
      <c r="K2127" s="106" t="s">
        <v>403</v>
      </c>
      <c r="L2127" s="55" t="s">
        <v>404</v>
      </c>
      <c r="M2127" s="55" t="s">
        <v>7634</v>
      </c>
    </row>
    <row r="2128" spans="1:13">
      <c r="A2128" s="408" t="s">
        <v>5507</v>
      </c>
      <c r="B2128" s="106" t="s">
        <v>327</v>
      </c>
      <c r="C2128" s="106" t="s">
        <v>473</v>
      </c>
      <c r="D2128" s="107" t="s">
        <v>5508</v>
      </c>
      <c r="E2128" s="109" t="s">
        <v>355</v>
      </c>
      <c r="F2128" s="109" t="s">
        <v>355</v>
      </c>
      <c r="G2128" s="55" t="s">
        <v>355</v>
      </c>
      <c r="H2128" s="108" t="s">
        <v>402</v>
      </c>
      <c r="I2128" s="111" t="s">
        <v>402</v>
      </c>
      <c r="J2128" s="111" t="s">
        <v>402</v>
      </c>
      <c r="K2128" s="106" t="s">
        <v>403</v>
      </c>
      <c r="L2128" s="55" t="s">
        <v>404</v>
      </c>
      <c r="M2128" s="55" t="s">
        <v>7634</v>
      </c>
    </row>
    <row r="2129" spans="1:13">
      <c r="A2129" s="408" t="s">
        <v>5509</v>
      </c>
      <c r="B2129" s="106" t="s">
        <v>327</v>
      </c>
      <c r="C2129" s="106" t="s">
        <v>473</v>
      </c>
      <c r="D2129" s="107" t="s">
        <v>5510</v>
      </c>
      <c r="E2129" s="109" t="s">
        <v>355</v>
      </c>
      <c r="F2129" s="109" t="s">
        <v>355</v>
      </c>
      <c r="G2129" s="55" t="s">
        <v>355</v>
      </c>
      <c r="H2129" s="108" t="s">
        <v>402</v>
      </c>
      <c r="I2129" s="111" t="s">
        <v>402</v>
      </c>
      <c r="J2129" s="111" t="s">
        <v>402</v>
      </c>
      <c r="K2129" s="106" t="s">
        <v>403</v>
      </c>
      <c r="L2129" s="55" t="s">
        <v>404</v>
      </c>
      <c r="M2129" s="55" t="s">
        <v>7634</v>
      </c>
    </row>
    <row r="2130" spans="1:13">
      <c r="A2130" s="408" t="s">
        <v>5511</v>
      </c>
      <c r="B2130" s="106" t="s">
        <v>327</v>
      </c>
      <c r="C2130" s="106" t="s">
        <v>473</v>
      </c>
      <c r="D2130" s="107" t="s">
        <v>5512</v>
      </c>
      <c r="E2130" s="109" t="s">
        <v>355</v>
      </c>
      <c r="F2130" s="109" t="s">
        <v>355</v>
      </c>
      <c r="G2130" s="55" t="s">
        <v>355</v>
      </c>
      <c r="H2130" s="108" t="s">
        <v>402</v>
      </c>
      <c r="I2130" s="111" t="s">
        <v>402</v>
      </c>
      <c r="J2130" s="111" t="s">
        <v>402</v>
      </c>
      <c r="K2130" s="106" t="s">
        <v>403</v>
      </c>
      <c r="L2130" s="55" t="s">
        <v>404</v>
      </c>
      <c r="M2130" s="55" t="s">
        <v>7634</v>
      </c>
    </row>
    <row r="2131" spans="1:13">
      <c r="A2131" s="408" t="s">
        <v>5513</v>
      </c>
      <c r="B2131" s="106" t="s">
        <v>327</v>
      </c>
      <c r="C2131" s="106" t="s">
        <v>473</v>
      </c>
      <c r="D2131" s="107" t="s">
        <v>5514</v>
      </c>
      <c r="E2131" s="109" t="s">
        <v>355</v>
      </c>
      <c r="F2131" s="109" t="s">
        <v>355</v>
      </c>
      <c r="G2131" s="55" t="s">
        <v>355</v>
      </c>
      <c r="H2131" s="108" t="s">
        <v>402</v>
      </c>
      <c r="I2131" s="111" t="s">
        <v>402</v>
      </c>
      <c r="J2131" s="111" t="s">
        <v>402</v>
      </c>
      <c r="K2131" s="106" t="s">
        <v>403</v>
      </c>
      <c r="L2131" s="55" t="s">
        <v>404</v>
      </c>
      <c r="M2131" s="55" t="s">
        <v>7634</v>
      </c>
    </row>
    <row r="2132" spans="1:13">
      <c r="A2132" s="408" t="s">
        <v>5515</v>
      </c>
      <c r="B2132" s="106" t="s">
        <v>327</v>
      </c>
      <c r="C2132" s="106" t="s">
        <v>473</v>
      </c>
      <c r="D2132" s="107" t="s">
        <v>4936</v>
      </c>
      <c r="E2132" s="109" t="s">
        <v>355</v>
      </c>
      <c r="F2132" s="109" t="s">
        <v>355</v>
      </c>
      <c r="G2132" s="55" t="s">
        <v>355</v>
      </c>
      <c r="H2132" s="108" t="s">
        <v>402</v>
      </c>
      <c r="I2132" s="111" t="s">
        <v>402</v>
      </c>
      <c r="J2132" s="111" t="s">
        <v>402</v>
      </c>
      <c r="K2132" s="106" t="s">
        <v>403</v>
      </c>
      <c r="L2132" s="55" t="s">
        <v>404</v>
      </c>
      <c r="M2132" s="55" t="s">
        <v>7634</v>
      </c>
    </row>
    <row r="2133" spans="1:13">
      <c r="A2133" s="408" t="s">
        <v>5516</v>
      </c>
      <c r="B2133" s="106" t="s">
        <v>327</v>
      </c>
      <c r="C2133" s="106" t="s">
        <v>473</v>
      </c>
      <c r="D2133" s="107" t="s">
        <v>5517</v>
      </c>
      <c r="E2133" s="109" t="s">
        <v>355</v>
      </c>
      <c r="F2133" s="109" t="s">
        <v>355</v>
      </c>
      <c r="G2133" s="55" t="s">
        <v>355</v>
      </c>
      <c r="H2133" s="108" t="s">
        <v>402</v>
      </c>
      <c r="I2133" s="111" t="s">
        <v>402</v>
      </c>
      <c r="J2133" s="111" t="s">
        <v>402</v>
      </c>
      <c r="K2133" s="106" t="s">
        <v>403</v>
      </c>
      <c r="L2133" s="55" t="s">
        <v>404</v>
      </c>
      <c r="M2133" s="55" t="s">
        <v>7634</v>
      </c>
    </row>
    <row r="2134" spans="1:13">
      <c r="A2134" s="408" t="s">
        <v>5518</v>
      </c>
      <c r="B2134" s="106" t="s">
        <v>327</v>
      </c>
      <c r="C2134" s="106" t="s">
        <v>473</v>
      </c>
      <c r="D2134" s="107" t="s">
        <v>5519</v>
      </c>
      <c r="E2134" s="109" t="s">
        <v>355</v>
      </c>
      <c r="F2134" s="109" t="s">
        <v>355</v>
      </c>
      <c r="G2134" s="55" t="s">
        <v>355</v>
      </c>
      <c r="H2134" s="108" t="s">
        <v>402</v>
      </c>
      <c r="I2134" s="111" t="s">
        <v>402</v>
      </c>
      <c r="J2134" s="111" t="s">
        <v>402</v>
      </c>
      <c r="K2134" s="106" t="s">
        <v>403</v>
      </c>
      <c r="L2134" s="55" t="s">
        <v>404</v>
      </c>
      <c r="M2134" s="55" t="s">
        <v>7634</v>
      </c>
    </row>
    <row r="2135" spans="1:13">
      <c r="A2135" s="408" t="s">
        <v>5520</v>
      </c>
      <c r="B2135" s="106" t="s">
        <v>327</v>
      </c>
      <c r="C2135" s="106" t="s">
        <v>473</v>
      </c>
      <c r="D2135" s="107" t="s">
        <v>5521</v>
      </c>
      <c r="E2135" s="109" t="s">
        <v>355</v>
      </c>
      <c r="F2135" s="109" t="s">
        <v>355</v>
      </c>
      <c r="G2135" s="55" t="s">
        <v>355</v>
      </c>
      <c r="H2135" s="108" t="s">
        <v>402</v>
      </c>
      <c r="I2135" s="111" t="s">
        <v>402</v>
      </c>
      <c r="J2135" s="111" t="s">
        <v>402</v>
      </c>
      <c r="K2135" s="106" t="s">
        <v>403</v>
      </c>
      <c r="L2135" s="55" t="s">
        <v>404</v>
      </c>
      <c r="M2135" s="55" t="s">
        <v>7634</v>
      </c>
    </row>
    <row r="2136" spans="1:13">
      <c r="A2136" s="408" t="s">
        <v>5522</v>
      </c>
      <c r="B2136" s="106" t="s">
        <v>327</v>
      </c>
      <c r="C2136" s="106" t="s">
        <v>473</v>
      </c>
      <c r="D2136" s="107" t="s">
        <v>5521</v>
      </c>
      <c r="E2136" s="109" t="s">
        <v>355</v>
      </c>
      <c r="F2136" s="109" t="s">
        <v>355</v>
      </c>
      <c r="G2136" s="55" t="s">
        <v>355</v>
      </c>
      <c r="H2136" s="108" t="s">
        <v>402</v>
      </c>
      <c r="I2136" s="111" t="s">
        <v>402</v>
      </c>
      <c r="J2136" s="111" t="s">
        <v>402</v>
      </c>
      <c r="K2136" s="106" t="s">
        <v>403</v>
      </c>
      <c r="L2136" s="55" t="s">
        <v>404</v>
      </c>
      <c r="M2136" s="55" t="s">
        <v>7634</v>
      </c>
    </row>
    <row r="2137" spans="1:13">
      <c r="A2137" s="408" t="s">
        <v>5523</v>
      </c>
      <c r="B2137" s="106" t="s">
        <v>327</v>
      </c>
      <c r="C2137" s="106" t="s">
        <v>473</v>
      </c>
      <c r="D2137" s="107" t="s">
        <v>5524</v>
      </c>
      <c r="E2137" s="109" t="s">
        <v>355</v>
      </c>
      <c r="F2137" s="109" t="s">
        <v>355</v>
      </c>
      <c r="G2137" s="55" t="s">
        <v>355</v>
      </c>
      <c r="H2137" s="108" t="s">
        <v>402</v>
      </c>
      <c r="I2137" s="111" t="s">
        <v>402</v>
      </c>
      <c r="J2137" s="111" t="s">
        <v>402</v>
      </c>
      <c r="K2137" s="106" t="s">
        <v>403</v>
      </c>
      <c r="L2137" s="55" t="s">
        <v>404</v>
      </c>
      <c r="M2137" s="55" t="s">
        <v>7634</v>
      </c>
    </row>
    <row r="2138" spans="1:13">
      <c r="A2138" s="408" t="s">
        <v>5525</v>
      </c>
      <c r="B2138" s="106" t="s">
        <v>327</v>
      </c>
      <c r="C2138" s="106" t="s">
        <v>473</v>
      </c>
      <c r="D2138" s="107" t="s">
        <v>5526</v>
      </c>
      <c r="E2138" s="109" t="s">
        <v>355</v>
      </c>
      <c r="F2138" s="109" t="s">
        <v>355</v>
      </c>
      <c r="G2138" s="55" t="s">
        <v>355</v>
      </c>
      <c r="H2138" s="108" t="s">
        <v>402</v>
      </c>
      <c r="I2138" s="111" t="s">
        <v>402</v>
      </c>
      <c r="J2138" s="111" t="s">
        <v>402</v>
      </c>
      <c r="K2138" s="106" t="s">
        <v>403</v>
      </c>
      <c r="L2138" s="55" t="s">
        <v>404</v>
      </c>
      <c r="M2138" s="55" t="s">
        <v>7634</v>
      </c>
    </row>
    <row r="2139" spans="1:13">
      <c r="A2139" s="408" t="s">
        <v>5527</v>
      </c>
      <c r="B2139" s="106" t="s">
        <v>327</v>
      </c>
      <c r="C2139" s="106" t="s">
        <v>473</v>
      </c>
      <c r="D2139" s="107" t="s">
        <v>5528</v>
      </c>
      <c r="E2139" s="109" t="s">
        <v>355</v>
      </c>
      <c r="F2139" s="109" t="s">
        <v>355</v>
      </c>
      <c r="G2139" s="55" t="s">
        <v>355</v>
      </c>
      <c r="H2139" s="108" t="s">
        <v>402</v>
      </c>
      <c r="I2139" s="111" t="s">
        <v>402</v>
      </c>
      <c r="J2139" s="111" t="s">
        <v>402</v>
      </c>
      <c r="K2139" s="106" t="s">
        <v>403</v>
      </c>
      <c r="L2139" s="55" t="s">
        <v>404</v>
      </c>
      <c r="M2139" s="55" t="s">
        <v>7634</v>
      </c>
    </row>
    <row r="2140" spans="1:13">
      <c r="A2140" s="408" t="s">
        <v>5529</v>
      </c>
      <c r="B2140" s="106" t="s">
        <v>327</v>
      </c>
      <c r="C2140" s="106" t="s">
        <v>473</v>
      </c>
      <c r="D2140" s="107" t="s">
        <v>5530</v>
      </c>
      <c r="E2140" s="109" t="s">
        <v>355</v>
      </c>
      <c r="F2140" s="109" t="s">
        <v>355</v>
      </c>
      <c r="G2140" s="55" t="s">
        <v>355</v>
      </c>
      <c r="H2140" s="108" t="s">
        <v>402</v>
      </c>
      <c r="I2140" s="111" t="s">
        <v>402</v>
      </c>
      <c r="J2140" s="111" t="s">
        <v>402</v>
      </c>
      <c r="K2140" s="106" t="s">
        <v>403</v>
      </c>
      <c r="L2140" s="55" t="s">
        <v>404</v>
      </c>
      <c r="M2140" s="55" t="s">
        <v>7634</v>
      </c>
    </row>
    <row r="2141" spans="1:13">
      <c r="A2141" s="408" t="s">
        <v>5531</v>
      </c>
      <c r="B2141" s="106" t="s">
        <v>327</v>
      </c>
      <c r="C2141" s="106" t="s">
        <v>473</v>
      </c>
      <c r="D2141" s="107" t="s">
        <v>5532</v>
      </c>
      <c r="E2141" s="109" t="s">
        <v>355</v>
      </c>
      <c r="F2141" s="109" t="s">
        <v>355</v>
      </c>
      <c r="G2141" s="55" t="s">
        <v>355</v>
      </c>
      <c r="H2141" s="108" t="s">
        <v>402</v>
      </c>
      <c r="I2141" s="111" t="s">
        <v>402</v>
      </c>
      <c r="J2141" s="111" t="s">
        <v>402</v>
      </c>
      <c r="K2141" s="106" t="s">
        <v>403</v>
      </c>
      <c r="L2141" s="55" t="s">
        <v>404</v>
      </c>
      <c r="M2141" s="55" t="s">
        <v>7634</v>
      </c>
    </row>
    <row r="2142" spans="1:13">
      <c r="A2142" s="408" t="s">
        <v>5533</v>
      </c>
      <c r="B2142" s="106" t="s">
        <v>327</v>
      </c>
      <c r="C2142" s="106" t="s">
        <v>473</v>
      </c>
      <c r="D2142" s="107" t="s">
        <v>5534</v>
      </c>
      <c r="E2142" s="109" t="s">
        <v>355</v>
      </c>
      <c r="F2142" s="109" t="s">
        <v>355</v>
      </c>
      <c r="G2142" s="55" t="s">
        <v>355</v>
      </c>
      <c r="H2142" s="108" t="s">
        <v>402</v>
      </c>
      <c r="I2142" s="111" t="s">
        <v>402</v>
      </c>
      <c r="J2142" s="111" t="s">
        <v>402</v>
      </c>
      <c r="K2142" s="106" t="s">
        <v>403</v>
      </c>
      <c r="L2142" s="55" t="s">
        <v>404</v>
      </c>
      <c r="M2142" s="55" t="s">
        <v>7634</v>
      </c>
    </row>
    <row r="2143" spans="1:13">
      <c r="A2143" s="408" t="s">
        <v>5535</v>
      </c>
      <c r="B2143" s="106" t="s">
        <v>327</v>
      </c>
      <c r="C2143" s="106" t="s">
        <v>473</v>
      </c>
      <c r="D2143" s="107" t="s">
        <v>5536</v>
      </c>
      <c r="E2143" s="109" t="s">
        <v>355</v>
      </c>
      <c r="F2143" s="109" t="s">
        <v>355</v>
      </c>
      <c r="G2143" s="55" t="s">
        <v>355</v>
      </c>
      <c r="H2143" s="108" t="s">
        <v>402</v>
      </c>
      <c r="I2143" s="111" t="s">
        <v>402</v>
      </c>
      <c r="J2143" s="111" t="s">
        <v>402</v>
      </c>
      <c r="K2143" s="106" t="s">
        <v>403</v>
      </c>
      <c r="L2143" s="55" t="s">
        <v>404</v>
      </c>
      <c r="M2143" s="55" t="s">
        <v>7634</v>
      </c>
    </row>
    <row r="2144" spans="1:13">
      <c r="A2144" s="408" t="s">
        <v>5537</v>
      </c>
      <c r="B2144" s="106" t="s">
        <v>327</v>
      </c>
      <c r="C2144" s="106" t="s">
        <v>473</v>
      </c>
      <c r="D2144" s="107" t="s">
        <v>5538</v>
      </c>
      <c r="E2144" s="109" t="s">
        <v>355</v>
      </c>
      <c r="F2144" s="109" t="s">
        <v>355</v>
      </c>
      <c r="G2144" s="55" t="s">
        <v>355</v>
      </c>
      <c r="H2144" s="108" t="s">
        <v>402</v>
      </c>
      <c r="I2144" s="111" t="s">
        <v>402</v>
      </c>
      <c r="J2144" s="111" t="s">
        <v>402</v>
      </c>
      <c r="K2144" s="106" t="s">
        <v>403</v>
      </c>
      <c r="L2144" s="55" t="s">
        <v>404</v>
      </c>
      <c r="M2144" s="55" t="s">
        <v>7634</v>
      </c>
    </row>
    <row r="2145" spans="1:13">
      <c r="A2145" s="408" t="s">
        <v>5539</v>
      </c>
      <c r="B2145" s="106" t="s">
        <v>327</v>
      </c>
      <c r="C2145" s="106" t="s">
        <v>473</v>
      </c>
      <c r="D2145" s="107" t="s">
        <v>5540</v>
      </c>
      <c r="E2145" s="109" t="s">
        <v>355</v>
      </c>
      <c r="F2145" s="109" t="s">
        <v>355</v>
      </c>
      <c r="G2145" s="55" t="s">
        <v>355</v>
      </c>
      <c r="H2145" s="108" t="s">
        <v>402</v>
      </c>
      <c r="I2145" s="111" t="s">
        <v>402</v>
      </c>
      <c r="J2145" s="111" t="s">
        <v>402</v>
      </c>
      <c r="K2145" s="106" t="s">
        <v>403</v>
      </c>
      <c r="L2145" s="55" t="s">
        <v>404</v>
      </c>
      <c r="M2145" s="55" t="s">
        <v>7634</v>
      </c>
    </row>
    <row r="2146" spans="1:13">
      <c r="A2146" s="408" t="s">
        <v>5541</v>
      </c>
      <c r="B2146" s="106" t="s">
        <v>327</v>
      </c>
      <c r="C2146" s="106" t="s">
        <v>473</v>
      </c>
      <c r="D2146" s="107" t="s">
        <v>5542</v>
      </c>
      <c r="E2146" s="109" t="s">
        <v>355</v>
      </c>
      <c r="F2146" s="109" t="s">
        <v>355</v>
      </c>
      <c r="G2146" s="55" t="s">
        <v>355</v>
      </c>
      <c r="H2146" s="108" t="s">
        <v>402</v>
      </c>
      <c r="I2146" s="111" t="s">
        <v>402</v>
      </c>
      <c r="J2146" s="111" t="s">
        <v>402</v>
      </c>
      <c r="K2146" s="106" t="s">
        <v>403</v>
      </c>
      <c r="L2146" s="55" t="s">
        <v>404</v>
      </c>
      <c r="M2146" s="55" t="s">
        <v>7634</v>
      </c>
    </row>
    <row r="2147" spans="1:13">
      <c r="A2147" s="408" t="s">
        <v>5543</v>
      </c>
      <c r="B2147" s="106" t="s">
        <v>327</v>
      </c>
      <c r="C2147" s="106" t="s">
        <v>473</v>
      </c>
      <c r="D2147" s="107" t="s">
        <v>5544</v>
      </c>
      <c r="E2147" s="109" t="s">
        <v>355</v>
      </c>
      <c r="F2147" s="109" t="s">
        <v>355</v>
      </c>
      <c r="G2147" s="55" t="s">
        <v>355</v>
      </c>
      <c r="H2147" s="108" t="s">
        <v>402</v>
      </c>
      <c r="I2147" s="111" t="s">
        <v>402</v>
      </c>
      <c r="J2147" s="111" t="s">
        <v>402</v>
      </c>
      <c r="K2147" s="106" t="s">
        <v>403</v>
      </c>
      <c r="L2147" s="55" t="s">
        <v>404</v>
      </c>
      <c r="M2147" s="55" t="s">
        <v>7634</v>
      </c>
    </row>
    <row r="2148" spans="1:13">
      <c r="A2148" s="408" t="s">
        <v>5545</v>
      </c>
      <c r="B2148" s="106" t="s">
        <v>327</v>
      </c>
      <c r="C2148" s="106" t="s">
        <v>473</v>
      </c>
      <c r="D2148" s="107" t="s">
        <v>5546</v>
      </c>
      <c r="E2148" s="109" t="s">
        <v>355</v>
      </c>
      <c r="F2148" s="109" t="s">
        <v>355</v>
      </c>
      <c r="G2148" s="55" t="s">
        <v>355</v>
      </c>
      <c r="H2148" s="108" t="s">
        <v>402</v>
      </c>
      <c r="I2148" s="111" t="s">
        <v>402</v>
      </c>
      <c r="J2148" s="111" t="s">
        <v>402</v>
      </c>
      <c r="K2148" s="106" t="s">
        <v>403</v>
      </c>
      <c r="L2148" s="55" t="s">
        <v>404</v>
      </c>
      <c r="M2148" s="55" t="s">
        <v>7634</v>
      </c>
    </row>
    <row r="2149" spans="1:13">
      <c r="A2149" s="408" t="s">
        <v>5547</v>
      </c>
      <c r="B2149" s="106" t="s">
        <v>327</v>
      </c>
      <c r="C2149" s="106" t="s">
        <v>473</v>
      </c>
      <c r="D2149" s="107" t="s">
        <v>5548</v>
      </c>
      <c r="E2149" s="109" t="s">
        <v>355</v>
      </c>
      <c r="F2149" s="109" t="s">
        <v>355</v>
      </c>
      <c r="G2149" s="55" t="s">
        <v>355</v>
      </c>
      <c r="H2149" s="108" t="s">
        <v>402</v>
      </c>
      <c r="I2149" s="111" t="s">
        <v>402</v>
      </c>
      <c r="J2149" s="111" t="s">
        <v>402</v>
      </c>
      <c r="K2149" s="106" t="s">
        <v>403</v>
      </c>
      <c r="L2149" s="55" t="s">
        <v>404</v>
      </c>
      <c r="M2149" s="55" t="s">
        <v>7634</v>
      </c>
    </row>
    <row r="2150" spans="1:13">
      <c r="A2150" s="408" t="s">
        <v>5549</v>
      </c>
      <c r="B2150" s="106" t="s">
        <v>327</v>
      </c>
      <c r="C2150" s="106" t="s">
        <v>473</v>
      </c>
      <c r="D2150" s="107" t="s">
        <v>5550</v>
      </c>
      <c r="E2150" s="109" t="s">
        <v>355</v>
      </c>
      <c r="F2150" s="109" t="s">
        <v>355</v>
      </c>
      <c r="G2150" s="55" t="s">
        <v>355</v>
      </c>
      <c r="H2150" s="108" t="s">
        <v>402</v>
      </c>
      <c r="I2150" s="111" t="s">
        <v>402</v>
      </c>
      <c r="J2150" s="111" t="s">
        <v>402</v>
      </c>
      <c r="K2150" s="106" t="s">
        <v>403</v>
      </c>
      <c r="L2150" s="55" t="s">
        <v>404</v>
      </c>
      <c r="M2150" s="55" t="s">
        <v>7634</v>
      </c>
    </row>
    <row r="2151" spans="1:13">
      <c r="A2151" s="408" t="s">
        <v>5551</v>
      </c>
      <c r="B2151" s="106" t="s">
        <v>327</v>
      </c>
      <c r="C2151" s="106" t="s">
        <v>473</v>
      </c>
      <c r="D2151" s="107" t="s">
        <v>5552</v>
      </c>
      <c r="E2151" s="109" t="s">
        <v>355</v>
      </c>
      <c r="F2151" s="109" t="s">
        <v>355</v>
      </c>
      <c r="G2151" s="55" t="s">
        <v>355</v>
      </c>
      <c r="H2151" s="108" t="s">
        <v>402</v>
      </c>
      <c r="I2151" s="111" t="s">
        <v>402</v>
      </c>
      <c r="J2151" s="111" t="s">
        <v>402</v>
      </c>
      <c r="K2151" s="106" t="s">
        <v>403</v>
      </c>
      <c r="L2151" s="55" t="s">
        <v>404</v>
      </c>
      <c r="M2151" s="55" t="s">
        <v>7634</v>
      </c>
    </row>
    <row r="2152" spans="1:13">
      <c r="A2152" s="401" t="s">
        <v>5553</v>
      </c>
      <c r="B2152" s="106" t="s">
        <v>984</v>
      </c>
      <c r="C2152" s="106" t="s">
        <v>473</v>
      </c>
      <c r="D2152" s="107" t="s">
        <v>5554</v>
      </c>
      <c r="E2152" s="107" t="s">
        <v>5555</v>
      </c>
      <c r="F2152" s="107" t="s">
        <v>5556</v>
      </c>
      <c r="G2152" s="114" t="s">
        <v>355</v>
      </c>
      <c r="H2152" s="108" t="s">
        <v>402</v>
      </c>
      <c r="I2152" s="111" t="s">
        <v>402</v>
      </c>
      <c r="J2152" s="111" t="s">
        <v>402</v>
      </c>
      <c r="K2152" s="115" t="s">
        <v>403</v>
      </c>
      <c r="L2152" s="55" t="s">
        <v>404</v>
      </c>
      <c r="M2152" s="55" t="s">
        <v>355</v>
      </c>
    </row>
    <row r="2153" spans="1:13">
      <c r="A2153" s="408" t="s">
        <v>5557</v>
      </c>
      <c r="B2153" s="106" t="s">
        <v>327</v>
      </c>
      <c r="C2153" s="106" t="s">
        <v>473</v>
      </c>
      <c r="D2153" s="107" t="s">
        <v>5558</v>
      </c>
      <c r="E2153" s="109" t="s">
        <v>355</v>
      </c>
      <c r="F2153" s="109" t="s">
        <v>355</v>
      </c>
      <c r="G2153" s="55" t="s">
        <v>355</v>
      </c>
      <c r="H2153" s="108" t="s">
        <v>402</v>
      </c>
      <c r="I2153" s="111" t="s">
        <v>402</v>
      </c>
      <c r="J2153" s="111" t="s">
        <v>402</v>
      </c>
      <c r="K2153" s="106" t="s">
        <v>403</v>
      </c>
      <c r="L2153" s="55" t="s">
        <v>404</v>
      </c>
      <c r="M2153" s="55" t="s">
        <v>7634</v>
      </c>
    </row>
    <row r="2154" spans="1:13">
      <c r="A2154" s="408" t="s">
        <v>5559</v>
      </c>
      <c r="B2154" s="106" t="s">
        <v>327</v>
      </c>
      <c r="C2154" s="106" t="s">
        <v>473</v>
      </c>
      <c r="D2154" s="107" t="s">
        <v>5560</v>
      </c>
      <c r="E2154" s="109" t="s">
        <v>355</v>
      </c>
      <c r="F2154" s="109" t="s">
        <v>355</v>
      </c>
      <c r="G2154" s="55" t="s">
        <v>355</v>
      </c>
      <c r="H2154" s="108" t="s">
        <v>402</v>
      </c>
      <c r="I2154" s="111" t="s">
        <v>402</v>
      </c>
      <c r="J2154" s="111" t="s">
        <v>402</v>
      </c>
      <c r="K2154" s="106" t="s">
        <v>403</v>
      </c>
      <c r="L2154" s="55" t="s">
        <v>404</v>
      </c>
      <c r="M2154" s="55" t="s">
        <v>7634</v>
      </c>
    </row>
    <row r="2155" spans="1:13">
      <c r="A2155" s="408" t="s">
        <v>5561</v>
      </c>
      <c r="B2155" s="106" t="s">
        <v>327</v>
      </c>
      <c r="C2155" s="106" t="s">
        <v>473</v>
      </c>
      <c r="D2155" s="107" t="s">
        <v>5560</v>
      </c>
      <c r="E2155" s="109" t="s">
        <v>355</v>
      </c>
      <c r="F2155" s="109" t="s">
        <v>355</v>
      </c>
      <c r="G2155" s="55" t="s">
        <v>355</v>
      </c>
      <c r="H2155" s="108" t="s">
        <v>402</v>
      </c>
      <c r="I2155" s="111" t="s">
        <v>402</v>
      </c>
      <c r="J2155" s="111" t="s">
        <v>402</v>
      </c>
      <c r="K2155" s="106" t="s">
        <v>403</v>
      </c>
      <c r="L2155" s="55" t="s">
        <v>404</v>
      </c>
      <c r="M2155" s="55" t="s">
        <v>7634</v>
      </c>
    </row>
    <row r="2156" spans="1:13">
      <c r="A2156" s="408" t="s">
        <v>5562</v>
      </c>
      <c r="B2156" s="106" t="s">
        <v>327</v>
      </c>
      <c r="C2156" s="106" t="s">
        <v>473</v>
      </c>
      <c r="D2156" s="107" t="s">
        <v>5563</v>
      </c>
      <c r="E2156" s="109" t="s">
        <v>355</v>
      </c>
      <c r="F2156" s="109" t="s">
        <v>355</v>
      </c>
      <c r="G2156" s="55" t="s">
        <v>355</v>
      </c>
      <c r="H2156" s="108" t="s">
        <v>402</v>
      </c>
      <c r="I2156" s="111" t="s">
        <v>402</v>
      </c>
      <c r="J2156" s="111" t="s">
        <v>402</v>
      </c>
      <c r="K2156" s="106" t="s">
        <v>403</v>
      </c>
      <c r="L2156" s="55" t="s">
        <v>404</v>
      </c>
      <c r="M2156" s="55" t="s">
        <v>7634</v>
      </c>
    </row>
    <row r="2157" spans="1:13">
      <c r="A2157" s="408" t="s">
        <v>5564</v>
      </c>
      <c r="B2157" s="106" t="s">
        <v>327</v>
      </c>
      <c r="C2157" s="106" t="s">
        <v>473</v>
      </c>
      <c r="D2157" s="107" t="s">
        <v>5563</v>
      </c>
      <c r="E2157" s="109" t="s">
        <v>355</v>
      </c>
      <c r="F2157" s="109" t="s">
        <v>355</v>
      </c>
      <c r="G2157" s="55" t="s">
        <v>355</v>
      </c>
      <c r="H2157" s="108" t="s">
        <v>402</v>
      </c>
      <c r="I2157" s="111" t="s">
        <v>402</v>
      </c>
      <c r="J2157" s="111" t="s">
        <v>402</v>
      </c>
      <c r="K2157" s="106" t="s">
        <v>403</v>
      </c>
      <c r="L2157" s="55" t="s">
        <v>404</v>
      </c>
      <c r="M2157" s="55" t="s">
        <v>7634</v>
      </c>
    </row>
    <row r="2158" spans="1:13">
      <c r="A2158" s="408" t="s">
        <v>5565</v>
      </c>
      <c r="B2158" s="106" t="s">
        <v>327</v>
      </c>
      <c r="C2158" s="106" t="s">
        <v>473</v>
      </c>
      <c r="D2158" s="107" t="s">
        <v>5566</v>
      </c>
      <c r="E2158" s="109" t="s">
        <v>355</v>
      </c>
      <c r="F2158" s="109" t="s">
        <v>355</v>
      </c>
      <c r="G2158" s="55" t="s">
        <v>355</v>
      </c>
      <c r="H2158" s="108" t="s">
        <v>402</v>
      </c>
      <c r="I2158" s="111" t="s">
        <v>402</v>
      </c>
      <c r="J2158" s="111" t="s">
        <v>402</v>
      </c>
      <c r="K2158" s="106" t="s">
        <v>403</v>
      </c>
      <c r="L2158" s="55" t="s">
        <v>404</v>
      </c>
      <c r="M2158" s="55" t="s">
        <v>7634</v>
      </c>
    </row>
    <row r="2159" spans="1:13">
      <c r="A2159" s="408" t="s">
        <v>5567</v>
      </c>
      <c r="B2159" s="106" t="s">
        <v>327</v>
      </c>
      <c r="C2159" s="106" t="s">
        <v>473</v>
      </c>
      <c r="D2159" s="107" t="s">
        <v>5568</v>
      </c>
      <c r="E2159" s="109" t="s">
        <v>355</v>
      </c>
      <c r="F2159" s="109" t="s">
        <v>355</v>
      </c>
      <c r="G2159" s="55" t="s">
        <v>355</v>
      </c>
      <c r="H2159" s="108" t="s">
        <v>402</v>
      </c>
      <c r="I2159" s="111" t="s">
        <v>402</v>
      </c>
      <c r="J2159" s="111" t="s">
        <v>402</v>
      </c>
      <c r="K2159" s="106" t="s">
        <v>403</v>
      </c>
      <c r="L2159" s="55" t="s">
        <v>404</v>
      </c>
      <c r="M2159" s="55" t="s">
        <v>7634</v>
      </c>
    </row>
    <row r="2160" spans="1:13">
      <c r="A2160" s="408" t="s">
        <v>5569</v>
      </c>
      <c r="B2160" s="106" t="s">
        <v>327</v>
      </c>
      <c r="C2160" s="106" t="s">
        <v>473</v>
      </c>
      <c r="D2160" s="107" t="s">
        <v>5570</v>
      </c>
      <c r="E2160" s="109" t="s">
        <v>355</v>
      </c>
      <c r="F2160" s="109" t="s">
        <v>355</v>
      </c>
      <c r="G2160" s="55" t="s">
        <v>355</v>
      </c>
      <c r="H2160" s="108" t="s">
        <v>402</v>
      </c>
      <c r="I2160" s="111" t="s">
        <v>402</v>
      </c>
      <c r="J2160" s="111" t="s">
        <v>402</v>
      </c>
      <c r="K2160" s="106" t="s">
        <v>403</v>
      </c>
      <c r="L2160" s="55" t="s">
        <v>404</v>
      </c>
      <c r="M2160" s="55" t="s">
        <v>7634</v>
      </c>
    </row>
    <row r="2161" spans="1:13">
      <c r="A2161" s="408" t="s">
        <v>5571</v>
      </c>
      <c r="B2161" s="106" t="s">
        <v>327</v>
      </c>
      <c r="C2161" s="106" t="s">
        <v>473</v>
      </c>
      <c r="D2161" s="107" t="s">
        <v>5572</v>
      </c>
      <c r="E2161" s="109" t="s">
        <v>355</v>
      </c>
      <c r="F2161" s="109" t="s">
        <v>355</v>
      </c>
      <c r="G2161" s="55" t="s">
        <v>355</v>
      </c>
      <c r="H2161" s="108" t="s">
        <v>402</v>
      </c>
      <c r="I2161" s="111" t="s">
        <v>402</v>
      </c>
      <c r="J2161" s="111" t="s">
        <v>402</v>
      </c>
      <c r="K2161" s="106" t="s">
        <v>403</v>
      </c>
      <c r="L2161" s="55" t="s">
        <v>404</v>
      </c>
      <c r="M2161" s="55" t="s">
        <v>7634</v>
      </c>
    </row>
    <row r="2162" spans="1:13">
      <c r="A2162" s="408" t="s">
        <v>5573</v>
      </c>
      <c r="B2162" s="106" t="s">
        <v>327</v>
      </c>
      <c r="C2162" s="106" t="s">
        <v>473</v>
      </c>
      <c r="D2162" s="107" t="s">
        <v>5572</v>
      </c>
      <c r="E2162" s="109" t="s">
        <v>355</v>
      </c>
      <c r="F2162" s="109" t="s">
        <v>355</v>
      </c>
      <c r="G2162" s="55" t="s">
        <v>355</v>
      </c>
      <c r="H2162" s="108" t="s">
        <v>402</v>
      </c>
      <c r="I2162" s="111" t="s">
        <v>402</v>
      </c>
      <c r="J2162" s="111" t="s">
        <v>402</v>
      </c>
      <c r="K2162" s="106" t="s">
        <v>403</v>
      </c>
      <c r="L2162" s="55" t="s">
        <v>404</v>
      </c>
      <c r="M2162" s="55" t="s">
        <v>7634</v>
      </c>
    </row>
    <row r="2163" spans="1:13">
      <c r="A2163" s="408" t="s">
        <v>5574</v>
      </c>
      <c r="B2163" s="106" t="s">
        <v>327</v>
      </c>
      <c r="C2163" s="106" t="s">
        <v>473</v>
      </c>
      <c r="D2163" s="107" t="s">
        <v>5575</v>
      </c>
      <c r="E2163" s="109" t="s">
        <v>355</v>
      </c>
      <c r="F2163" s="109" t="s">
        <v>355</v>
      </c>
      <c r="G2163" s="55" t="s">
        <v>355</v>
      </c>
      <c r="H2163" s="108" t="s">
        <v>402</v>
      </c>
      <c r="I2163" s="111" t="s">
        <v>402</v>
      </c>
      <c r="J2163" s="111" t="s">
        <v>402</v>
      </c>
      <c r="K2163" s="106" t="s">
        <v>403</v>
      </c>
      <c r="L2163" s="55" t="s">
        <v>404</v>
      </c>
      <c r="M2163" s="55" t="s">
        <v>7634</v>
      </c>
    </row>
    <row r="2164" spans="1:13">
      <c r="A2164" s="408" t="s">
        <v>5576</v>
      </c>
      <c r="B2164" s="106" t="s">
        <v>327</v>
      </c>
      <c r="C2164" s="106" t="s">
        <v>473</v>
      </c>
      <c r="D2164" s="107" t="s">
        <v>5577</v>
      </c>
      <c r="E2164" s="109" t="s">
        <v>355</v>
      </c>
      <c r="F2164" s="109" t="s">
        <v>355</v>
      </c>
      <c r="G2164" s="55" t="s">
        <v>355</v>
      </c>
      <c r="H2164" s="108" t="s">
        <v>402</v>
      </c>
      <c r="I2164" s="111" t="s">
        <v>402</v>
      </c>
      <c r="J2164" s="111" t="s">
        <v>402</v>
      </c>
      <c r="K2164" s="106" t="s">
        <v>403</v>
      </c>
      <c r="L2164" s="55" t="s">
        <v>404</v>
      </c>
      <c r="M2164" s="55" t="s">
        <v>7634</v>
      </c>
    </row>
    <row r="2165" spans="1:13">
      <c r="A2165" s="408" t="s">
        <v>5578</v>
      </c>
      <c r="B2165" s="106" t="s">
        <v>327</v>
      </c>
      <c r="C2165" s="106" t="s">
        <v>473</v>
      </c>
      <c r="D2165" s="107" t="s">
        <v>5579</v>
      </c>
      <c r="E2165" s="109" t="s">
        <v>355</v>
      </c>
      <c r="F2165" s="109" t="s">
        <v>355</v>
      </c>
      <c r="G2165" s="55" t="s">
        <v>355</v>
      </c>
      <c r="H2165" s="108" t="s">
        <v>402</v>
      </c>
      <c r="I2165" s="111" t="s">
        <v>402</v>
      </c>
      <c r="J2165" s="111" t="s">
        <v>402</v>
      </c>
      <c r="K2165" s="106" t="s">
        <v>403</v>
      </c>
      <c r="L2165" s="55" t="s">
        <v>404</v>
      </c>
      <c r="M2165" s="55" t="s">
        <v>7634</v>
      </c>
    </row>
    <row r="2166" spans="1:13">
      <c r="A2166" s="408" t="s">
        <v>5580</v>
      </c>
      <c r="B2166" s="106" t="s">
        <v>327</v>
      </c>
      <c r="C2166" s="106" t="s">
        <v>473</v>
      </c>
      <c r="D2166" s="107" t="s">
        <v>5581</v>
      </c>
      <c r="E2166" s="109" t="s">
        <v>355</v>
      </c>
      <c r="F2166" s="109" t="s">
        <v>355</v>
      </c>
      <c r="G2166" s="55" t="s">
        <v>355</v>
      </c>
      <c r="H2166" s="108" t="s">
        <v>402</v>
      </c>
      <c r="I2166" s="111" t="s">
        <v>402</v>
      </c>
      <c r="J2166" s="111" t="s">
        <v>402</v>
      </c>
      <c r="K2166" s="106" t="s">
        <v>403</v>
      </c>
      <c r="L2166" s="55" t="s">
        <v>404</v>
      </c>
      <c r="M2166" s="55" t="s">
        <v>7634</v>
      </c>
    </row>
    <row r="2167" spans="1:13">
      <c r="A2167" s="408" t="s">
        <v>5582</v>
      </c>
      <c r="B2167" s="106" t="s">
        <v>327</v>
      </c>
      <c r="C2167" s="106" t="s">
        <v>473</v>
      </c>
      <c r="D2167" s="107" t="s">
        <v>5583</v>
      </c>
      <c r="E2167" s="109" t="s">
        <v>355</v>
      </c>
      <c r="F2167" s="109" t="s">
        <v>355</v>
      </c>
      <c r="G2167" s="55" t="s">
        <v>355</v>
      </c>
      <c r="H2167" s="108" t="s">
        <v>402</v>
      </c>
      <c r="I2167" s="111" t="s">
        <v>402</v>
      </c>
      <c r="J2167" s="111" t="s">
        <v>402</v>
      </c>
      <c r="K2167" s="106" t="s">
        <v>403</v>
      </c>
      <c r="L2167" s="55" t="s">
        <v>404</v>
      </c>
      <c r="M2167" s="55" t="s">
        <v>7634</v>
      </c>
    </row>
    <row r="2168" spans="1:13">
      <c r="A2168" s="408" t="s">
        <v>5584</v>
      </c>
      <c r="B2168" s="106" t="s">
        <v>327</v>
      </c>
      <c r="C2168" s="106" t="s">
        <v>473</v>
      </c>
      <c r="D2168" s="107" t="s">
        <v>5585</v>
      </c>
      <c r="E2168" s="109" t="s">
        <v>355</v>
      </c>
      <c r="F2168" s="109" t="s">
        <v>355</v>
      </c>
      <c r="G2168" s="55" t="s">
        <v>355</v>
      </c>
      <c r="H2168" s="108" t="s">
        <v>402</v>
      </c>
      <c r="I2168" s="111" t="s">
        <v>402</v>
      </c>
      <c r="J2168" s="111" t="s">
        <v>402</v>
      </c>
      <c r="K2168" s="106" t="s">
        <v>403</v>
      </c>
      <c r="L2168" s="55" t="s">
        <v>404</v>
      </c>
      <c r="M2168" s="55" t="s">
        <v>7634</v>
      </c>
    </row>
    <row r="2169" spans="1:13">
      <c r="A2169" s="408" t="s">
        <v>5586</v>
      </c>
      <c r="B2169" s="106" t="s">
        <v>327</v>
      </c>
      <c r="C2169" s="106" t="s">
        <v>473</v>
      </c>
      <c r="D2169" s="107" t="s">
        <v>5587</v>
      </c>
      <c r="E2169" s="109" t="s">
        <v>355</v>
      </c>
      <c r="F2169" s="109" t="s">
        <v>355</v>
      </c>
      <c r="G2169" s="55" t="s">
        <v>355</v>
      </c>
      <c r="H2169" s="108" t="s">
        <v>402</v>
      </c>
      <c r="I2169" s="111" t="s">
        <v>402</v>
      </c>
      <c r="J2169" s="111" t="s">
        <v>402</v>
      </c>
      <c r="K2169" s="106" t="s">
        <v>403</v>
      </c>
      <c r="L2169" s="55" t="s">
        <v>404</v>
      </c>
      <c r="M2169" s="55" t="s">
        <v>7634</v>
      </c>
    </row>
    <row r="2170" spans="1:13">
      <c r="A2170" s="408" t="s">
        <v>5588</v>
      </c>
      <c r="B2170" s="106" t="s">
        <v>327</v>
      </c>
      <c r="C2170" s="106" t="s">
        <v>473</v>
      </c>
      <c r="D2170" s="107" t="s">
        <v>5587</v>
      </c>
      <c r="E2170" s="109" t="s">
        <v>355</v>
      </c>
      <c r="F2170" s="109" t="s">
        <v>355</v>
      </c>
      <c r="G2170" s="55" t="s">
        <v>355</v>
      </c>
      <c r="H2170" s="108" t="s">
        <v>402</v>
      </c>
      <c r="I2170" s="111" t="s">
        <v>402</v>
      </c>
      <c r="J2170" s="111" t="s">
        <v>402</v>
      </c>
      <c r="K2170" s="106" t="s">
        <v>403</v>
      </c>
      <c r="L2170" s="55" t="s">
        <v>404</v>
      </c>
      <c r="M2170" s="55" t="s">
        <v>7634</v>
      </c>
    </row>
    <row r="2171" spans="1:13">
      <c r="A2171" s="408" t="s">
        <v>5589</v>
      </c>
      <c r="B2171" s="106" t="s">
        <v>327</v>
      </c>
      <c r="C2171" s="106" t="s">
        <v>473</v>
      </c>
      <c r="D2171" s="107" t="s">
        <v>5587</v>
      </c>
      <c r="E2171" s="109" t="s">
        <v>355</v>
      </c>
      <c r="F2171" s="109" t="s">
        <v>355</v>
      </c>
      <c r="G2171" s="55" t="s">
        <v>355</v>
      </c>
      <c r="H2171" s="108" t="s">
        <v>402</v>
      </c>
      <c r="I2171" s="111" t="s">
        <v>402</v>
      </c>
      <c r="J2171" s="111" t="s">
        <v>402</v>
      </c>
      <c r="K2171" s="106" t="s">
        <v>403</v>
      </c>
      <c r="L2171" s="55" t="s">
        <v>404</v>
      </c>
      <c r="M2171" s="55" t="s">
        <v>7634</v>
      </c>
    </row>
    <row r="2172" spans="1:13">
      <c r="A2172" s="408" t="s">
        <v>5590</v>
      </c>
      <c r="B2172" s="106" t="s">
        <v>327</v>
      </c>
      <c r="C2172" s="106" t="s">
        <v>473</v>
      </c>
      <c r="D2172" s="107" t="s">
        <v>5591</v>
      </c>
      <c r="E2172" s="109" t="s">
        <v>355</v>
      </c>
      <c r="F2172" s="109" t="s">
        <v>355</v>
      </c>
      <c r="G2172" s="55" t="s">
        <v>355</v>
      </c>
      <c r="H2172" s="108" t="s">
        <v>402</v>
      </c>
      <c r="I2172" s="111" t="s">
        <v>402</v>
      </c>
      <c r="J2172" s="111" t="s">
        <v>402</v>
      </c>
      <c r="K2172" s="106" t="s">
        <v>403</v>
      </c>
      <c r="L2172" s="55" t="s">
        <v>404</v>
      </c>
      <c r="M2172" s="55" t="s">
        <v>7634</v>
      </c>
    </row>
    <row r="2173" spans="1:13">
      <c r="A2173" s="401" t="s">
        <v>5592</v>
      </c>
      <c r="B2173" s="106" t="s">
        <v>327</v>
      </c>
      <c r="C2173" s="106" t="s">
        <v>473</v>
      </c>
      <c r="D2173" s="107" t="s">
        <v>5593</v>
      </c>
      <c r="E2173" s="107" t="s">
        <v>5594</v>
      </c>
      <c r="F2173" s="107" t="s">
        <v>5595</v>
      </c>
      <c r="G2173" s="114" t="s">
        <v>355</v>
      </c>
      <c r="H2173" s="115" t="s">
        <v>402</v>
      </c>
      <c r="I2173" s="111" t="s">
        <v>402</v>
      </c>
      <c r="J2173" s="111" t="s">
        <v>402</v>
      </c>
      <c r="K2173" s="106" t="s">
        <v>403</v>
      </c>
      <c r="L2173" s="55" t="s">
        <v>404</v>
      </c>
      <c r="M2173" s="113" t="s">
        <v>383</v>
      </c>
    </row>
    <row r="2174" spans="1:13">
      <c r="A2174" s="408" t="s">
        <v>5596</v>
      </c>
      <c r="B2174" s="106" t="s">
        <v>327</v>
      </c>
      <c r="C2174" s="106" t="s">
        <v>473</v>
      </c>
      <c r="D2174" s="107" t="s">
        <v>5597</v>
      </c>
      <c r="E2174" s="109" t="s">
        <v>355</v>
      </c>
      <c r="F2174" s="109" t="s">
        <v>355</v>
      </c>
      <c r="G2174" s="55" t="s">
        <v>355</v>
      </c>
      <c r="H2174" s="108" t="s">
        <v>402</v>
      </c>
      <c r="I2174" s="111" t="s">
        <v>402</v>
      </c>
      <c r="J2174" s="111" t="s">
        <v>402</v>
      </c>
      <c r="K2174" s="106" t="s">
        <v>403</v>
      </c>
      <c r="L2174" s="55" t="s">
        <v>404</v>
      </c>
      <c r="M2174" s="55" t="s">
        <v>7634</v>
      </c>
    </row>
    <row r="2175" spans="1:13">
      <c r="A2175" s="408" t="s">
        <v>5598</v>
      </c>
      <c r="B2175" s="106" t="s">
        <v>327</v>
      </c>
      <c r="C2175" s="106" t="s">
        <v>473</v>
      </c>
      <c r="D2175" s="107" t="s">
        <v>5599</v>
      </c>
      <c r="E2175" s="109" t="s">
        <v>355</v>
      </c>
      <c r="F2175" s="109" t="s">
        <v>355</v>
      </c>
      <c r="G2175" s="55" t="s">
        <v>355</v>
      </c>
      <c r="H2175" s="108" t="s">
        <v>402</v>
      </c>
      <c r="I2175" s="111" t="s">
        <v>402</v>
      </c>
      <c r="J2175" s="111" t="s">
        <v>402</v>
      </c>
      <c r="K2175" s="106" t="s">
        <v>403</v>
      </c>
      <c r="L2175" s="55" t="s">
        <v>404</v>
      </c>
      <c r="M2175" s="55" t="s">
        <v>7634</v>
      </c>
    </row>
    <row r="2176" spans="1:13">
      <c r="A2176" s="401" t="s">
        <v>5600</v>
      </c>
      <c r="B2176" s="106" t="s">
        <v>327</v>
      </c>
      <c r="C2176" s="106" t="s">
        <v>473</v>
      </c>
      <c r="D2176" s="109" t="s">
        <v>5601</v>
      </c>
      <c r="E2176" s="109" t="s">
        <v>8162</v>
      </c>
      <c r="F2176" s="109" t="s">
        <v>5602</v>
      </c>
      <c r="G2176" s="588" t="s">
        <v>8163</v>
      </c>
      <c r="H2176" s="115" t="s">
        <v>402</v>
      </c>
      <c r="I2176" s="111" t="s">
        <v>402</v>
      </c>
      <c r="J2176" s="111" t="s">
        <v>402</v>
      </c>
      <c r="K2176" s="115" t="s">
        <v>403</v>
      </c>
      <c r="L2176" s="55" t="s">
        <v>404</v>
      </c>
      <c r="M2176" s="113" t="s">
        <v>8607</v>
      </c>
    </row>
    <row r="2177" spans="1:13">
      <c r="A2177" s="408" t="s">
        <v>5603</v>
      </c>
      <c r="B2177" s="106" t="s">
        <v>327</v>
      </c>
      <c r="C2177" s="106" t="s">
        <v>473</v>
      </c>
      <c r="D2177" s="107" t="s">
        <v>5604</v>
      </c>
      <c r="E2177" s="109" t="s">
        <v>355</v>
      </c>
      <c r="F2177" s="109" t="s">
        <v>355</v>
      </c>
      <c r="G2177" s="55" t="s">
        <v>355</v>
      </c>
      <c r="H2177" s="108" t="s">
        <v>402</v>
      </c>
      <c r="I2177" s="111" t="s">
        <v>402</v>
      </c>
      <c r="J2177" s="111" t="s">
        <v>402</v>
      </c>
      <c r="K2177" s="106" t="s">
        <v>403</v>
      </c>
      <c r="L2177" s="55" t="s">
        <v>404</v>
      </c>
      <c r="M2177" s="55" t="s">
        <v>7634</v>
      </c>
    </row>
    <row r="2178" spans="1:13">
      <c r="A2178" s="408" t="s">
        <v>5605</v>
      </c>
      <c r="B2178" s="106" t="s">
        <v>327</v>
      </c>
      <c r="C2178" s="106" t="s">
        <v>473</v>
      </c>
      <c r="D2178" s="107" t="s">
        <v>5606</v>
      </c>
      <c r="E2178" s="109" t="s">
        <v>355</v>
      </c>
      <c r="F2178" s="109" t="s">
        <v>355</v>
      </c>
      <c r="G2178" s="55" t="s">
        <v>355</v>
      </c>
      <c r="H2178" s="108" t="s">
        <v>402</v>
      </c>
      <c r="I2178" s="111" t="s">
        <v>402</v>
      </c>
      <c r="J2178" s="111" t="s">
        <v>402</v>
      </c>
      <c r="K2178" s="106" t="s">
        <v>403</v>
      </c>
      <c r="L2178" s="55" t="s">
        <v>404</v>
      </c>
      <c r="M2178" s="55" t="s">
        <v>7634</v>
      </c>
    </row>
    <row r="2179" spans="1:13">
      <c r="A2179" s="401" t="s">
        <v>5607</v>
      </c>
      <c r="B2179" s="106" t="s">
        <v>1059</v>
      </c>
      <c r="C2179" s="106" t="s">
        <v>473</v>
      </c>
      <c r="D2179" s="109"/>
      <c r="E2179" s="109" t="s">
        <v>1748</v>
      </c>
      <c r="F2179" s="109" t="s">
        <v>5608</v>
      </c>
      <c r="G2179" s="114"/>
      <c r="H2179" s="115" t="s">
        <v>402</v>
      </c>
      <c r="I2179" s="111" t="s">
        <v>402</v>
      </c>
      <c r="J2179" s="111" t="s">
        <v>402</v>
      </c>
      <c r="K2179" s="106" t="s">
        <v>403</v>
      </c>
      <c r="L2179" s="55" t="s">
        <v>3240</v>
      </c>
      <c r="M2179" s="113" t="s">
        <v>1173</v>
      </c>
    </row>
    <row r="2180" spans="1:13">
      <c r="A2180" s="408" t="s">
        <v>5609</v>
      </c>
      <c r="B2180" s="106" t="s">
        <v>327</v>
      </c>
      <c r="C2180" s="106" t="s">
        <v>473</v>
      </c>
      <c r="D2180" s="107" t="s">
        <v>5610</v>
      </c>
      <c r="E2180" s="109" t="s">
        <v>355</v>
      </c>
      <c r="F2180" s="109" t="s">
        <v>355</v>
      </c>
      <c r="G2180" s="55" t="s">
        <v>355</v>
      </c>
      <c r="H2180" s="108" t="s">
        <v>402</v>
      </c>
      <c r="I2180" s="111" t="s">
        <v>402</v>
      </c>
      <c r="J2180" s="111" t="s">
        <v>402</v>
      </c>
      <c r="K2180" s="106" t="s">
        <v>403</v>
      </c>
      <c r="L2180" s="55" t="s">
        <v>404</v>
      </c>
      <c r="M2180" s="55" t="s">
        <v>7634</v>
      </c>
    </row>
    <row r="2181" spans="1:13">
      <c r="A2181" s="408" t="s">
        <v>5611</v>
      </c>
      <c r="B2181" s="106" t="s">
        <v>327</v>
      </c>
      <c r="C2181" s="106" t="s">
        <v>473</v>
      </c>
      <c r="D2181" s="107" t="s">
        <v>5612</v>
      </c>
      <c r="E2181" s="109" t="s">
        <v>355</v>
      </c>
      <c r="F2181" s="109" t="s">
        <v>355</v>
      </c>
      <c r="G2181" s="55" t="s">
        <v>355</v>
      </c>
      <c r="H2181" s="108" t="s">
        <v>402</v>
      </c>
      <c r="I2181" s="111" t="s">
        <v>402</v>
      </c>
      <c r="J2181" s="111" t="s">
        <v>402</v>
      </c>
      <c r="K2181" s="106" t="s">
        <v>403</v>
      </c>
      <c r="L2181" s="55" t="s">
        <v>404</v>
      </c>
      <c r="M2181" s="55" t="s">
        <v>7634</v>
      </c>
    </row>
    <row r="2182" spans="1:13">
      <c r="A2182" s="408" t="s">
        <v>5613</v>
      </c>
      <c r="B2182" s="106" t="s">
        <v>327</v>
      </c>
      <c r="C2182" s="106" t="s">
        <v>473</v>
      </c>
      <c r="D2182" s="107" t="s">
        <v>5614</v>
      </c>
      <c r="E2182" s="109" t="s">
        <v>355</v>
      </c>
      <c r="F2182" s="109" t="s">
        <v>355</v>
      </c>
      <c r="G2182" s="55" t="s">
        <v>355</v>
      </c>
      <c r="H2182" s="108" t="s">
        <v>402</v>
      </c>
      <c r="I2182" s="111" t="s">
        <v>402</v>
      </c>
      <c r="J2182" s="111" t="s">
        <v>402</v>
      </c>
      <c r="K2182" s="106" t="s">
        <v>403</v>
      </c>
      <c r="L2182" s="55" t="s">
        <v>404</v>
      </c>
      <c r="M2182" s="55" t="s">
        <v>7634</v>
      </c>
    </row>
    <row r="2183" spans="1:13">
      <c r="A2183" s="408" t="s">
        <v>5615</v>
      </c>
      <c r="B2183" s="106" t="s">
        <v>327</v>
      </c>
      <c r="C2183" s="106" t="s">
        <v>473</v>
      </c>
      <c r="D2183" s="107" t="s">
        <v>5616</v>
      </c>
      <c r="E2183" s="109" t="s">
        <v>355</v>
      </c>
      <c r="F2183" s="109" t="s">
        <v>355</v>
      </c>
      <c r="G2183" s="55" t="s">
        <v>355</v>
      </c>
      <c r="H2183" s="108" t="s">
        <v>402</v>
      </c>
      <c r="I2183" s="111" t="s">
        <v>402</v>
      </c>
      <c r="J2183" s="111" t="s">
        <v>402</v>
      </c>
      <c r="K2183" s="106" t="s">
        <v>403</v>
      </c>
      <c r="L2183" s="55" t="s">
        <v>404</v>
      </c>
      <c r="M2183" s="55" t="s">
        <v>7634</v>
      </c>
    </row>
    <row r="2184" spans="1:13">
      <c r="A2184" s="408" t="s">
        <v>5617</v>
      </c>
      <c r="B2184" s="106" t="s">
        <v>327</v>
      </c>
      <c r="C2184" s="106" t="s">
        <v>473</v>
      </c>
      <c r="D2184" s="107" t="s">
        <v>5618</v>
      </c>
      <c r="E2184" s="109" t="s">
        <v>355</v>
      </c>
      <c r="F2184" s="109" t="s">
        <v>355</v>
      </c>
      <c r="G2184" s="55" t="s">
        <v>355</v>
      </c>
      <c r="H2184" s="108" t="s">
        <v>402</v>
      </c>
      <c r="I2184" s="111" t="s">
        <v>402</v>
      </c>
      <c r="J2184" s="111" t="s">
        <v>402</v>
      </c>
      <c r="K2184" s="106" t="s">
        <v>403</v>
      </c>
      <c r="L2184" s="55" t="s">
        <v>404</v>
      </c>
      <c r="M2184" s="55" t="s">
        <v>7634</v>
      </c>
    </row>
    <row r="2185" spans="1:13">
      <c r="A2185" s="408" t="s">
        <v>5619</v>
      </c>
      <c r="B2185" s="106" t="s">
        <v>327</v>
      </c>
      <c r="C2185" s="106" t="s">
        <v>473</v>
      </c>
      <c r="D2185" s="107" t="s">
        <v>5620</v>
      </c>
      <c r="E2185" s="109" t="s">
        <v>355</v>
      </c>
      <c r="F2185" s="109" t="s">
        <v>355</v>
      </c>
      <c r="G2185" s="55" t="s">
        <v>355</v>
      </c>
      <c r="H2185" s="108" t="s">
        <v>402</v>
      </c>
      <c r="I2185" s="111" t="s">
        <v>402</v>
      </c>
      <c r="J2185" s="111" t="s">
        <v>402</v>
      </c>
      <c r="K2185" s="106" t="s">
        <v>403</v>
      </c>
      <c r="L2185" s="55" t="s">
        <v>404</v>
      </c>
      <c r="M2185" s="55" t="s">
        <v>7634</v>
      </c>
    </row>
    <row r="2186" spans="1:13">
      <c r="A2186" s="408" t="s">
        <v>5621</v>
      </c>
      <c r="B2186" s="106" t="s">
        <v>327</v>
      </c>
      <c r="C2186" s="106" t="s">
        <v>473</v>
      </c>
      <c r="D2186" s="107" t="s">
        <v>5622</v>
      </c>
      <c r="E2186" s="109" t="s">
        <v>355</v>
      </c>
      <c r="F2186" s="109" t="s">
        <v>355</v>
      </c>
      <c r="G2186" s="55" t="s">
        <v>355</v>
      </c>
      <c r="H2186" s="108" t="s">
        <v>402</v>
      </c>
      <c r="I2186" s="111" t="s">
        <v>402</v>
      </c>
      <c r="J2186" s="111" t="s">
        <v>402</v>
      </c>
      <c r="K2186" s="106" t="s">
        <v>403</v>
      </c>
      <c r="L2186" s="55" t="s">
        <v>404</v>
      </c>
      <c r="M2186" s="55" t="s">
        <v>7634</v>
      </c>
    </row>
    <row r="2187" spans="1:13">
      <c r="A2187" s="408" t="s">
        <v>5623</v>
      </c>
      <c r="B2187" s="106" t="s">
        <v>327</v>
      </c>
      <c r="C2187" s="106" t="s">
        <v>473</v>
      </c>
      <c r="D2187" s="107" t="s">
        <v>5624</v>
      </c>
      <c r="E2187" s="109" t="s">
        <v>355</v>
      </c>
      <c r="F2187" s="109" t="s">
        <v>355</v>
      </c>
      <c r="G2187" s="55" t="s">
        <v>355</v>
      </c>
      <c r="H2187" s="108" t="s">
        <v>402</v>
      </c>
      <c r="I2187" s="111" t="s">
        <v>402</v>
      </c>
      <c r="J2187" s="111" t="s">
        <v>402</v>
      </c>
      <c r="K2187" s="106" t="s">
        <v>403</v>
      </c>
      <c r="L2187" s="55" t="s">
        <v>404</v>
      </c>
      <c r="M2187" s="55" t="s">
        <v>7634</v>
      </c>
    </row>
    <row r="2188" spans="1:13">
      <c r="A2188" s="408" t="s">
        <v>5625</v>
      </c>
      <c r="B2188" s="106" t="s">
        <v>327</v>
      </c>
      <c r="C2188" s="106" t="s">
        <v>473</v>
      </c>
      <c r="D2188" s="107" t="s">
        <v>5624</v>
      </c>
      <c r="E2188" s="109" t="s">
        <v>355</v>
      </c>
      <c r="F2188" s="109" t="s">
        <v>355</v>
      </c>
      <c r="G2188" s="55" t="s">
        <v>355</v>
      </c>
      <c r="H2188" s="108" t="s">
        <v>402</v>
      </c>
      <c r="I2188" s="111" t="s">
        <v>402</v>
      </c>
      <c r="J2188" s="111" t="s">
        <v>402</v>
      </c>
      <c r="K2188" s="106" t="s">
        <v>403</v>
      </c>
      <c r="L2188" s="55" t="s">
        <v>404</v>
      </c>
      <c r="M2188" s="55" t="s">
        <v>7634</v>
      </c>
    </row>
    <row r="2189" spans="1:13">
      <c r="A2189" s="408" t="s">
        <v>5626</v>
      </c>
      <c r="B2189" s="106" t="s">
        <v>327</v>
      </c>
      <c r="C2189" s="106" t="s">
        <v>473</v>
      </c>
      <c r="D2189" s="107" t="s">
        <v>5627</v>
      </c>
      <c r="E2189" s="109" t="s">
        <v>355</v>
      </c>
      <c r="F2189" s="109" t="s">
        <v>355</v>
      </c>
      <c r="G2189" s="55" t="s">
        <v>355</v>
      </c>
      <c r="H2189" s="108" t="s">
        <v>402</v>
      </c>
      <c r="I2189" s="111" t="s">
        <v>402</v>
      </c>
      <c r="J2189" s="111" t="s">
        <v>402</v>
      </c>
      <c r="K2189" s="106" t="s">
        <v>403</v>
      </c>
      <c r="L2189" s="55" t="s">
        <v>404</v>
      </c>
      <c r="M2189" s="55" t="s">
        <v>7634</v>
      </c>
    </row>
    <row r="2190" spans="1:13">
      <c r="A2190" s="401" t="s">
        <v>8100</v>
      </c>
      <c r="B2190" s="106" t="s">
        <v>327</v>
      </c>
      <c r="C2190" s="132" t="s">
        <v>327</v>
      </c>
      <c r="D2190" s="133" t="s">
        <v>8101</v>
      </c>
      <c r="E2190" s="133" t="s">
        <v>8102</v>
      </c>
      <c r="F2190" s="133" t="s">
        <v>8103</v>
      </c>
      <c r="G2190" s="601" t="s">
        <v>8104</v>
      </c>
      <c r="H2190" s="108" t="s">
        <v>402</v>
      </c>
      <c r="I2190" s="111" t="s">
        <v>402</v>
      </c>
      <c r="J2190" s="111" t="s">
        <v>402</v>
      </c>
      <c r="K2190" s="106" t="s">
        <v>403</v>
      </c>
      <c r="L2190" s="55" t="s">
        <v>404</v>
      </c>
      <c r="M2190" s="55" t="s">
        <v>383</v>
      </c>
    </row>
    <row r="2191" spans="1:13">
      <c r="A2191" s="408" t="s">
        <v>5628</v>
      </c>
      <c r="B2191" s="106" t="s">
        <v>327</v>
      </c>
      <c r="C2191" s="106" t="s">
        <v>473</v>
      </c>
      <c r="D2191" s="107" t="s">
        <v>5629</v>
      </c>
      <c r="E2191" s="109" t="s">
        <v>355</v>
      </c>
      <c r="F2191" s="109" t="s">
        <v>355</v>
      </c>
      <c r="G2191" s="55" t="s">
        <v>355</v>
      </c>
      <c r="H2191" s="108" t="s">
        <v>402</v>
      </c>
      <c r="I2191" s="111" t="s">
        <v>402</v>
      </c>
      <c r="J2191" s="111" t="s">
        <v>402</v>
      </c>
      <c r="K2191" s="106" t="s">
        <v>403</v>
      </c>
      <c r="L2191" s="55" t="s">
        <v>404</v>
      </c>
      <c r="M2191" s="55" t="s">
        <v>7634</v>
      </c>
    </row>
    <row r="2192" spans="1:13">
      <c r="A2192" s="401" t="s">
        <v>7048</v>
      </c>
      <c r="B2192" s="106" t="s">
        <v>613</v>
      </c>
      <c r="C2192" s="106" t="s">
        <v>473</v>
      </c>
      <c r="D2192" s="107" t="s">
        <v>7049</v>
      </c>
      <c r="E2192" s="107" t="s">
        <v>7050</v>
      </c>
      <c r="F2192" s="107" t="s">
        <v>355</v>
      </c>
      <c r="G2192" s="108" t="s">
        <v>355</v>
      </c>
      <c r="H2192" s="108" t="s">
        <v>402</v>
      </c>
      <c r="I2192" s="111" t="s">
        <v>402</v>
      </c>
      <c r="J2192" s="111" t="s">
        <v>402</v>
      </c>
      <c r="K2192" s="115" t="s">
        <v>403</v>
      </c>
      <c r="L2192" s="55" t="s">
        <v>404</v>
      </c>
      <c r="M2192" s="55" t="s">
        <v>7634</v>
      </c>
    </row>
    <row r="2193" spans="1:13">
      <c r="A2193" s="401" t="s">
        <v>5630</v>
      </c>
      <c r="B2193" s="106" t="s">
        <v>327</v>
      </c>
      <c r="C2193" s="106" t="s">
        <v>473</v>
      </c>
      <c r="D2193" s="109" t="s">
        <v>5631</v>
      </c>
      <c r="E2193" s="109" t="s">
        <v>5632</v>
      </c>
      <c r="F2193" s="109" t="s">
        <v>5633</v>
      </c>
      <c r="G2193" s="112" t="s">
        <v>5634</v>
      </c>
      <c r="H2193" s="115" t="s">
        <v>402</v>
      </c>
      <c r="I2193" s="111" t="s">
        <v>402</v>
      </c>
      <c r="J2193" s="111" t="s">
        <v>402</v>
      </c>
      <c r="K2193" s="106" t="s">
        <v>592</v>
      </c>
      <c r="L2193" s="55" t="s">
        <v>404</v>
      </c>
      <c r="M2193" s="55" t="s">
        <v>383</v>
      </c>
    </row>
    <row r="2194" spans="1:13">
      <c r="A2194" s="408" t="s">
        <v>5635</v>
      </c>
      <c r="B2194" s="106" t="s">
        <v>327</v>
      </c>
      <c r="C2194" s="106" t="s">
        <v>473</v>
      </c>
      <c r="D2194" s="107" t="s">
        <v>5636</v>
      </c>
      <c r="E2194" s="109" t="s">
        <v>355</v>
      </c>
      <c r="F2194" s="109" t="s">
        <v>355</v>
      </c>
      <c r="G2194" s="55" t="s">
        <v>355</v>
      </c>
      <c r="H2194" s="108" t="s">
        <v>402</v>
      </c>
      <c r="I2194" s="111" t="s">
        <v>402</v>
      </c>
      <c r="J2194" s="111" t="s">
        <v>402</v>
      </c>
      <c r="K2194" s="106" t="s">
        <v>403</v>
      </c>
      <c r="L2194" s="55" t="s">
        <v>404</v>
      </c>
      <c r="M2194" s="55" t="s">
        <v>7634</v>
      </c>
    </row>
    <row r="2195" spans="1:13">
      <c r="A2195" s="408" t="s">
        <v>5637</v>
      </c>
      <c r="B2195" s="106" t="s">
        <v>327</v>
      </c>
      <c r="C2195" s="106" t="s">
        <v>473</v>
      </c>
      <c r="D2195" s="107" t="s">
        <v>5638</v>
      </c>
      <c r="E2195" s="109" t="s">
        <v>355</v>
      </c>
      <c r="F2195" s="109" t="s">
        <v>355</v>
      </c>
      <c r="G2195" s="55" t="s">
        <v>355</v>
      </c>
      <c r="H2195" s="108" t="s">
        <v>402</v>
      </c>
      <c r="I2195" s="111" t="s">
        <v>402</v>
      </c>
      <c r="J2195" s="111" t="s">
        <v>402</v>
      </c>
      <c r="K2195" s="106" t="s">
        <v>403</v>
      </c>
      <c r="L2195" s="55" t="s">
        <v>404</v>
      </c>
      <c r="M2195" s="55" t="s">
        <v>7634</v>
      </c>
    </row>
    <row r="2196" spans="1:13">
      <c r="A2196" s="408" t="s">
        <v>5639</v>
      </c>
      <c r="B2196" s="106" t="s">
        <v>327</v>
      </c>
      <c r="C2196" s="106" t="s">
        <v>473</v>
      </c>
      <c r="D2196" s="107" t="s">
        <v>5640</v>
      </c>
      <c r="E2196" s="109" t="s">
        <v>355</v>
      </c>
      <c r="F2196" s="109" t="s">
        <v>355</v>
      </c>
      <c r="G2196" s="55" t="s">
        <v>355</v>
      </c>
      <c r="H2196" s="108" t="s">
        <v>402</v>
      </c>
      <c r="I2196" s="111" t="s">
        <v>402</v>
      </c>
      <c r="J2196" s="111" t="s">
        <v>402</v>
      </c>
      <c r="K2196" s="106" t="s">
        <v>403</v>
      </c>
      <c r="L2196" s="55" t="s">
        <v>404</v>
      </c>
      <c r="M2196" s="55" t="s">
        <v>7634</v>
      </c>
    </row>
    <row r="2197" spans="1:13">
      <c r="A2197" s="408" t="s">
        <v>5641</v>
      </c>
      <c r="B2197" s="106" t="s">
        <v>327</v>
      </c>
      <c r="C2197" s="106" t="s">
        <v>473</v>
      </c>
      <c r="D2197" s="107" t="s">
        <v>5642</v>
      </c>
      <c r="E2197" s="109" t="s">
        <v>355</v>
      </c>
      <c r="F2197" s="109" t="s">
        <v>355</v>
      </c>
      <c r="G2197" s="55" t="s">
        <v>355</v>
      </c>
      <c r="H2197" s="108" t="s">
        <v>402</v>
      </c>
      <c r="I2197" s="111" t="s">
        <v>402</v>
      </c>
      <c r="J2197" s="111" t="s">
        <v>402</v>
      </c>
      <c r="K2197" s="106" t="s">
        <v>403</v>
      </c>
      <c r="L2197" s="55" t="s">
        <v>404</v>
      </c>
      <c r="M2197" s="55" t="s">
        <v>7634</v>
      </c>
    </row>
    <row r="2198" spans="1:13">
      <c r="A2198" s="408" t="s">
        <v>5643</v>
      </c>
      <c r="B2198" s="106" t="s">
        <v>327</v>
      </c>
      <c r="C2198" s="106" t="s">
        <v>473</v>
      </c>
      <c r="D2198" s="107" t="s">
        <v>5644</v>
      </c>
      <c r="E2198" s="109" t="s">
        <v>355</v>
      </c>
      <c r="F2198" s="109" t="s">
        <v>355</v>
      </c>
      <c r="G2198" s="55" t="s">
        <v>355</v>
      </c>
      <c r="H2198" s="108" t="s">
        <v>402</v>
      </c>
      <c r="I2198" s="111" t="s">
        <v>402</v>
      </c>
      <c r="J2198" s="111" t="s">
        <v>402</v>
      </c>
      <c r="K2198" s="106" t="s">
        <v>403</v>
      </c>
      <c r="L2198" s="55" t="s">
        <v>404</v>
      </c>
      <c r="M2198" s="55" t="s">
        <v>7634</v>
      </c>
    </row>
    <row r="2199" spans="1:13">
      <c r="A2199" s="408" t="s">
        <v>5645</v>
      </c>
      <c r="B2199" s="106" t="s">
        <v>327</v>
      </c>
      <c r="C2199" s="106" t="s">
        <v>473</v>
      </c>
      <c r="D2199" s="107" t="s">
        <v>5646</v>
      </c>
      <c r="E2199" s="109" t="s">
        <v>355</v>
      </c>
      <c r="F2199" s="109" t="s">
        <v>355</v>
      </c>
      <c r="G2199" s="55" t="s">
        <v>355</v>
      </c>
      <c r="H2199" s="108" t="s">
        <v>402</v>
      </c>
      <c r="I2199" s="111" t="s">
        <v>402</v>
      </c>
      <c r="J2199" s="111" t="s">
        <v>402</v>
      </c>
      <c r="K2199" s="106" t="s">
        <v>403</v>
      </c>
      <c r="L2199" s="55" t="s">
        <v>404</v>
      </c>
      <c r="M2199" s="55" t="s">
        <v>383</v>
      </c>
    </row>
    <row r="2200" spans="1:13">
      <c r="A2200" s="578" t="s">
        <v>5647</v>
      </c>
      <c r="B2200" s="586" t="s">
        <v>473</v>
      </c>
      <c r="C2200" s="586" t="s">
        <v>473</v>
      </c>
      <c r="D2200" s="586" t="s">
        <v>377</v>
      </c>
      <c r="E2200" s="586" t="s">
        <v>377</v>
      </c>
      <c r="F2200" s="586" t="s">
        <v>377</v>
      </c>
      <c r="G2200" s="586" t="s">
        <v>377</v>
      </c>
      <c r="H2200" s="586" t="s">
        <v>359</v>
      </c>
      <c r="I2200" s="587" t="s">
        <v>359</v>
      </c>
      <c r="J2200" s="586"/>
      <c r="K2200" s="586"/>
      <c r="L2200" s="586" t="s">
        <v>361</v>
      </c>
      <c r="M2200" s="55" t="s">
        <v>7634</v>
      </c>
    </row>
    <row r="2201" spans="1:13">
      <c r="A2201" s="408" t="s">
        <v>5648</v>
      </c>
      <c r="B2201" s="106" t="s">
        <v>327</v>
      </c>
      <c r="C2201" s="106" t="s">
        <v>473</v>
      </c>
      <c r="D2201" s="107" t="s">
        <v>5649</v>
      </c>
      <c r="E2201" s="109" t="s">
        <v>355</v>
      </c>
      <c r="F2201" s="109" t="s">
        <v>355</v>
      </c>
      <c r="G2201" s="55" t="s">
        <v>355</v>
      </c>
      <c r="H2201" s="108" t="s">
        <v>402</v>
      </c>
      <c r="I2201" s="111" t="s">
        <v>402</v>
      </c>
      <c r="J2201" s="111" t="s">
        <v>402</v>
      </c>
      <c r="K2201" s="106" t="s">
        <v>403</v>
      </c>
      <c r="L2201" s="55" t="s">
        <v>404</v>
      </c>
      <c r="M2201" s="55" t="s">
        <v>7634</v>
      </c>
    </row>
    <row r="2202" spans="1:13">
      <c r="A2202" s="401" t="s">
        <v>5650</v>
      </c>
      <c r="B2202" s="106" t="s">
        <v>327</v>
      </c>
      <c r="C2202" s="106" t="s">
        <v>473</v>
      </c>
      <c r="D2202" s="107" t="s">
        <v>5651</v>
      </c>
      <c r="E2202" s="107" t="s">
        <v>5652</v>
      </c>
      <c r="F2202" s="107" t="s">
        <v>5653</v>
      </c>
      <c r="G2202" s="57" t="s">
        <v>5654</v>
      </c>
      <c r="H2202" s="108" t="s">
        <v>402</v>
      </c>
      <c r="I2202" s="111" t="s">
        <v>402</v>
      </c>
      <c r="J2202" s="111" t="s">
        <v>402</v>
      </c>
      <c r="K2202" s="106" t="s">
        <v>403</v>
      </c>
      <c r="L2202" s="55" t="s">
        <v>404</v>
      </c>
      <c r="M2202" s="55" t="s">
        <v>7634</v>
      </c>
    </row>
    <row r="2203" spans="1:13">
      <c r="A2203" s="401" t="s">
        <v>5655</v>
      </c>
      <c r="B2203" s="106" t="s">
        <v>327</v>
      </c>
      <c r="C2203" s="106" t="s">
        <v>473</v>
      </c>
      <c r="D2203" s="109" t="s">
        <v>5656</v>
      </c>
      <c r="E2203" s="109" t="s">
        <v>5657</v>
      </c>
      <c r="F2203" s="109" t="s">
        <v>5658</v>
      </c>
      <c r="G2203" s="112" t="s">
        <v>5659</v>
      </c>
      <c r="H2203" s="115" t="s">
        <v>402</v>
      </c>
      <c r="I2203" s="111" t="s">
        <v>402</v>
      </c>
      <c r="J2203" s="111" t="s">
        <v>402</v>
      </c>
      <c r="K2203" s="106"/>
      <c r="L2203" s="55"/>
      <c r="M2203" s="55" t="s">
        <v>7634</v>
      </c>
    </row>
    <row r="2204" spans="1:13">
      <c r="A2204" s="408" t="s">
        <v>5660</v>
      </c>
      <c r="B2204" s="106" t="s">
        <v>327</v>
      </c>
      <c r="C2204" s="106" t="s">
        <v>473</v>
      </c>
      <c r="D2204" s="107" t="s">
        <v>5661</v>
      </c>
      <c r="E2204" s="109" t="s">
        <v>355</v>
      </c>
      <c r="F2204" s="109" t="s">
        <v>355</v>
      </c>
      <c r="G2204" s="55" t="s">
        <v>355</v>
      </c>
      <c r="H2204" s="108" t="s">
        <v>402</v>
      </c>
      <c r="I2204" s="111" t="s">
        <v>402</v>
      </c>
      <c r="J2204" s="111" t="s">
        <v>402</v>
      </c>
      <c r="K2204" s="106" t="s">
        <v>403</v>
      </c>
      <c r="L2204" s="55" t="s">
        <v>404</v>
      </c>
      <c r="M2204" s="55" t="s">
        <v>7634</v>
      </c>
    </row>
    <row r="2205" spans="1:13">
      <c r="A2205" s="408" t="s">
        <v>5662</v>
      </c>
      <c r="B2205" s="106" t="s">
        <v>327</v>
      </c>
      <c r="C2205" s="106" t="s">
        <v>473</v>
      </c>
      <c r="D2205" s="107" t="s">
        <v>5663</v>
      </c>
      <c r="E2205" s="109" t="s">
        <v>355</v>
      </c>
      <c r="F2205" s="109" t="s">
        <v>355</v>
      </c>
      <c r="G2205" s="55" t="s">
        <v>355</v>
      </c>
      <c r="H2205" s="108" t="s">
        <v>402</v>
      </c>
      <c r="I2205" s="111" t="s">
        <v>402</v>
      </c>
      <c r="J2205" s="111" t="s">
        <v>402</v>
      </c>
      <c r="K2205" s="106" t="s">
        <v>403</v>
      </c>
      <c r="L2205" s="55" t="s">
        <v>404</v>
      </c>
      <c r="M2205" s="55" t="s">
        <v>7634</v>
      </c>
    </row>
    <row r="2206" spans="1:13">
      <c r="A2206" s="401" t="s">
        <v>5664</v>
      </c>
      <c r="B2206" s="106" t="s">
        <v>327</v>
      </c>
      <c r="C2206" s="106" t="s">
        <v>473</v>
      </c>
      <c r="D2206" s="598" t="s">
        <v>5665</v>
      </c>
      <c r="E2206" s="599" t="s">
        <v>5666</v>
      </c>
      <c r="F2206" s="599" t="s">
        <v>5667</v>
      </c>
      <c r="G2206" s="589" t="s">
        <v>5668</v>
      </c>
      <c r="H2206" s="54" t="s">
        <v>358</v>
      </c>
      <c r="I2206" s="583" t="s">
        <v>359</v>
      </c>
      <c r="J2206" s="582" t="s">
        <v>359</v>
      </c>
      <c r="K2206" s="584" t="s">
        <v>360</v>
      </c>
      <c r="L2206" s="54" t="s">
        <v>361</v>
      </c>
      <c r="M2206" s="55" t="s">
        <v>7634</v>
      </c>
    </row>
    <row r="2207" spans="1:13">
      <c r="A2207" s="408" t="s">
        <v>5669</v>
      </c>
      <c r="B2207" s="106" t="s">
        <v>327</v>
      </c>
      <c r="C2207" s="106" t="s">
        <v>473</v>
      </c>
      <c r="D2207" s="107" t="s">
        <v>5670</v>
      </c>
      <c r="E2207" s="109" t="s">
        <v>355</v>
      </c>
      <c r="F2207" s="109" t="s">
        <v>355</v>
      </c>
      <c r="G2207" s="55" t="s">
        <v>355</v>
      </c>
      <c r="H2207" s="108" t="s">
        <v>402</v>
      </c>
      <c r="I2207" s="111" t="s">
        <v>402</v>
      </c>
      <c r="J2207" s="111" t="s">
        <v>402</v>
      </c>
      <c r="K2207" s="106" t="s">
        <v>403</v>
      </c>
      <c r="L2207" s="55" t="s">
        <v>404</v>
      </c>
      <c r="M2207" s="55" t="s">
        <v>7634</v>
      </c>
    </row>
    <row r="2208" spans="1:13">
      <c r="A2208" s="408" t="s">
        <v>5671</v>
      </c>
      <c r="B2208" s="106" t="s">
        <v>327</v>
      </c>
      <c r="C2208" s="106" t="s">
        <v>473</v>
      </c>
      <c r="D2208" s="107" t="s">
        <v>5672</v>
      </c>
      <c r="E2208" s="109" t="s">
        <v>355</v>
      </c>
      <c r="F2208" s="109" t="s">
        <v>355</v>
      </c>
      <c r="G2208" s="55" t="s">
        <v>355</v>
      </c>
      <c r="H2208" s="108" t="s">
        <v>402</v>
      </c>
      <c r="I2208" s="111" t="s">
        <v>402</v>
      </c>
      <c r="J2208" s="111" t="s">
        <v>402</v>
      </c>
      <c r="K2208" s="106" t="s">
        <v>403</v>
      </c>
      <c r="L2208" s="55" t="s">
        <v>404</v>
      </c>
      <c r="M2208" s="55" t="s">
        <v>7634</v>
      </c>
    </row>
    <row r="2209" spans="1:13">
      <c r="A2209" s="408" t="s">
        <v>5673</v>
      </c>
      <c r="B2209" s="106" t="s">
        <v>327</v>
      </c>
      <c r="C2209" s="106" t="s">
        <v>473</v>
      </c>
      <c r="D2209" s="107" t="s">
        <v>5670</v>
      </c>
      <c r="E2209" s="109" t="s">
        <v>355</v>
      </c>
      <c r="F2209" s="109" t="s">
        <v>355</v>
      </c>
      <c r="G2209" s="55" t="s">
        <v>355</v>
      </c>
      <c r="H2209" s="108" t="s">
        <v>402</v>
      </c>
      <c r="I2209" s="111" t="s">
        <v>402</v>
      </c>
      <c r="J2209" s="111" t="s">
        <v>402</v>
      </c>
      <c r="K2209" s="106" t="s">
        <v>403</v>
      </c>
      <c r="L2209" s="55" t="s">
        <v>404</v>
      </c>
      <c r="M2209" s="55" t="s">
        <v>7634</v>
      </c>
    </row>
    <row r="2210" spans="1:13">
      <c r="A2210" s="408" t="s">
        <v>5674</v>
      </c>
      <c r="B2210" s="106" t="s">
        <v>327</v>
      </c>
      <c r="C2210" s="106" t="s">
        <v>473</v>
      </c>
      <c r="D2210" s="107" t="s">
        <v>3270</v>
      </c>
      <c r="E2210" s="109" t="s">
        <v>355</v>
      </c>
      <c r="F2210" s="109" t="s">
        <v>355</v>
      </c>
      <c r="G2210" s="55" t="s">
        <v>355</v>
      </c>
      <c r="H2210" s="108" t="s">
        <v>402</v>
      </c>
      <c r="I2210" s="111" t="s">
        <v>402</v>
      </c>
      <c r="J2210" s="111" t="s">
        <v>402</v>
      </c>
      <c r="K2210" s="106" t="s">
        <v>403</v>
      </c>
      <c r="L2210" s="55" t="s">
        <v>404</v>
      </c>
      <c r="M2210" s="55" t="s">
        <v>7634</v>
      </c>
    </row>
    <row r="2211" spans="1:13">
      <c r="A2211" s="578" t="s">
        <v>5675</v>
      </c>
      <c r="B2211" s="586" t="s">
        <v>473</v>
      </c>
      <c r="C2211" s="586" t="s">
        <v>473</v>
      </c>
      <c r="D2211" s="586" t="s">
        <v>5676</v>
      </c>
      <c r="E2211" s="586" t="s">
        <v>5677</v>
      </c>
      <c r="F2211" s="586" t="s">
        <v>5678</v>
      </c>
      <c r="G2211" s="586" t="s">
        <v>377</v>
      </c>
      <c r="H2211" s="586" t="s">
        <v>359</v>
      </c>
      <c r="I2211" s="587" t="s">
        <v>359</v>
      </c>
      <c r="J2211" s="586"/>
      <c r="K2211" s="586" t="s">
        <v>360</v>
      </c>
      <c r="L2211" s="586" t="s">
        <v>361</v>
      </c>
      <c r="M2211" s="55" t="s">
        <v>7634</v>
      </c>
    </row>
    <row r="2212" spans="1:13">
      <c r="A2212" s="408" t="s">
        <v>5679</v>
      </c>
      <c r="B2212" s="106" t="s">
        <v>327</v>
      </c>
      <c r="C2212" s="106" t="s">
        <v>473</v>
      </c>
      <c r="D2212" s="107" t="s">
        <v>5680</v>
      </c>
      <c r="E2212" s="109" t="s">
        <v>355</v>
      </c>
      <c r="F2212" s="109" t="s">
        <v>355</v>
      </c>
      <c r="G2212" s="55" t="s">
        <v>355</v>
      </c>
      <c r="H2212" s="108" t="s">
        <v>402</v>
      </c>
      <c r="I2212" s="111" t="s">
        <v>402</v>
      </c>
      <c r="J2212" s="111" t="s">
        <v>402</v>
      </c>
      <c r="K2212" s="106" t="s">
        <v>403</v>
      </c>
      <c r="L2212" s="55" t="s">
        <v>404</v>
      </c>
      <c r="M2212" s="55" t="s">
        <v>7634</v>
      </c>
    </row>
    <row r="2213" spans="1:13">
      <c r="A2213" s="408" t="s">
        <v>5681</v>
      </c>
      <c r="B2213" s="106" t="s">
        <v>327</v>
      </c>
      <c r="C2213" s="106" t="s">
        <v>473</v>
      </c>
      <c r="D2213" s="107" t="s">
        <v>5682</v>
      </c>
      <c r="E2213" s="109" t="s">
        <v>355</v>
      </c>
      <c r="F2213" s="109" t="s">
        <v>355</v>
      </c>
      <c r="G2213" s="55" t="s">
        <v>355</v>
      </c>
      <c r="H2213" s="108" t="s">
        <v>402</v>
      </c>
      <c r="I2213" s="111" t="s">
        <v>402</v>
      </c>
      <c r="J2213" s="111" t="s">
        <v>402</v>
      </c>
      <c r="K2213" s="106" t="s">
        <v>403</v>
      </c>
      <c r="L2213" s="55" t="s">
        <v>404</v>
      </c>
      <c r="M2213" s="55" t="s">
        <v>7634</v>
      </c>
    </row>
    <row r="2214" spans="1:13">
      <c r="A2214" s="408" t="s">
        <v>5683</v>
      </c>
      <c r="B2214" s="106" t="s">
        <v>327</v>
      </c>
      <c r="C2214" s="106" t="s">
        <v>473</v>
      </c>
      <c r="D2214" s="107" t="s">
        <v>5684</v>
      </c>
      <c r="E2214" s="109" t="s">
        <v>355</v>
      </c>
      <c r="F2214" s="109" t="s">
        <v>355</v>
      </c>
      <c r="G2214" s="55" t="s">
        <v>355</v>
      </c>
      <c r="H2214" s="108" t="s">
        <v>402</v>
      </c>
      <c r="I2214" s="111" t="s">
        <v>402</v>
      </c>
      <c r="J2214" s="111" t="s">
        <v>402</v>
      </c>
      <c r="K2214" s="106" t="s">
        <v>403</v>
      </c>
      <c r="L2214" s="55" t="s">
        <v>404</v>
      </c>
      <c r="M2214" s="55" t="s">
        <v>7634</v>
      </c>
    </row>
    <row r="2215" spans="1:13">
      <c r="A2215" s="408" t="s">
        <v>5685</v>
      </c>
      <c r="B2215" s="106" t="s">
        <v>327</v>
      </c>
      <c r="C2215" s="106" t="s">
        <v>473</v>
      </c>
      <c r="D2215" s="107" t="s">
        <v>5686</v>
      </c>
      <c r="E2215" s="109" t="s">
        <v>355</v>
      </c>
      <c r="F2215" s="109" t="s">
        <v>355</v>
      </c>
      <c r="G2215" s="55" t="s">
        <v>355</v>
      </c>
      <c r="H2215" s="108" t="s">
        <v>402</v>
      </c>
      <c r="I2215" s="111" t="s">
        <v>402</v>
      </c>
      <c r="J2215" s="111" t="s">
        <v>402</v>
      </c>
      <c r="K2215" s="106" t="s">
        <v>403</v>
      </c>
      <c r="L2215" s="55" t="s">
        <v>404</v>
      </c>
      <c r="M2215" s="55" t="s">
        <v>7634</v>
      </c>
    </row>
    <row r="2216" spans="1:13">
      <c r="A2216" s="510" t="s">
        <v>235</v>
      </c>
      <c r="B2216" s="106" t="s">
        <v>327</v>
      </c>
      <c r="C2216" s="106" t="s">
        <v>473</v>
      </c>
      <c r="D2216" s="109" t="s">
        <v>5687</v>
      </c>
      <c r="E2216" s="109" t="s">
        <v>5688</v>
      </c>
      <c r="F2216" s="109" t="s">
        <v>5689</v>
      </c>
      <c r="G2216" s="112" t="s">
        <v>5690</v>
      </c>
      <c r="H2216" s="115" t="s">
        <v>402</v>
      </c>
      <c r="I2216" s="111" t="s">
        <v>402</v>
      </c>
      <c r="J2216" s="111" t="s">
        <v>402</v>
      </c>
      <c r="K2216" s="106"/>
      <c r="L2216" s="55"/>
      <c r="M2216" s="55" t="s">
        <v>5691</v>
      </c>
    </row>
    <row r="2217" spans="1:13">
      <c r="A2217" s="401" t="s">
        <v>9099</v>
      </c>
      <c r="B2217" s="106" t="s">
        <v>327</v>
      </c>
      <c r="C2217" s="132" t="s">
        <v>9100</v>
      </c>
      <c r="D2217" s="133" t="s">
        <v>9101</v>
      </c>
      <c r="E2217" s="133" t="s">
        <v>9102</v>
      </c>
      <c r="F2217" s="133" t="s">
        <v>9103</v>
      </c>
      <c r="G2217" s="601" t="s">
        <v>9104</v>
      </c>
      <c r="H2217" s="115" t="s">
        <v>402</v>
      </c>
      <c r="I2217" s="111" t="s">
        <v>402</v>
      </c>
      <c r="J2217" s="111" t="s">
        <v>402</v>
      </c>
      <c r="K2217" s="115" t="s">
        <v>403</v>
      </c>
      <c r="L2217" s="55" t="s">
        <v>404</v>
      </c>
      <c r="M2217" s="55" t="s">
        <v>383</v>
      </c>
    </row>
    <row r="2218" spans="1:13">
      <c r="A2218" s="408" t="s">
        <v>5692</v>
      </c>
      <c r="B2218" s="106" t="s">
        <v>327</v>
      </c>
      <c r="C2218" s="106" t="s">
        <v>473</v>
      </c>
      <c r="D2218" s="107" t="s">
        <v>5693</v>
      </c>
      <c r="E2218" s="109" t="s">
        <v>355</v>
      </c>
      <c r="F2218" s="109" t="s">
        <v>355</v>
      </c>
      <c r="G2218" s="55" t="s">
        <v>355</v>
      </c>
      <c r="H2218" s="108" t="s">
        <v>402</v>
      </c>
      <c r="I2218" s="111" t="s">
        <v>402</v>
      </c>
      <c r="J2218" s="111" t="s">
        <v>402</v>
      </c>
      <c r="K2218" s="106" t="s">
        <v>403</v>
      </c>
      <c r="L2218" s="55" t="s">
        <v>404</v>
      </c>
      <c r="M2218" s="55" t="s">
        <v>7634</v>
      </c>
    </row>
    <row r="2219" spans="1:13">
      <c r="A2219" s="408" t="s">
        <v>5694</v>
      </c>
      <c r="B2219" s="106" t="s">
        <v>327</v>
      </c>
      <c r="C2219" s="106" t="s">
        <v>473</v>
      </c>
      <c r="D2219" s="107" t="s">
        <v>5695</v>
      </c>
      <c r="E2219" s="109" t="s">
        <v>355</v>
      </c>
      <c r="F2219" s="109" t="s">
        <v>355</v>
      </c>
      <c r="G2219" s="55" t="s">
        <v>355</v>
      </c>
      <c r="H2219" s="108" t="s">
        <v>402</v>
      </c>
      <c r="I2219" s="111" t="s">
        <v>402</v>
      </c>
      <c r="J2219" s="111" t="s">
        <v>402</v>
      </c>
      <c r="K2219" s="106" t="s">
        <v>403</v>
      </c>
      <c r="L2219" s="55" t="s">
        <v>404</v>
      </c>
      <c r="M2219" s="55" t="s">
        <v>7634</v>
      </c>
    </row>
    <row r="2220" spans="1:13">
      <c r="A2220" s="408" t="s">
        <v>5696</v>
      </c>
      <c r="B2220" s="106" t="s">
        <v>327</v>
      </c>
      <c r="C2220" s="106" t="s">
        <v>473</v>
      </c>
      <c r="D2220" s="107" t="s">
        <v>5697</v>
      </c>
      <c r="E2220" s="109" t="s">
        <v>355</v>
      </c>
      <c r="F2220" s="109" t="s">
        <v>355</v>
      </c>
      <c r="G2220" s="55" t="s">
        <v>355</v>
      </c>
      <c r="H2220" s="108" t="s">
        <v>402</v>
      </c>
      <c r="I2220" s="111" t="s">
        <v>402</v>
      </c>
      <c r="J2220" s="111" t="s">
        <v>402</v>
      </c>
      <c r="K2220" s="106" t="s">
        <v>403</v>
      </c>
      <c r="L2220" s="55" t="s">
        <v>404</v>
      </c>
      <c r="M2220" s="55" t="s">
        <v>7634</v>
      </c>
    </row>
    <row r="2221" spans="1:13">
      <c r="A2221" s="408" t="s">
        <v>5698</v>
      </c>
      <c r="B2221" s="106" t="s">
        <v>327</v>
      </c>
      <c r="C2221" s="106" t="s">
        <v>473</v>
      </c>
      <c r="D2221" s="107" t="s">
        <v>5699</v>
      </c>
      <c r="E2221" s="109" t="s">
        <v>355</v>
      </c>
      <c r="F2221" s="109" t="s">
        <v>355</v>
      </c>
      <c r="G2221" s="55" t="s">
        <v>355</v>
      </c>
      <c r="H2221" s="108" t="s">
        <v>402</v>
      </c>
      <c r="I2221" s="111" t="s">
        <v>402</v>
      </c>
      <c r="J2221" s="111" t="s">
        <v>402</v>
      </c>
      <c r="K2221" s="106" t="s">
        <v>403</v>
      </c>
      <c r="L2221" s="55" t="s">
        <v>404</v>
      </c>
      <c r="M2221" s="55" t="s">
        <v>7634</v>
      </c>
    </row>
    <row r="2222" spans="1:13">
      <c r="A2222" s="408" t="s">
        <v>5700</v>
      </c>
      <c r="B2222" s="106" t="s">
        <v>327</v>
      </c>
      <c r="C2222" s="106" t="s">
        <v>473</v>
      </c>
      <c r="D2222" s="107" t="s">
        <v>1675</v>
      </c>
      <c r="E2222" s="109" t="s">
        <v>355</v>
      </c>
      <c r="F2222" s="109" t="s">
        <v>355</v>
      </c>
      <c r="G2222" s="55" t="s">
        <v>355</v>
      </c>
      <c r="H2222" s="108" t="s">
        <v>402</v>
      </c>
      <c r="I2222" s="111" t="s">
        <v>402</v>
      </c>
      <c r="J2222" s="111" t="s">
        <v>402</v>
      </c>
      <c r="K2222" s="106" t="s">
        <v>403</v>
      </c>
      <c r="L2222" s="55" t="s">
        <v>404</v>
      </c>
      <c r="M2222" s="55" t="s">
        <v>7634</v>
      </c>
    </row>
    <row r="2223" spans="1:13">
      <c r="A2223" s="408" t="s">
        <v>5701</v>
      </c>
      <c r="B2223" s="106" t="s">
        <v>327</v>
      </c>
      <c r="C2223" s="106" t="s">
        <v>473</v>
      </c>
      <c r="D2223" s="107" t="s">
        <v>1675</v>
      </c>
      <c r="E2223" s="109" t="s">
        <v>355</v>
      </c>
      <c r="F2223" s="109" t="s">
        <v>355</v>
      </c>
      <c r="G2223" s="55" t="s">
        <v>355</v>
      </c>
      <c r="H2223" s="108" t="s">
        <v>402</v>
      </c>
      <c r="I2223" s="111" t="s">
        <v>402</v>
      </c>
      <c r="J2223" s="111" t="s">
        <v>402</v>
      </c>
      <c r="K2223" s="106" t="s">
        <v>403</v>
      </c>
      <c r="L2223" s="55" t="s">
        <v>404</v>
      </c>
      <c r="M2223" s="55" t="s">
        <v>7634</v>
      </c>
    </row>
    <row r="2224" spans="1:13">
      <c r="A2224" s="408" t="s">
        <v>5702</v>
      </c>
      <c r="B2224" s="106" t="s">
        <v>327</v>
      </c>
      <c r="C2224" s="106" t="s">
        <v>473</v>
      </c>
      <c r="D2224" s="107" t="s">
        <v>5703</v>
      </c>
      <c r="E2224" s="109" t="s">
        <v>355</v>
      </c>
      <c r="F2224" s="109" t="s">
        <v>355</v>
      </c>
      <c r="G2224" s="55" t="s">
        <v>355</v>
      </c>
      <c r="H2224" s="108" t="s">
        <v>402</v>
      </c>
      <c r="I2224" s="111" t="s">
        <v>402</v>
      </c>
      <c r="J2224" s="111" t="s">
        <v>402</v>
      </c>
      <c r="K2224" s="106" t="s">
        <v>403</v>
      </c>
      <c r="L2224" s="55" t="s">
        <v>404</v>
      </c>
      <c r="M2224" s="55" t="s">
        <v>7634</v>
      </c>
    </row>
    <row r="2225" spans="1:13">
      <c r="A2225" s="408" t="s">
        <v>5704</v>
      </c>
      <c r="B2225" s="106" t="s">
        <v>327</v>
      </c>
      <c r="C2225" s="106" t="s">
        <v>473</v>
      </c>
      <c r="D2225" s="107" t="s">
        <v>5705</v>
      </c>
      <c r="E2225" s="109" t="s">
        <v>355</v>
      </c>
      <c r="F2225" s="109" t="s">
        <v>355</v>
      </c>
      <c r="G2225" s="55" t="s">
        <v>355</v>
      </c>
      <c r="H2225" s="108" t="s">
        <v>402</v>
      </c>
      <c r="I2225" s="111" t="s">
        <v>402</v>
      </c>
      <c r="J2225" s="111" t="s">
        <v>402</v>
      </c>
      <c r="K2225" s="106" t="s">
        <v>403</v>
      </c>
      <c r="L2225" s="55" t="s">
        <v>404</v>
      </c>
      <c r="M2225" s="55" t="s">
        <v>7634</v>
      </c>
    </row>
    <row r="2226" spans="1:13">
      <c r="A2226" s="408" t="s">
        <v>5706</v>
      </c>
      <c r="B2226" s="106" t="s">
        <v>327</v>
      </c>
      <c r="C2226" s="106" t="s">
        <v>473</v>
      </c>
      <c r="D2226" s="107" t="s">
        <v>5707</v>
      </c>
      <c r="E2226" s="109" t="s">
        <v>355</v>
      </c>
      <c r="F2226" s="109" t="s">
        <v>355</v>
      </c>
      <c r="G2226" s="55" t="s">
        <v>355</v>
      </c>
      <c r="H2226" s="108" t="s">
        <v>402</v>
      </c>
      <c r="I2226" s="111" t="s">
        <v>402</v>
      </c>
      <c r="J2226" s="111" t="s">
        <v>402</v>
      </c>
      <c r="K2226" s="106" t="s">
        <v>403</v>
      </c>
      <c r="L2226" s="55" t="s">
        <v>404</v>
      </c>
      <c r="M2226" s="55" t="s">
        <v>7634</v>
      </c>
    </row>
    <row r="2227" spans="1:13">
      <c r="A2227" s="408" t="s">
        <v>5708</v>
      </c>
      <c r="B2227" s="106" t="s">
        <v>327</v>
      </c>
      <c r="C2227" s="106" t="s">
        <v>473</v>
      </c>
      <c r="D2227" s="107" t="s">
        <v>5709</v>
      </c>
      <c r="E2227" s="109" t="s">
        <v>355</v>
      </c>
      <c r="F2227" s="109" t="s">
        <v>355</v>
      </c>
      <c r="G2227" s="55" t="s">
        <v>355</v>
      </c>
      <c r="H2227" s="108" t="s">
        <v>402</v>
      </c>
      <c r="I2227" s="111" t="s">
        <v>402</v>
      </c>
      <c r="J2227" s="111" t="s">
        <v>402</v>
      </c>
      <c r="K2227" s="106" t="s">
        <v>403</v>
      </c>
      <c r="L2227" s="55" t="s">
        <v>404</v>
      </c>
      <c r="M2227" s="55" t="s">
        <v>7634</v>
      </c>
    </row>
    <row r="2228" spans="1:13">
      <c r="A2228" s="408" t="s">
        <v>5710</v>
      </c>
      <c r="B2228" s="106" t="s">
        <v>327</v>
      </c>
      <c r="C2228" s="106" t="s">
        <v>473</v>
      </c>
      <c r="D2228" s="107" t="s">
        <v>5711</v>
      </c>
      <c r="E2228" s="109" t="s">
        <v>355</v>
      </c>
      <c r="F2228" s="109" t="s">
        <v>355</v>
      </c>
      <c r="G2228" s="55" t="s">
        <v>355</v>
      </c>
      <c r="H2228" s="108" t="s">
        <v>402</v>
      </c>
      <c r="I2228" s="111" t="s">
        <v>402</v>
      </c>
      <c r="J2228" s="111" t="s">
        <v>402</v>
      </c>
      <c r="K2228" s="106" t="s">
        <v>403</v>
      </c>
      <c r="L2228" s="55" t="s">
        <v>404</v>
      </c>
      <c r="M2228" s="55" t="s">
        <v>7634</v>
      </c>
    </row>
    <row r="2229" spans="1:13">
      <c r="A2229" s="408" t="s">
        <v>5712</v>
      </c>
      <c r="B2229" s="106" t="s">
        <v>327</v>
      </c>
      <c r="C2229" s="106" t="s">
        <v>473</v>
      </c>
      <c r="D2229" s="107" t="s">
        <v>5713</v>
      </c>
      <c r="E2229" s="109" t="s">
        <v>355</v>
      </c>
      <c r="F2229" s="109" t="s">
        <v>355</v>
      </c>
      <c r="G2229" s="55" t="s">
        <v>355</v>
      </c>
      <c r="H2229" s="108" t="s">
        <v>402</v>
      </c>
      <c r="I2229" s="111" t="s">
        <v>402</v>
      </c>
      <c r="J2229" s="111" t="s">
        <v>402</v>
      </c>
      <c r="K2229" s="106" t="s">
        <v>403</v>
      </c>
      <c r="L2229" s="55" t="s">
        <v>404</v>
      </c>
      <c r="M2229" s="55" t="s">
        <v>7634</v>
      </c>
    </row>
    <row r="2230" spans="1:13">
      <c r="A2230" s="408" t="s">
        <v>5714</v>
      </c>
      <c r="B2230" s="106" t="s">
        <v>327</v>
      </c>
      <c r="C2230" s="106" t="s">
        <v>473</v>
      </c>
      <c r="D2230" s="107" t="s">
        <v>5715</v>
      </c>
      <c r="E2230" s="109" t="s">
        <v>355</v>
      </c>
      <c r="F2230" s="109" t="s">
        <v>355</v>
      </c>
      <c r="G2230" s="55" t="s">
        <v>355</v>
      </c>
      <c r="H2230" s="108" t="s">
        <v>402</v>
      </c>
      <c r="I2230" s="111" t="s">
        <v>402</v>
      </c>
      <c r="J2230" s="111" t="s">
        <v>402</v>
      </c>
      <c r="K2230" s="106" t="s">
        <v>403</v>
      </c>
      <c r="L2230" s="55" t="s">
        <v>404</v>
      </c>
      <c r="M2230" s="55" t="s">
        <v>7634</v>
      </c>
    </row>
    <row r="2231" spans="1:13">
      <c r="A2231" s="408" t="s">
        <v>5716</v>
      </c>
      <c r="B2231" s="106" t="s">
        <v>327</v>
      </c>
      <c r="C2231" s="106" t="s">
        <v>473</v>
      </c>
      <c r="D2231" s="107" t="s">
        <v>5717</v>
      </c>
      <c r="E2231" s="109" t="s">
        <v>355</v>
      </c>
      <c r="F2231" s="109" t="s">
        <v>355</v>
      </c>
      <c r="G2231" s="55" t="s">
        <v>355</v>
      </c>
      <c r="H2231" s="108" t="s">
        <v>402</v>
      </c>
      <c r="I2231" s="111" t="s">
        <v>402</v>
      </c>
      <c r="J2231" s="111" t="s">
        <v>402</v>
      </c>
      <c r="K2231" s="106" t="s">
        <v>403</v>
      </c>
      <c r="L2231" s="55" t="s">
        <v>404</v>
      </c>
      <c r="M2231" s="55" t="s">
        <v>7634</v>
      </c>
    </row>
    <row r="2232" spans="1:13">
      <c r="A2232" s="408" t="s">
        <v>5718</v>
      </c>
      <c r="B2232" s="106" t="s">
        <v>327</v>
      </c>
      <c r="C2232" s="106" t="s">
        <v>473</v>
      </c>
      <c r="D2232" s="107" t="s">
        <v>5719</v>
      </c>
      <c r="E2232" s="109" t="s">
        <v>355</v>
      </c>
      <c r="F2232" s="109" t="s">
        <v>355</v>
      </c>
      <c r="G2232" s="55" t="s">
        <v>355</v>
      </c>
      <c r="H2232" s="108" t="s">
        <v>402</v>
      </c>
      <c r="I2232" s="111" t="s">
        <v>402</v>
      </c>
      <c r="J2232" s="111" t="s">
        <v>402</v>
      </c>
      <c r="K2232" s="106" t="s">
        <v>403</v>
      </c>
      <c r="L2232" s="55" t="s">
        <v>404</v>
      </c>
      <c r="M2232" s="55" t="s">
        <v>7634</v>
      </c>
    </row>
    <row r="2233" spans="1:13">
      <c r="A2233" s="408" t="s">
        <v>5720</v>
      </c>
      <c r="B2233" s="106" t="s">
        <v>327</v>
      </c>
      <c r="C2233" s="106" t="s">
        <v>473</v>
      </c>
      <c r="D2233" s="107" t="s">
        <v>5721</v>
      </c>
      <c r="E2233" s="109" t="s">
        <v>355</v>
      </c>
      <c r="F2233" s="109" t="s">
        <v>355</v>
      </c>
      <c r="G2233" s="55" t="s">
        <v>355</v>
      </c>
      <c r="H2233" s="108" t="s">
        <v>402</v>
      </c>
      <c r="I2233" s="111" t="s">
        <v>402</v>
      </c>
      <c r="J2233" s="111" t="s">
        <v>402</v>
      </c>
      <c r="K2233" s="106" t="s">
        <v>403</v>
      </c>
      <c r="L2233" s="55" t="s">
        <v>404</v>
      </c>
      <c r="M2233" s="55" t="s">
        <v>7634</v>
      </c>
    </row>
    <row r="2234" spans="1:13">
      <c r="A2234" s="408" t="s">
        <v>5722</v>
      </c>
      <c r="B2234" s="106" t="s">
        <v>327</v>
      </c>
      <c r="C2234" s="106" t="s">
        <v>473</v>
      </c>
      <c r="D2234" s="107" t="s">
        <v>5723</v>
      </c>
      <c r="E2234" s="109" t="s">
        <v>355</v>
      </c>
      <c r="F2234" s="109" t="s">
        <v>355</v>
      </c>
      <c r="G2234" s="55" t="s">
        <v>355</v>
      </c>
      <c r="H2234" s="108" t="s">
        <v>402</v>
      </c>
      <c r="I2234" s="111" t="s">
        <v>402</v>
      </c>
      <c r="J2234" s="111" t="s">
        <v>402</v>
      </c>
      <c r="K2234" s="106" t="s">
        <v>403</v>
      </c>
      <c r="L2234" s="55" t="s">
        <v>404</v>
      </c>
      <c r="M2234" s="55" t="s">
        <v>7634</v>
      </c>
    </row>
    <row r="2235" spans="1:13">
      <c r="A2235" s="578" t="s">
        <v>5724</v>
      </c>
      <c r="B2235" s="586" t="s">
        <v>373</v>
      </c>
      <c r="C2235" s="586" t="s">
        <v>473</v>
      </c>
      <c r="D2235" s="586" t="s">
        <v>5725</v>
      </c>
      <c r="E2235" s="586" t="s">
        <v>377</v>
      </c>
      <c r="F2235" s="586" t="s">
        <v>5726</v>
      </c>
      <c r="G2235" s="586" t="s">
        <v>377</v>
      </c>
      <c r="H2235" s="586" t="s">
        <v>359</v>
      </c>
      <c r="I2235" s="587" t="s">
        <v>359</v>
      </c>
      <c r="J2235" s="586"/>
      <c r="K2235" s="586" t="s">
        <v>2508</v>
      </c>
      <c r="L2235" s="586" t="s">
        <v>361</v>
      </c>
      <c r="M2235" s="586" t="s">
        <v>377</v>
      </c>
    </row>
    <row r="2236" spans="1:13">
      <c r="A2236" s="408" t="s">
        <v>5727</v>
      </c>
      <c r="B2236" s="106" t="s">
        <v>327</v>
      </c>
      <c r="C2236" s="106" t="s">
        <v>473</v>
      </c>
      <c r="D2236" s="107" t="s">
        <v>5728</v>
      </c>
      <c r="E2236" s="109" t="s">
        <v>355</v>
      </c>
      <c r="F2236" s="109" t="s">
        <v>355</v>
      </c>
      <c r="G2236" s="55" t="s">
        <v>355</v>
      </c>
      <c r="H2236" s="108" t="s">
        <v>402</v>
      </c>
      <c r="I2236" s="111" t="s">
        <v>402</v>
      </c>
      <c r="J2236" s="111" t="s">
        <v>402</v>
      </c>
      <c r="K2236" s="106" t="s">
        <v>403</v>
      </c>
      <c r="L2236" s="55" t="s">
        <v>404</v>
      </c>
      <c r="M2236" s="55" t="s">
        <v>7634</v>
      </c>
    </row>
    <row r="2237" spans="1:13">
      <c r="A2237" s="408" t="s">
        <v>5729</v>
      </c>
      <c r="B2237" s="106" t="s">
        <v>327</v>
      </c>
      <c r="C2237" s="106" t="s">
        <v>473</v>
      </c>
      <c r="D2237" s="107" t="s">
        <v>5730</v>
      </c>
      <c r="E2237" s="109" t="s">
        <v>355</v>
      </c>
      <c r="F2237" s="109" t="s">
        <v>355</v>
      </c>
      <c r="G2237" s="55" t="s">
        <v>355</v>
      </c>
      <c r="H2237" s="108" t="s">
        <v>402</v>
      </c>
      <c r="I2237" s="111" t="s">
        <v>402</v>
      </c>
      <c r="J2237" s="111" t="s">
        <v>402</v>
      </c>
      <c r="K2237" s="106" t="s">
        <v>403</v>
      </c>
      <c r="L2237" s="55" t="s">
        <v>404</v>
      </c>
      <c r="M2237" s="55" t="s">
        <v>7634</v>
      </c>
    </row>
    <row r="2238" spans="1:13">
      <c r="A2238" s="408" t="s">
        <v>5731</v>
      </c>
      <c r="B2238" s="106" t="s">
        <v>327</v>
      </c>
      <c r="C2238" s="106" t="s">
        <v>473</v>
      </c>
      <c r="D2238" s="107" t="s">
        <v>5732</v>
      </c>
      <c r="E2238" s="109" t="s">
        <v>355</v>
      </c>
      <c r="F2238" s="109" t="s">
        <v>355</v>
      </c>
      <c r="G2238" s="55" t="s">
        <v>355</v>
      </c>
      <c r="H2238" s="108" t="s">
        <v>402</v>
      </c>
      <c r="I2238" s="111" t="s">
        <v>402</v>
      </c>
      <c r="J2238" s="111" t="s">
        <v>402</v>
      </c>
      <c r="K2238" s="106" t="s">
        <v>403</v>
      </c>
      <c r="L2238" s="55" t="s">
        <v>404</v>
      </c>
      <c r="M2238" s="55" t="s">
        <v>7634</v>
      </c>
    </row>
    <row r="2239" spans="1:13">
      <c r="A2239" s="408" t="s">
        <v>5733</v>
      </c>
      <c r="B2239" s="106" t="s">
        <v>327</v>
      </c>
      <c r="C2239" s="106" t="s">
        <v>473</v>
      </c>
      <c r="D2239" s="107" t="s">
        <v>5734</v>
      </c>
      <c r="E2239" s="109" t="s">
        <v>355</v>
      </c>
      <c r="F2239" s="109" t="s">
        <v>355</v>
      </c>
      <c r="G2239" s="55" t="s">
        <v>355</v>
      </c>
      <c r="H2239" s="108" t="s">
        <v>402</v>
      </c>
      <c r="I2239" s="111" t="s">
        <v>402</v>
      </c>
      <c r="J2239" s="111" t="s">
        <v>402</v>
      </c>
      <c r="K2239" s="106" t="s">
        <v>403</v>
      </c>
      <c r="L2239" s="55" t="s">
        <v>404</v>
      </c>
      <c r="M2239" s="55" t="s">
        <v>7634</v>
      </c>
    </row>
    <row r="2240" spans="1:13">
      <c r="A2240" s="408" t="s">
        <v>5735</v>
      </c>
      <c r="B2240" s="106" t="s">
        <v>327</v>
      </c>
      <c r="C2240" s="106" t="s">
        <v>473</v>
      </c>
      <c r="D2240" s="107" t="s">
        <v>5736</v>
      </c>
      <c r="E2240" s="109" t="s">
        <v>355</v>
      </c>
      <c r="F2240" s="109" t="s">
        <v>355</v>
      </c>
      <c r="G2240" s="55" t="s">
        <v>355</v>
      </c>
      <c r="H2240" s="108" t="s">
        <v>402</v>
      </c>
      <c r="I2240" s="111" t="s">
        <v>402</v>
      </c>
      <c r="J2240" s="111" t="s">
        <v>402</v>
      </c>
      <c r="K2240" s="106" t="s">
        <v>403</v>
      </c>
      <c r="L2240" s="55" t="s">
        <v>404</v>
      </c>
      <c r="M2240" s="55" t="s">
        <v>7634</v>
      </c>
    </row>
    <row r="2241" spans="1:13">
      <c r="A2241" s="408" t="s">
        <v>5737</v>
      </c>
      <c r="B2241" s="106" t="s">
        <v>327</v>
      </c>
      <c r="C2241" s="106" t="s">
        <v>473</v>
      </c>
      <c r="D2241" s="107" t="s">
        <v>5738</v>
      </c>
      <c r="E2241" s="109" t="s">
        <v>355</v>
      </c>
      <c r="F2241" s="109" t="s">
        <v>355</v>
      </c>
      <c r="G2241" s="55" t="s">
        <v>355</v>
      </c>
      <c r="H2241" s="108" t="s">
        <v>402</v>
      </c>
      <c r="I2241" s="111" t="s">
        <v>402</v>
      </c>
      <c r="J2241" s="111" t="s">
        <v>402</v>
      </c>
      <c r="K2241" s="106" t="s">
        <v>403</v>
      </c>
      <c r="L2241" s="55" t="s">
        <v>404</v>
      </c>
      <c r="M2241" s="55" t="s">
        <v>7634</v>
      </c>
    </row>
    <row r="2242" spans="1:13">
      <c r="A2242" s="408" t="s">
        <v>5739</v>
      </c>
      <c r="B2242" s="106" t="s">
        <v>327</v>
      </c>
      <c r="C2242" s="106" t="s">
        <v>473</v>
      </c>
      <c r="D2242" s="107" t="s">
        <v>5740</v>
      </c>
      <c r="E2242" s="109" t="s">
        <v>355</v>
      </c>
      <c r="F2242" s="109" t="s">
        <v>355</v>
      </c>
      <c r="G2242" s="55" t="s">
        <v>355</v>
      </c>
      <c r="H2242" s="108" t="s">
        <v>402</v>
      </c>
      <c r="I2242" s="111" t="s">
        <v>402</v>
      </c>
      <c r="J2242" s="111" t="s">
        <v>402</v>
      </c>
      <c r="K2242" s="106" t="s">
        <v>403</v>
      </c>
      <c r="L2242" s="55" t="s">
        <v>404</v>
      </c>
      <c r="M2242" s="55" t="s">
        <v>7634</v>
      </c>
    </row>
    <row r="2243" spans="1:13">
      <c r="A2243" s="408" t="s">
        <v>5741</v>
      </c>
      <c r="B2243" s="106" t="s">
        <v>327</v>
      </c>
      <c r="C2243" s="106" t="s">
        <v>473</v>
      </c>
      <c r="D2243" s="107" t="s">
        <v>5742</v>
      </c>
      <c r="E2243" s="109" t="s">
        <v>355</v>
      </c>
      <c r="F2243" s="109" t="s">
        <v>355</v>
      </c>
      <c r="G2243" s="55" t="s">
        <v>355</v>
      </c>
      <c r="H2243" s="108" t="s">
        <v>402</v>
      </c>
      <c r="I2243" s="111" t="s">
        <v>402</v>
      </c>
      <c r="J2243" s="111" t="s">
        <v>402</v>
      </c>
      <c r="K2243" s="106" t="s">
        <v>403</v>
      </c>
      <c r="L2243" s="55" t="s">
        <v>404</v>
      </c>
      <c r="M2243" s="55" t="s">
        <v>7634</v>
      </c>
    </row>
    <row r="2244" spans="1:13">
      <c r="A2244" s="408" t="s">
        <v>5743</v>
      </c>
      <c r="B2244" s="106" t="s">
        <v>327</v>
      </c>
      <c r="C2244" s="106" t="s">
        <v>473</v>
      </c>
      <c r="D2244" s="107" t="s">
        <v>5744</v>
      </c>
      <c r="E2244" s="109" t="s">
        <v>355</v>
      </c>
      <c r="F2244" s="109" t="s">
        <v>355</v>
      </c>
      <c r="G2244" s="55" t="s">
        <v>355</v>
      </c>
      <c r="H2244" s="108" t="s">
        <v>402</v>
      </c>
      <c r="I2244" s="111" t="s">
        <v>402</v>
      </c>
      <c r="J2244" s="111" t="s">
        <v>402</v>
      </c>
      <c r="K2244" s="106" t="s">
        <v>403</v>
      </c>
      <c r="L2244" s="55" t="s">
        <v>404</v>
      </c>
      <c r="M2244" s="55" t="s">
        <v>7634</v>
      </c>
    </row>
    <row r="2245" spans="1:13">
      <c r="A2245" s="408" t="s">
        <v>5745</v>
      </c>
      <c r="B2245" s="106" t="s">
        <v>327</v>
      </c>
      <c r="C2245" s="106" t="s">
        <v>473</v>
      </c>
      <c r="D2245" s="107" t="s">
        <v>5746</v>
      </c>
      <c r="E2245" s="109" t="s">
        <v>355</v>
      </c>
      <c r="F2245" s="109" t="s">
        <v>355</v>
      </c>
      <c r="G2245" s="55" t="s">
        <v>355</v>
      </c>
      <c r="H2245" s="108" t="s">
        <v>402</v>
      </c>
      <c r="I2245" s="111" t="s">
        <v>402</v>
      </c>
      <c r="J2245" s="111" t="s">
        <v>402</v>
      </c>
      <c r="K2245" s="106" t="s">
        <v>403</v>
      </c>
      <c r="L2245" s="55" t="s">
        <v>404</v>
      </c>
      <c r="M2245" s="55" t="s">
        <v>7634</v>
      </c>
    </row>
    <row r="2246" spans="1:13">
      <c r="A2246" s="408" t="s">
        <v>5747</v>
      </c>
      <c r="B2246" s="106" t="s">
        <v>327</v>
      </c>
      <c r="C2246" s="106" t="s">
        <v>473</v>
      </c>
      <c r="D2246" s="107" t="s">
        <v>5748</v>
      </c>
      <c r="E2246" s="109" t="s">
        <v>355</v>
      </c>
      <c r="F2246" s="109" t="s">
        <v>355</v>
      </c>
      <c r="G2246" s="55" t="s">
        <v>355</v>
      </c>
      <c r="H2246" s="108" t="s">
        <v>402</v>
      </c>
      <c r="I2246" s="111" t="s">
        <v>402</v>
      </c>
      <c r="J2246" s="111" t="s">
        <v>402</v>
      </c>
      <c r="K2246" s="106" t="s">
        <v>403</v>
      </c>
      <c r="L2246" s="55" t="s">
        <v>404</v>
      </c>
      <c r="M2246" s="55" t="s">
        <v>7634</v>
      </c>
    </row>
    <row r="2247" spans="1:13">
      <c r="A2247" s="408" t="s">
        <v>5749</v>
      </c>
      <c r="B2247" s="106" t="s">
        <v>327</v>
      </c>
      <c r="C2247" s="106" t="s">
        <v>473</v>
      </c>
      <c r="D2247" s="107" t="s">
        <v>5750</v>
      </c>
      <c r="E2247" s="109" t="s">
        <v>355</v>
      </c>
      <c r="F2247" s="109" t="s">
        <v>355</v>
      </c>
      <c r="G2247" s="55" t="s">
        <v>355</v>
      </c>
      <c r="H2247" s="108" t="s">
        <v>402</v>
      </c>
      <c r="I2247" s="111" t="s">
        <v>402</v>
      </c>
      <c r="J2247" s="111" t="s">
        <v>402</v>
      </c>
      <c r="K2247" s="106" t="s">
        <v>403</v>
      </c>
      <c r="L2247" s="55" t="s">
        <v>404</v>
      </c>
      <c r="M2247" s="55" t="s">
        <v>7634</v>
      </c>
    </row>
    <row r="2248" spans="1:13">
      <c r="A2248" s="408" t="s">
        <v>5751</v>
      </c>
      <c r="B2248" s="106" t="s">
        <v>327</v>
      </c>
      <c r="C2248" s="106" t="s">
        <v>473</v>
      </c>
      <c r="D2248" s="107" t="s">
        <v>5752</v>
      </c>
      <c r="E2248" s="109" t="s">
        <v>355</v>
      </c>
      <c r="F2248" s="109" t="s">
        <v>355</v>
      </c>
      <c r="G2248" s="55" t="s">
        <v>355</v>
      </c>
      <c r="H2248" s="108" t="s">
        <v>402</v>
      </c>
      <c r="I2248" s="111" t="s">
        <v>402</v>
      </c>
      <c r="J2248" s="111" t="s">
        <v>402</v>
      </c>
      <c r="K2248" s="106" t="s">
        <v>403</v>
      </c>
      <c r="L2248" s="55" t="s">
        <v>404</v>
      </c>
      <c r="M2248" s="55" t="s">
        <v>7634</v>
      </c>
    </row>
    <row r="2249" spans="1:13">
      <c r="A2249" s="408" t="s">
        <v>5753</v>
      </c>
      <c r="B2249" s="106" t="s">
        <v>327</v>
      </c>
      <c r="C2249" s="106" t="s">
        <v>473</v>
      </c>
      <c r="D2249" s="107" t="s">
        <v>5754</v>
      </c>
      <c r="E2249" s="109" t="s">
        <v>355</v>
      </c>
      <c r="F2249" s="109" t="s">
        <v>355</v>
      </c>
      <c r="G2249" s="55" t="s">
        <v>355</v>
      </c>
      <c r="H2249" s="108" t="s">
        <v>402</v>
      </c>
      <c r="I2249" s="111" t="s">
        <v>402</v>
      </c>
      <c r="J2249" s="111" t="s">
        <v>402</v>
      </c>
      <c r="K2249" s="106" t="s">
        <v>403</v>
      </c>
      <c r="L2249" s="55" t="s">
        <v>404</v>
      </c>
      <c r="M2249" s="55" t="s">
        <v>7634</v>
      </c>
    </row>
    <row r="2250" spans="1:13">
      <c r="A2250" s="408" t="s">
        <v>5755</v>
      </c>
      <c r="B2250" s="106" t="s">
        <v>327</v>
      </c>
      <c r="C2250" s="106" t="s">
        <v>473</v>
      </c>
      <c r="D2250" s="107" t="s">
        <v>5756</v>
      </c>
      <c r="E2250" s="109" t="s">
        <v>355</v>
      </c>
      <c r="F2250" s="109" t="s">
        <v>355</v>
      </c>
      <c r="G2250" s="55" t="s">
        <v>355</v>
      </c>
      <c r="H2250" s="108" t="s">
        <v>402</v>
      </c>
      <c r="I2250" s="111" t="s">
        <v>402</v>
      </c>
      <c r="J2250" s="111" t="s">
        <v>402</v>
      </c>
      <c r="K2250" s="106" t="s">
        <v>403</v>
      </c>
      <c r="L2250" s="55" t="s">
        <v>404</v>
      </c>
      <c r="M2250" s="55" t="s">
        <v>7634</v>
      </c>
    </row>
    <row r="2251" spans="1:13">
      <c r="A2251" s="408" t="s">
        <v>5757</v>
      </c>
      <c r="B2251" s="106" t="s">
        <v>327</v>
      </c>
      <c r="C2251" s="106" t="s">
        <v>473</v>
      </c>
      <c r="D2251" s="107" t="s">
        <v>5758</v>
      </c>
      <c r="E2251" s="109" t="s">
        <v>355</v>
      </c>
      <c r="F2251" s="109" t="s">
        <v>355</v>
      </c>
      <c r="G2251" s="55" t="s">
        <v>355</v>
      </c>
      <c r="H2251" s="108" t="s">
        <v>402</v>
      </c>
      <c r="I2251" s="111" t="s">
        <v>402</v>
      </c>
      <c r="J2251" s="111" t="s">
        <v>402</v>
      </c>
      <c r="K2251" s="106" t="s">
        <v>403</v>
      </c>
      <c r="L2251" s="55" t="s">
        <v>404</v>
      </c>
      <c r="M2251" s="55" t="s">
        <v>7634</v>
      </c>
    </row>
    <row r="2252" spans="1:13">
      <c r="A2252" s="408" t="s">
        <v>5759</v>
      </c>
      <c r="B2252" s="106" t="s">
        <v>327</v>
      </c>
      <c r="C2252" s="106" t="s">
        <v>473</v>
      </c>
      <c r="D2252" s="107" t="s">
        <v>5760</v>
      </c>
      <c r="E2252" s="109" t="s">
        <v>355</v>
      </c>
      <c r="F2252" s="109" t="s">
        <v>355</v>
      </c>
      <c r="G2252" s="55" t="s">
        <v>355</v>
      </c>
      <c r="H2252" s="108" t="s">
        <v>402</v>
      </c>
      <c r="I2252" s="111" t="s">
        <v>402</v>
      </c>
      <c r="J2252" s="111" t="s">
        <v>402</v>
      </c>
      <c r="K2252" s="106" t="s">
        <v>403</v>
      </c>
      <c r="L2252" s="55" t="s">
        <v>404</v>
      </c>
      <c r="M2252" s="55" t="s">
        <v>7634</v>
      </c>
    </row>
    <row r="2253" spans="1:13">
      <c r="A2253" s="408" t="s">
        <v>5761</v>
      </c>
      <c r="B2253" s="106" t="s">
        <v>327</v>
      </c>
      <c r="C2253" s="106" t="s">
        <v>473</v>
      </c>
      <c r="D2253" s="107" t="s">
        <v>5762</v>
      </c>
      <c r="E2253" s="109" t="s">
        <v>355</v>
      </c>
      <c r="F2253" s="109" t="s">
        <v>355</v>
      </c>
      <c r="G2253" s="55" t="s">
        <v>355</v>
      </c>
      <c r="H2253" s="108" t="s">
        <v>402</v>
      </c>
      <c r="I2253" s="111" t="s">
        <v>402</v>
      </c>
      <c r="J2253" s="111" t="s">
        <v>402</v>
      </c>
      <c r="K2253" s="106" t="s">
        <v>403</v>
      </c>
      <c r="L2253" s="55" t="s">
        <v>404</v>
      </c>
      <c r="M2253" s="55" t="s">
        <v>7634</v>
      </c>
    </row>
    <row r="2254" spans="1:13">
      <c r="A2254" s="408" t="s">
        <v>5763</v>
      </c>
      <c r="B2254" s="106" t="s">
        <v>327</v>
      </c>
      <c r="C2254" s="106" t="s">
        <v>473</v>
      </c>
      <c r="D2254" s="107" t="s">
        <v>5764</v>
      </c>
      <c r="E2254" s="109" t="s">
        <v>355</v>
      </c>
      <c r="F2254" s="109" t="s">
        <v>355</v>
      </c>
      <c r="G2254" s="55" t="s">
        <v>355</v>
      </c>
      <c r="H2254" s="108" t="s">
        <v>402</v>
      </c>
      <c r="I2254" s="111" t="s">
        <v>402</v>
      </c>
      <c r="J2254" s="111" t="s">
        <v>402</v>
      </c>
      <c r="K2254" s="106" t="s">
        <v>403</v>
      </c>
      <c r="L2254" s="55" t="s">
        <v>404</v>
      </c>
      <c r="M2254" s="55" t="s">
        <v>7634</v>
      </c>
    </row>
    <row r="2255" spans="1:13">
      <c r="A2255" s="408" t="s">
        <v>5765</v>
      </c>
      <c r="B2255" s="106" t="s">
        <v>327</v>
      </c>
      <c r="C2255" s="106" t="s">
        <v>473</v>
      </c>
      <c r="D2255" s="107" t="s">
        <v>5766</v>
      </c>
      <c r="E2255" s="109" t="s">
        <v>355</v>
      </c>
      <c r="F2255" s="109" t="s">
        <v>355</v>
      </c>
      <c r="G2255" s="55" t="s">
        <v>355</v>
      </c>
      <c r="H2255" s="108" t="s">
        <v>402</v>
      </c>
      <c r="I2255" s="111" t="s">
        <v>402</v>
      </c>
      <c r="J2255" s="111" t="s">
        <v>402</v>
      </c>
      <c r="K2255" s="106" t="s">
        <v>403</v>
      </c>
      <c r="L2255" s="55" t="s">
        <v>404</v>
      </c>
      <c r="M2255" s="55" t="s">
        <v>7634</v>
      </c>
    </row>
    <row r="2256" spans="1:13">
      <c r="A2256" s="408" t="s">
        <v>5767</v>
      </c>
      <c r="B2256" s="106" t="s">
        <v>327</v>
      </c>
      <c r="C2256" s="106" t="s">
        <v>473</v>
      </c>
      <c r="D2256" s="107" t="s">
        <v>5768</v>
      </c>
      <c r="E2256" s="109" t="s">
        <v>355</v>
      </c>
      <c r="F2256" s="109" t="s">
        <v>355</v>
      </c>
      <c r="G2256" s="55" t="s">
        <v>355</v>
      </c>
      <c r="H2256" s="108" t="s">
        <v>402</v>
      </c>
      <c r="I2256" s="111" t="s">
        <v>402</v>
      </c>
      <c r="J2256" s="111" t="s">
        <v>402</v>
      </c>
      <c r="K2256" s="106" t="s">
        <v>403</v>
      </c>
      <c r="L2256" s="55" t="s">
        <v>404</v>
      </c>
      <c r="M2256" s="55" t="s">
        <v>7634</v>
      </c>
    </row>
    <row r="2257" spans="1:13">
      <c r="A2257" s="401" t="s">
        <v>5772</v>
      </c>
      <c r="B2257" s="106" t="s">
        <v>1059</v>
      </c>
      <c r="C2257" s="106" t="s">
        <v>473</v>
      </c>
      <c r="D2257" s="110" t="s">
        <v>383</v>
      </c>
      <c r="E2257" s="109" t="s">
        <v>5773</v>
      </c>
      <c r="F2257" s="110" t="s">
        <v>5774</v>
      </c>
      <c r="G2257" s="112" t="s">
        <v>5775</v>
      </c>
      <c r="H2257" s="115" t="s">
        <v>402</v>
      </c>
      <c r="I2257" s="111" t="s">
        <v>402</v>
      </c>
      <c r="J2257" s="111" t="s">
        <v>402</v>
      </c>
      <c r="K2257" s="106" t="s">
        <v>403</v>
      </c>
      <c r="L2257" s="55" t="s">
        <v>404</v>
      </c>
      <c r="M2257" s="55" t="s">
        <v>7634</v>
      </c>
    </row>
    <row r="2258" spans="1:13">
      <c r="A2258" s="408" t="s">
        <v>5776</v>
      </c>
      <c r="B2258" s="106" t="s">
        <v>327</v>
      </c>
      <c r="C2258" s="106" t="s">
        <v>473</v>
      </c>
      <c r="D2258" s="107" t="s">
        <v>5777</v>
      </c>
      <c r="E2258" s="109" t="s">
        <v>355</v>
      </c>
      <c r="F2258" s="109" t="s">
        <v>355</v>
      </c>
      <c r="G2258" s="55" t="s">
        <v>355</v>
      </c>
      <c r="H2258" s="108" t="s">
        <v>402</v>
      </c>
      <c r="I2258" s="111" t="s">
        <v>402</v>
      </c>
      <c r="J2258" s="111" t="s">
        <v>402</v>
      </c>
      <c r="K2258" s="106" t="s">
        <v>403</v>
      </c>
      <c r="L2258" s="55" t="s">
        <v>404</v>
      </c>
      <c r="M2258" s="55" t="s">
        <v>7634</v>
      </c>
    </row>
    <row r="2259" spans="1:13">
      <c r="A2259" s="408" t="s">
        <v>5778</v>
      </c>
      <c r="B2259" s="106" t="s">
        <v>327</v>
      </c>
      <c r="C2259" s="106" t="s">
        <v>473</v>
      </c>
      <c r="D2259" s="107" t="s">
        <v>5777</v>
      </c>
      <c r="E2259" s="109" t="s">
        <v>355</v>
      </c>
      <c r="F2259" s="109" t="s">
        <v>355</v>
      </c>
      <c r="G2259" s="55" t="s">
        <v>355</v>
      </c>
      <c r="H2259" s="108" t="s">
        <v>402</v>
      </c>
      <c r="I2259" s="111" t="s">
        <v>402</v>
      </c>
      <c r="J2259" s="111" t="s">
        <v>402</v>
      </c>
      <c r="K2259" s="106" t="s">
        <v>403</v>
      </c>
      <c r="L2259" s="55" t="s">
        <v>404</v>
      </c>
      <c r="M2259" s="55" t="s">
        <v>7634</v>
      </c>
    </row>
    <row r="2260" spans="1:13">
      <c r="A2260" s="401" t="s">
        <v>5779</v>
      </c>
      <c r="B2260" s="106" t="s">
        <v>327</v>
      </c>
      <c r="C2260" s="106" t="s">
        <v>473</v>
      </c>
      <c r="D2260" s="110" t="s">
        <v>383</v>
      </c>
      <c r="E2260" s="109" t="s">
        <v>5780</v>
      </c>
      <c r="F2260" s="109" t="s">
        <v>5781</v>
      </c>
      <c r="G2260" s="112" t="s">
        <v>5782</v>
      </c>
      <c r="H2260" s="115" t="s">
        <v>402</v>
      </c>
      <c r="I2260" s="111" t="s">
        <v>402</v>
      </c>
      <c r="J2260" s="111" t="s">
        <v>402</v>
      </c>
      <c r="K2260" s="115" t="s">
        <v>403</v>
      </c>
      <c r="L2260" s="55" t="s">
        <v>404</v>
      </c>
      <c r="M2260" s="113" t="s">
        <v>383</v>
      </c>
    </row>
    <row r="2261" spans="1:13">
      <c r="A2261" s="408" t="s">
        <v>5783</v>
      </c>
      <c r="B2261" s="106" t="s">
        <v>327</v>
      </c>
      <c r="C2261" s="106" t="s">
        <v>473</v>
      </c>
      <c r="D2261" s="107" t="s">
        <v>5784</v>
      </c>
      <c r="E2261" s="109" t="s">
        <v>355</v>
      </c>
      <c r="F2261" s="109" t="s">
        <v>355</v>
      </c>
      <c r="G2261" s="55" t="s">
        <v>355</v>
      </c>
      <c r="H2261" s="108" t="s">
        <v>402</v>
      </c>
      <c r="I2261" s="111" t="s">
        <v>402</v>
      </c>
      <c r="J2261" s="111" t="s">
        <v>402</v>
      </c>
      <c r="K2261" s="106" t="s">
        <v>403</v>
      </c>
      <c r="L2261" s="55" t="s">
        <v>404</v>
      </c>
      <c r="M2261" s="55" t="s">
        <v>7634</v>
      </c>
    </row>
    <row r="2262" spans="1:13">
      <c r="A2262" s="408" t="s">
        <v>5785</v>
      </c>
      <c r="B2262" s="106" t="s">
        <v>327</v>
      </c>
      <c r="C2262" s="106" t="s">
        <v>473</v>
      </c>
      <c r="D2262" s="107" t="s">
        <v>5786</v>
      </c>
      <c r="E2262" s="109" t="s">
        <v>355</v>
      </c>
      <c r="F2262" s="109" t="s">
        <v>355</v>
      </c>
      <c r="G2262" s="55" t="s">
        <v>355</v>
      </c>
      <c r="H2262" s="108" t="s">
        <v>402</v>
      </c>
      <c r="I2262" s="111" t="s">
        <v>402</v>
      </c>
      <c r="J2262" s="111" t="s">
        <v>402</v>
      </c>
      <c r="K2262" s="106" t="s">
        <v>403</v>
      </c>
      <c r="L2262" s="55" t="s">
        <v>404</v>
      </c>
      <c r="M2262" s="55" t="s">
        <v>7634</v>
      </c>
    </row>
    <row r="2263" spans="1:13">
      <c r="A2263" s="408" t="s">
        <v>5787</v>
      </c>
      <c r="B2263" s="106" t="s">
        <v>327</v>
      </c>
      <c r="C2263" s="106" t="s">
        <v>473</v>
      </c>
      <c r="D2263" s="107" t="s">
        <v>5788</v>
      </c>
      <c r="E2263" s="109" t="s">
        <v>355</v>
      </c>
      <c r="F2263" s="109" t="s">
        <v>355</v>
      </c>
      <c r="G2263" s="55" t="s">
        <v>355</v>
      </c>
      <c r="H2263" s="108" t="s">
        <v>402</v>
      </c>
      <c r="I2263" s="111" t="s">
        <v>402</v>
      </c>
      <c r="J2263" s="111" t="s">
        <v>402</v>
      </c>
      <c r="K2263" s="106" t="s">
        <v>403</v>
      </c>
      <c r="L2263" s="55" t="s">
        <v>404</v>
      </c>
      <c r="M2263" s="55" t="s">
        <v>7634</v>
      </c>
    </row>
    <row r="2264" spans="1:13">
      <c r="A2264" s="408" t="s">
        <v>5789</v>
      </c>
      <c r="B2264" s="106" t="s">
        <v>327</v>
      </c>
      <c r="C2264" s="106" t="s">
        <v>473</v>
      </c>
      <c r="D2264" s="107" t="s">
        <v>5363</v>
      </c>
      <c r="E2264" s="109" t="s">
        <v>355</v>
      </c>
      <c r="F2264" s="109" t="s">
        <v>355</v>
      </c>
      <c r="G2264" s="55" t="s">
        <v>355</v>
      </c>
      <c r="H2264" s="108" t="s">
        <v>402</v>
      </c>
      <c r="I2264" s="111" t="s">
        <v>402</v>
      </c>
      <c r="J2264" s="111" t="s">
        <v>402</v>
      </c>
      <c r="K2264" s="106" t="s">
        <v>403</v>
      </c>
      <c r="L2264" s="55" t="s">
        <v>404</v>
      </c>
      <c r="M2264" s="55" t="s">
        <v>7634</v>
      </c>
    </row>
    <row r="2265" spans="1:13">
      <c r="A2265" s="408" t="s">
        <v>5790</v>
      </c>
      <c r="B2265" s="106" t="s">
        <v>327</v>
      </c>
      <c r="C2265" s="106" t="s">
        <v>473</v>
      </c>
      <c r="D2265" s="107" t="s">
        <v>5791</v>
      </c>
      <c r="E2265" s="109" t="s">
        <v>355</v>
      </c>
      <c r="F2265" s="109" t="s">
        <v>355</v>
      </c>
      <c r="G2265" s="55" t="s">
        <v>355</v>
      </c>
      <c r="H2265" s="108" t="s">
        <v>402</v>
      </c>
      <c r="I2265" s="111" t="s">
        <v>402</v>
      </c>
      <c r="J2265" s="111" t="s">
        <v>402</v>
      </c>
      <c r="K2265" s="106" t="s">
        <v>403</v>
      </c>
      <c r="L2265" s="55" t="s">
        <v>404</v>
      </c>
      <c r="M2265" s="55" t="s">
        <v>7634</v>
      </c>
    </row>
    <row r="2266" spans="1:13">
      <c r="A2266" s="408" t="s">
        <v>5792</v>
      </c>
      <c r="B2266" s="106" t="s">
        <v>327</v>
      </c>
      <c r="C2266" s="106" t="s">
        <v>473</v>
      </c>
      <c r="D2266" s="107" t="s">
        <v>5793</v>
      </c>
      <c r="E2266" s="109" t="s">
        <v>355</v>
      </c>
      <c r="F2266" s="109" t="s">
        <v>355</v>
      </c>
      <c r="G2266" s="55" t="s">
        <v>355</v>
      </c>
      <c r="H2266" s="108" t="s">
        <v>402</v>
      </c>
      <c r="I2266" s="111" t="s">
        <v>402</v>
      </c>
      <c r="J2266" s="111" t="s">
        <v>402</v>
      </c>
      <c r="K2266" s="106" t="s">
        <v>403</v>
      </c>
      <c r="L2266" s="55" t="s">
        <v>404</v>
      </c>
      <c r="M2266" s="55" t="s">
        <v>7634</v>
      </c>
    </row>
    <row r="2267" spans="1:13">
      <c r="A2267" s="408" t="s">
        <v>5794</v>
      </c>
      <c r="B2267" s="106" t="s">
        <v>327</v>
      </c>
      <c r="C2267" s="106" t="s">
        <v>473</v>
      </c>
      <c r="D2267" s="107" t="s">
        <v>5795</v>
      </c>
      <c r="E2267" s="109" t="s">
        <v>355</v>
      </c>
      <c r="F2267" s="109" t="s">
        <v>355</v>
      </c>
      <c r="G2267" s="55" t="s">
        <v>355</v>
      </c>
      <c r="H2267" s="108" t="s">
        <v>402</v>
      </c>
      <c r="I2267" s="111" t="s">
        <v>402</v>
      </c>
      <c r="J2267" s="111" t="s">
        <v>402</v>
      </c>
      <c r="K2267" s="106" t="s">
        <v>403</v>
      </c>
      <c r="L2267" s="55" t="s">
        <v>404</v>
      </c>
      <c r="M2267" s="55" t="s">
        <v>7634</v>
      </c>
    </row>
    <row r="2268" spans="1:13">
      <c r="A2268" s="408" t="s">
        <v>5796</v>
      </c>
      <c r="B2268" s="106" t="s">
        <v>327</v>
      </c>
      <c r="C2268" s="106" t="s">
        <v>473</v>
      </c>
      <c r="D2268" s="107" t="s">
        <v>5797</v>
      </c>
      <c r="E2268" s="109" t="s">
        <v>355</v>
      </c>
      <c r="F2268" s="109" t="s">
        <v>355</v>
      </c>
      <c r="G2268" s="55" t="s">
        <v>355</v>
      </c>
      <c r="H2268" s="108" t="s">
        <v>402</v>
      </c>
      <c r="I2268" s="111" t="s">
        <v>402</v>
      </c>
      <c r="J2268" s="111" t="s">
        <v>402</v>
      </c>
      <c r="K2268" s="106" t="s">
        <v>403</v>
      </c>
      <c r="L2268" s="55" t="s">
        <v>404</v>
      </c>
      <c r="M2268" s="55" t="s">
        <v>7634</v>
      </c>
    </row>
    <row r="2269" spans="1:13">
      <c r="A2269" s="408" t="s">
        <v>5798</v>
      </c>
      <c r="B2269" s="106" t="s">
        <v>327</v>
      </c>
      <c r="C2269" s="106" t="s">
        <v>473</v>
      </c>
      <c r="D2269" s="107" t="s">
        <v>5799</v>
      </c>
      <c r="E2269" s="109" t="s">
        <v>355</v>
      </c>
      <c r="F2269" s="109" t="s">
        <v>355</v>
      </c>
      <c r="G2269" s="55" t="s">
        <v>355</v>
      </c>
      <c r="H2269" s="108" t="s">
        <v>402</v>
      </c>
      <c r="I2269" s="111" t="s">
        <v>402</v>
      </c>
      <c r="J2269" s="111" t="s">
        <v>402</v>
      </c>
      <c r="K2269" s="106" t="s">
        <v>403</v>
      </c>
      <c r="L2269" s="55" t="s">
        <v>404</v>
      </c>
      <c r="M2269" s="55" t="s">
        <v>7634</v>
      </c>
    </row>
    <row r="2270" spans="1:13">
      <c r="A2270" s="408" t="s">
        <v>5800</v>
      </c>
      <c r="B2270" s="106" t="s">
        <v>327</v>
      </c>
      <c r="C2270" s="106" t="s">
        <v>473</v>
      </c>
      <c r="D2270" s="107" t="s">
        <v>5801</v>
      </c>
      <c r="E2270" s="109" t="s">
        <v>355</v>
      </c>
      <c r="F2270" s="109" t="s">
        <v>355</v>
      </c>
      <c r="G2270" s="55" t="s">
        <v>355</v>
      </c>
      <c r="H2270" s="108" t="s">
        <v>402</v>
      </c>
      <c r="I2270" s="111" t="s">
        <v>402</v>
      </c>
      <c r="J2270" s="111" t="s">
        <v>402</v>
      </c>
      <c r="K2270" s="106" t="s">
        <v>403</v>
      </c>
      <c r="L2270" s="55" t="s">
        <v>404</v>
      </c>
      <c r="M2270" s="55" t="s">
        <v>7634</v>
      </c>
    </row>
    <row r="2271" spans="1:13">
      <c r="A2271" s="408" t="s">
        <v>5802</v>
      </c>
      <c r="B2271" s="106" t="s">
        <v>327</v>
      </c>
      <c r="C2271" s="106" t="s">
        <v>473</v>
      </c>
      <c r="D2271" s="107" t="s">
        <v>5803</v>
      </c>
      <c r="E2271" s="109" t="s">
        <v>355</v>
      </c>
      <c r="F2271" s="109" t="s">
        <v>355</v>
      </c>
      <c r="G2271" s="55" t="s">
        <v>355</v>
      </c>
      <c r="H2271" s="108" t="s">
        <v>402</v>
      </c>
      <c r="I2271" s="111" t="s">
        <v>402</v>
      </c>
      <c r="J2271" s="111" t="s">
        <v>402</v>
      </c>
      <c r="K2271" s="106" t="s">
        <v>403</v>
      </c>
      <c r="L2271" s="55" t="s">
        <v>404</v>
      </c>
      <c r="M2271" s="55" t="s">
        <v>7634</v>
      </c>
    </row>
    <row r="2272" spans="1:13">
      <c r="A2272" s="408" t="s">
        <v>5804</v>
      </c>
      <c r="B2272" s="106" t="s">
        <v>327</v>
      </c>
      <c r="C2272" s="106" t="s">
        <v>473</v>
      </c>
      <c r="D2272" s="107" t="s">
        <v>5805</v>
      </c>
      <c r="E2272" s="109" t="s">
        <v>355</v>
      </c>
      <c r="F2272" s="109" t="s">
        <v>355</v>
      </c>
      <c r="G2272" s="55" t="s">
        <v>355</v>
      </c>
      <c r="H2272" s="108" t="s">
        <v>402</v>
      </c>
      <c r="I2272" s="111" t="s">
        <v>402</v>
      </c>
      <c r="J2272" s="111" t="s">
        <v>402</v>
      </c>
      <c r="K2272" s="106" t="s">
        <v>403</v>
      </c>
      <c r="L2272" s="55" t="s">
        <v>404</v>
      </c>
      <c r="M2272" s="55" t="s">
        <v>7634</v>
      </c>
    </row>
    <row r="2273" spans="1:13">
      <c r="A2273" s="408" t="s">
        <v>5806</v>
      </c>
      <c r="B2273" s="106" t="s">
        <v>327</v>
      </c>
      <c r="C2273" s="106" t="s">
        <v>473</v>
      </c>
      <c r="D2273" s="107" t="s">
        <v>5807</v>
      </c>
      <c r="E2273" s="109" t="s">
        <v>355</v>
      </c>
      <c r="F2273" s="109" t="s">
        <v>355</v>
      </c>
      <c r="G2273" s="55" t="s">
        <v>355</v>
      </c>
      <c r="H2273" s="108" t="s">
        <v>402</v>
      </c>
      <c r="I2273" s="111" t="s">
        <v>402</v>
      </c>
      <c r="J2273" s="111" t="s">
        <v>402</v>
      </c>
      <c r="K2273" s="106" t="s">
        <v>403</v>
      </c>
      <c r="L2273" s="55" t="s">
        <v>404</v>
      </c>
      <c r="M2273" s="55" t="s">
        <v>7634</v>
      </c>
    </row>
    <row r="2274" spans="1:13">
      <c r="A2274" s="408" t="s">
        <v>5808</v>
      </c>
      <c r="B2274" s="106" t="s">
        <v>327</v>
      </c>
      <c r="C2274" s="106" t="s">
        <v>473</v>
      </c>
      <c r="D2274" s="107" t="s">
        <v>5809</v>
      </c>
      <c r="E2274" s="109" t="s">
        <v>355</v>
      </c>
      <c r="F2274" s="109" t="s">
        <v>355</v>
      </c>
      <c r="G2274" s="55" t="s">
        <v>355</v>
      </c>
      <c r="H2274" s="108" t="s">
        <v>402</v>
      </c>
      <c r="I2274" s="111" t="s">
        <v>402</v>
      </c>
      <c r="J2274" s="111" t="s">
        <v>402</v>
      </c>
      <c r="K2274" s="106" t="s">
        <v>403</v>
      </c>
      <c r="L2274" s="55" t="s">
        <v>404</v>
      </c>
      <c r="M2274" s="55" t="s">
        <v>7634</v>
      </c>
    </row>
    <row r="2275" spans="1:13">
      <c r="A2275" s="408" t="s">
        <v>5810</v>
      </c>
      <c r="B2275" s="106" t="s">
        <v>327</v>
      </c>
      <c r="C2275" s="106" t="s">
        <v>473</v>
      </c>
      <c r="D2275" s="107" t="s">
        <v>5811</v>
      </c>
      <c r="E2275" s="109" t="s">
        <v>355</v>
      </c>
      <c r="F2275" s="109" t="s">
        <v>355</v>
      </c>
      <c r="G2275" s="55" t="s">
        <v>355</v>
      </c>
      <c r="H2275" s="108" t="s">
        <v>402</v>
      </c>
      <c r="I2275" s="111" t="s">
        <v>402</v>
      </c>
      <c r="J2275" s="111" t="s">
        <v>402</v>
      </c>
      <c r="K2275" s="106" t="s">
        <v>403</v>
      </c>
      <c r="L2275" s="55" t="s">
        <v>404</v>
      </c>
      <c r="M2275" s="55" t="s">
        <v>7634</v>
      </c>
    </row>
    <row r="2276" spans="1:13">
      <c r="A2276" s="408" t="s">
        <v>5812</v>
      </c>
      <c r="B2276" s="106" t="s">
        <v>327</v>
      </c>
      <c r="C2276" s="106" t="s">
        <v>473</v>
      </c>
      <c r="D2276" s="107" t="s">
        <v>5813</v>
      </c>
      <c r="E2276" s="109" t="s">
        <v>355</v>
      </c>
      <c r="F2276" s="109" t="s">
        <v>355</v>
      </c>
      <c r="G2276" s="55" t="s">
        <v>355</v>
      </c>
      <c r="H2276" s="108" t="s">
        <v>402</v>
      </c>
      <c r="I2276" s="111" t="s">
        <v>402</v>
      </c>
      <c r="J2276" s="111" t="s">
        <v>402</v>
      </c>
      <c r="K2276" s="106" t="s">
        <v>403</v>
      </c>
      <c r="L2276" s="55" t="s">
        <v>404</v>
      </c>
      <c r="M2276" s="55" t="s">
        <v>7634</v>
      </c>
    </row>
    <row r="2277" spans="1:13">
      <c r="A2277" s="401" t="s">
        <v>5814</v>
      </c>
      <c r="B2277" s="106" t="s">
        <v>327</v>
      </c>
      <c r="C2277" s="106" t="s">
        <v>473</v>
      </c>
      <c r="D2277" s="109" t="s">
        <v>383</v>
      </c>
      <c r="E2277" s="109" t="s">
        <v>383</v>
      </c>
      <c r="F2277" s="109" t="s">
        <v>383</v>
      </c>
      <c r="G2277" s="112" t="s">
        <v>5815</v>
      </c>
      <c r="H2277" s="115" t="s">
        <v>402</v>
      </c>
      <c r="I2277" s="111" t="s">
        <v>402</v>
      </c>
      <c r="J2277" s="111" t="s">
        <v>402</v>
      </c>
      <c r="K2277" s="106" t="s">
        <v>403</v>
      </c>
      <c r="L2277" s="55" t="s">
        <v>404</v>
      </c>
      <c r="M2277" s="55" t="s">
        <v>7634</v>
      </c>
    </row>
    <row r="2278" spans="1:13">
      <c r="A2278" s="408" t="s">
        <v>5816</v>
      </c>
      <c r="B2278" s="106" t="s">
        <v>327</v>
      </c>
      <c r="C2278" s="106" t="s">
        <v>473</v>
      </c>
      <c r="D2278" s="107" t="s">
        <v>5801</v>
      </c>
      <c r="E2278" s="109" t="s">
        <v>355</v>
      </c>
      <c r="F2278" s="109" t="s">
        <v>355</v>
      </c>
      <c r="G2278" s="55" t="s">
        <v>355</v>
      </c>
      <c r="H2278" s="108" t="s">
        <v>402</v>
      </c>
      <c r="I2278" s="111" t="s">
        <v>402</v>
      </c>
      <c r="J2278" s="111" t="s">
        <v>402</v>
      </c>
      <c r="K2278" s="106" t="s">
        <v>403</v>
      </c>
      <c r="L2278" s="55" t="s">
        <v>404</v>
      </c>
      <c r="M2278" s="55" t="s">
        <v>7634</v>
      </c>
    </row>
    <row r="2279" spans="1:13">
      <c r="A2279" s="408" t="s">
        <v>5817</v>
      </c>
      <c r="B2279" s="106" t="s">
        <v>327</v>
      </c>
      <c r="C2279" s="106" t="s">
        <v>473</v>
      </c>
      <c r="D2279" s="107" t="s">
        <v>5818</v>
      </c>
      <c r="E2279" s="109" t="s">
        <v>355</v>
      </c>
      <c r="F2279" s="109" t="s">
        <v>355</v>
      </c>
      <c r="G2279" s="55" t="s">
        <v>355</v>
      </c>
      <c r="H2279" s="108" t="s">
        <v>402</v>
      </c>
      <c r="I2279" s="111" t="s">
        <v>402</v>
      </c>
      <c r="J2279" s="111" t="s">
        <v>402</v>
      </c>
      <c r="K2279" s="106" t="s">
        <v>403</v>
      </c>
      <c r="L2279" s="55" t="s">
        <v>404</v>
      </c>
      <c r="M2279" s="55" t="s">
        <v>7634</v>
      </c>
    </row>
    <row r="2280" spans="1:13">
      <c r="A2280" s="408" t="s">
        <v>5819</v>
      </c>
      <c r="B2280" s="106" t="s">
        <v>327</v>
      </c>
      <c r="C2280" s="106" t="s">
        <v>473</v>
      </c>
      <c r="D2280" s="107" t="s">
        <v>5820</v>
      </c>
      <c r="E2280" s="109" t="s">
        <v>355</v>
      </c>
      <c r="F2280" s="109" t="s">
        <v>355</v>
      </c>
      <c r="G2280" s="55" t="s">
        <v>355</v>
      </c>
      <c r="H2280" s="108" t="s">
        <v>402</v>
      </c>
      <c r="I2280" s="111" t="s">
        <v>402</v>
      </c>
      <c r="J2280" s="111" t="s">
        <v>402</v>
      </c>
      <c r="K2280" s="106" t="s">
        <v>403</v>
      </c>
      <c r="L2280" s="55" t="s">
        <v>404</v>
      </c>
      <c r="M2280" s="55" t="s">
        <v>7634</v>
      </c>
    </row>
    <row r="2281" spans="1:13">
      <c r="A2281" s="408" t="s">
        <v>5821</v>
      </c>
      <c r="B2281" s="106" t="s">
        <v>327</v>
      </c>
      <c r="C2281" s="106" t="s">
        <v>473</v>
      </c>
      <c r="D2281" s="107" t="s">
        <v>5822</v>
      </c>
      <c r="E2281" s="109" t="s">
        <v>355</v>
      </c>
      <c r="F2281" s="109" t="s">
        <v>355</v>
      </c>
      <c r="G2281" s="55" t="s">
        <v>355</v>
      </c>
      <c r="H2281" s="108" t="s">
        <v>402</v>
      </c>
      <c r="I2281" s="111" t="s">
        <v>402</v>
      </c>
      <c r="J2281" s="111" t="s">
        <v>402</v>
      </c>
      <c r="K2281" s="106" t="s">
        <v>403</v>
      </c>
      <c r="L2281" s="55" t="s">
        <v>404</v>
      </c>
      <c r="M2281" s="55" t="s">
        <v>7634</v>
      </c>
    </row>
    <row r="2282" spans="1:13">
      <c r="A2282" s="401" t="s">
        <v>5823</v>
      </c>
      <c r="B2282" s="106" t="s">
        <v>327</v>
      </c>
      <c r="C2282" s="106" t="s">
        <v>473</v>
      </c>
      <c r="D2282" s="109" t="s">
        <v>5824</v>
      </c>
      <c r="E2282" s="109" t="s">
        <v>5825</v>
      </c>
      <c r="F2282" s="109" t="s">
        <v>5826</v>
      </c>
      <c r="G2282" s="112" t="s">
        <v>5827</v>
      </c>
      <c r="H2282" s="115" t="s">
        <v>402</v>
      </c>
      <c r="I2282" s="111" t="s">
        <v>402</v>
      </c>
      <c r="J2282" s="111" t="s">
        <v>402</v>
      </c>
      <c r="K2282" s="108" t="s">
        <v>1254</v>
      </c>
      <c r="L2282" s="55" t="s">
        <v>404</v>
      </c>
      <c r="M2282" s="55" t="s">
        <v>7634</v>
      </c>
    </row>
    <row r="2283" spans="1:13">
      <c r="A2283" s="408" t="s">
        <v>5828</v>
      </c>
      <c r="B2283" s="106" t="s">
        <v>327</v>
      </c>
      <c r="C2283" s="106" t="s">
        <v>473</v>
      </c>
      <c r="D2283" s="107" t="s">
        <v>5829</v>
      </c>
      <c r="E2283" s="109" t="s">
        <v>355</v>
      </c>
      <c r="F2283" s="109" t="s">
        <v>355</v>
      </c>
      <c r="G2283" s="55" t="s">
        <v>355</v>
      </c>
      <c r="H2283" s="108" t="s">
        <v>402</v>
      </c>
      <c r="I2283" s="111" t="s">
        <v>402</v>
      </c>
      <c r="J2283" s="111" t="s">
        <v>402</v>
      </c>
      <c r="K2283" s="106" t="s">
        <v>403</v>
      </c>
      <c r="L2283" s="55" t="s">
        <v>404</v>
      </c>
      <c r="M2283" s="55" t="s">
        <v>7634</v>
      </c>
    </row>
    <row r="2284" spans="1:13">
      <c r="A2284" s="401" t="s">
        <v>5830</v>
      </c>
      <c r="B2284" s="106" t="s">
        <v>327</v>
      </c>
      <c r="C2284" s="106" t="s">
        <v>473</v>
      </c>
      <c r="D2284" s="109" t="s">
        <v>5831</v>
      </c>
      <c r="E2284" s="109" t="s">
        <v>5832</v>
      </c>
      <c r="F2284" s="109" t="s">
        <v>5833</v>
      </c>
      <c r="G2284" s="112" t="s">
        <v>5834</v>
      </c>
      <c r="H2284" s="115" t="s">
        <v>402</v>
      </c>
      <c r="I2284" s="111" t="s">
        <v>402</v>
      </c>
      <c r="J2284" s="111" t="s">
        <v>402</v>
      </c>
      <c r="K2284" s="106" t="s">
        <v>592</v>
      </c>
      <c r="L2284" s="55" t="s">
        <v>404</v>
      </c>
      <c r="M2284" s="55" t="s">
        <v>7634</v>
      </c>
    </row>
    <row r="2285" spans="1:13">
      <c r="A2285" s="408" t="s">
        <v>5835</v>
      </c>
      <c r="B2285" s="106" t="s">
        <v>327</v>
      </c>
      <c r="C2285" s="106" t="s">
        <v>473</v>
      </c>
      <c r="D2285" s="107" t="s">
        <v>5836</v>
      </c>
      <c r="E2285" s="109" t="s">
        <v>355</v>
      </c>
      <c r="F2285" s="109" t="s">
        <v>355</v>
      </c>
      <c r="G2285" s="55" t="s">
        <v>355</v>
      </c>
      <c r="H2285" s="108" t="s">
        <v>402</v>
      </c>
      <c r="I2285" s="111" t="s">
        <v>402</v>
      </c>
      <c r="J2285" s="111" t="s">
        <v>402</v>
      </c>
      <c r="K2285" s="106" t="s">
        <v>403</v>
      </c>
      <c r="L2285" s="55" t="s">
        <v>404</v>
      </c>
      <c r="M2285" s="55" t="s">
        <v>7634</v>
      </c>
    </row>
    <row r="2286" spans="1:13">
      <c r="A2286" s="405" t="s">
        <v>7583</v>
      </c>
      <c r="B2286" s="106" t="s">
        <v>327</v>
      </c>
      <c r="C2286" s="132" t="s">
        <v>473</v>
      </c>
      <c r="D2286" s="133"/>
      <c r="E2286" s="133"/>
      <c r="F2286" s="133"/>
      <c r="H2286" s="55"/>
      <c r="I2286" s="111"/>
      <c r="J2286" s="111"/>
      <c r="K2286" s="108"/>
      <c r="L2286" s="55"/>
      <c r="M2286" s="55" t="s">
        <v>7634</v>
      </c>
    </row>
    <row r="2287" spans="1:13">
      <c r="A2287" s="408" t="s">
        <v>5837</v>
      </c>
      <c r="B2287" s="106" t="s">
        <v>327</v>
      </c>
      <c r="C2287" s="106" t="s">
        <v>473</v>
      </c>
      <c r="D2287" s="107" t="s">
        <v>5838</v>
      </c>
      <c r="E2287" s="109" t="s">
        <v>355</v>
      </c>
      <c r="F2287" s="109" t="s">
        <v>355</v>
      </c>
      <c r="G2287" s="55" t="s">
        <v>355</v>
      </c>
      <c r="H2287" s="108" t="s">
        <v>402</v>
      </c>
      <c r="I2287" s="111" t="s">
        <v>402</v>
      </c>
      <c r="J2287" s="111" t="s">
        <v>402</v>
      </c>
      <c r="K2287" s="106" t="s">
        <v>403</v>
      </c>
      <c r="L2287" s="55" t="s">
        <v>404</v>
      </c>
      <c r="M2287" s="55" t="s">
        <v>7634</v>
      </c>
    </row>
    <row r="2288" spans="1:13">
      <c r="A2288" s="408" t="s">
        <v>5839</v>
      </c>
      <c r="B2288" s="106" t="s">
        <v>327</v>
      </c>
      <c r="C2288" s="106" t="s">
        <v>473</v>
      </c>
      <c r="D2288" s="107" t="s">
        <v>5840</v>
      </c>
      <c r="E2288" s="109" t="s">
        <v>355</v>
      </c>
      <c r="F2288" s="109" t="s">
        <v>355</v>
      </c>
      <c r="G2288" s="55" t="s">
        <v>355</v>
      </c>
      <c r="H2288" s="108" t="s">
        <v>402</v>
      </c>
      <c r="I2288" s="111" t="s">
        <v>402</v>
      </c>
      <c r="J2288" s="111" t="s">
        <v>402</v>
      </c>
      <c r="K2288" s="106" t="s">
        <v>403</v>
      </c>
      <c r="L2288" s="55" t="s">
        <v>404</v>
      </c>
      <c r="M2288" s="55" t="s">
        <v>7634</v>
      </c>
    </row>
    <row r="2289" spans="1:13">
      <c r="A2289" s="408" t="s">
        <v>5841</v>
      </c>
      <c r="B2289" s="106" t="s">
        <v>327</v>
      </c>
      <c r="C2289" s="106" t="s">
        <v>473</v>
      </c>
      <c r="D2289" s="107" t="s">
        <v>5842</v>
      </c>
      <c r="E2289" s="109" t="s">
        <v>355</v>
      </c>
      <c r="F2289" s="109" t="s">
        <v>355</v>
      </c>
      <c r="G2289" s="55" t="s">
        <v>355</v>
      </c>
      <c r="H2289" s="108" t="s">
        <v>402</v>
      </c>
      <c r="I2289" s="111" t="s">
        <v>402</v>
      </c>
      <c r="J2289" s="111" t="s">
        <v>402</v>
      </c>
      <c r="K2289" s="106" t="s">
        <v>403</v>
      </c>
      <c r="L2289" s="55" t="s">
        <v>404</v>
      </c>
      <c r="M2289" s="55" t="s">
        <v>7634</v>
      </c>
    </row>
    <row r="2290" spans="1:13">
      <c r="A2290" s="408" t="s">
        <v>5843</v>
      </c>
      <c r="B2290" s="106" t="s">
        <v>327</v>
      </c>
      <c r="C2290" s="106" t="s">
        <v>473</v>
      </c>
      <c r="D2290" s="107" t="s">
        <v>5844</v>
      </c>
      <c r="E2290" s="109" t="s">
        <v>355</v>
      </c>
      <c r="F2290" s="109" t="s">
        <v>355</v>
      </c>
      <c r="G2290" s="55" t="s">
        <v>355</v>
      </c>
      <c r="H2290" s="108" t="s">
        <v>402</v>
      </c>
      <c r="I2290" s="111" t="s">
        <v>402</v>
      </c>
      <c r="J2290" s="111" t="s">
        <v>402</v>
      </c>
      <c r="K2290" s="106" t="s">
        <v>403</v>
      </c>
      <c r="L2290" s="55" t="s">
        <v>404</v>
      </c>
      <c r="M2290" s="55" t="s">
        <v>7634</v>
      </c>
    </row>
    <row r="2291" spans="1:13">
      <c r="A2291" s="408" t="s">
        <v>5845</v>
      </c>
      <c r="B2291" s="106" t="s">
        <v>327</v>
      </c>
      <c r="C2291" s="106" t="s">
        <v>473</v>
      </c>
      <c r="D2291" s="107" t="s">
        <v>5844</v>
      </c>
      <c r="E2291" s="109" t="s">
        <v>355</v>
      </c>
      <c r="F2291" s="109" t="s">
        <v>355</v>
      </c>
      <c r="G2291" s="55" t="s">
        <v>355</v>
      </c>
      <c r="H2291" s="108" t="s">
        <v>402</v>
      </c>
      <c r="I2291" s="111" t="s">
        <v>402</v>
      </c>
      <c r="J2291" s="111" t="s">
        <v>402</v>
      </c>
      <c r="K2291" s="106" t="s">
        <v>403</v>
      </c>
      <c r="L2291" s="55" t="s">
        <v>404</v>
      </c>
      <c r="M2291" s="55" t="s">
        <v>7634</v>
      </c>
    </row>
    <row r="2292" spans="1:13">
      <c r="A2292" s="408" t="s">
        <v>5846</v>
      </c>
      <c r="B2292" s="106" t="s">
        <v>327</v>
      </c>
      <c r="C2292" s="106" t="s">
        <v>473</v>
      </c>
      <c r="D2292" s="107" t="s">
        <v>5847</v>
      </c>
      <c r="E2292" s="109" t="s">
        <v>355</v>
      </c>
      <c r="F2292" s="109" t="s">
        <v>355</v>
      </c>
      <c r="G2292" s="55" t="s">
        <v>355</v>
      </c>
      <c r="H2292" s="108" t="s">
        <v>402</v>
      </c>
      <c r="I2292" s="111" t="s">
        <v>402</v>
      </c>
      <c r="J2292" s="111" t="s">
        <v>402</v>
      </c>
      <c r="K2292" s="106" t="s">
        <v>403</v>
      </c>
      <c r="L2292" s="55" t="s">
        <v>404</v>
      </c>
      <c r="M2292" s="55" t="s">
        <v>7634</v>
      </c>
    </row>
    <row r="2293" spans="1:13">
      <c r="A2293" s="408" t="s">
        <v>5848</v>
      </c>
      <c r="B2293" s="106" t="s">
        <v>327</v>
      </c>
      <c r="C2293" s="106" t="s">
        <v>473</v>
      </c>
      <c r="D2293" s="107" t="s">
        <v>5849</v>
      </c>
      <c r="E2293" s="109" t="s">
        <v>355</v>
      </c>
      <c r="F2293" s="109" t="s">
        <v>355</v>
      </c>
      <c r="G2293" s="55" t="s">
        <v>355</v>
      </c>
      <c r="H2293" s="108" t="s">
        <v>402</v>
      </c>
      <c r="I2293" s="111" t="s">
        <v>402</v>
      </c>
      <c r="J2293" s="111" t="s">
        <v>402</v>
      </c>
      <c r="K2293" s="106" t="s">
        <v>403</v>
      </c>
      <c r="L2293" s="55" t="s">
        <v>404</v>
      </c>
      <c r="M2293" s="55" t="s">
        <v>7634</v>
      </c>
    </row>
    <row r="2294" spans="1:13">
      <c r="A2294" s="408" t="s">
        <v>5850</v>
      </c>
      <c r="B2294" s="106" t="s">
        <v>327</v>
      </c>
      <c r="C2294" s="106" t="s">
        <v>473</v>
      </c>
      <c r="D2294" s="107" t="s">
        <v>5849</v>
      </c>
      <c r="E2294" s="109" t="s">
        <v>355</v>
      </c>
      <c r="F2294" s="109" t="s">
        <v>355</v>
      </c>
      <c r="G2294" s="55" t="s">
        <v>355</v>
      </c>
      <c r="H2294" s="108" t="s">
        <v>402</v>
      </c>
      <c r="I2294" s="111" t="s">
        <v>402</v>
      </c>
      <c r="J2294" s="111" t="s">
        <v>402</v>
      </c>
      <c r="K2294" s="106" t="s">
        <v>403</v>
      </c>
      <c r="L2294" s="55" t="s">
        <v>404</v>
      </c>
      <c r="M2294" s="55" t="s">
        <v>7634</v>
      </c>
    </row>
    <row r="2295" spans="1:13">
      <c r="A2295" s="578" t="s">
        <v>5851</v>
      </c>
      <c r="B2295" s="586" t="s">
        <v>373</v>
      </c>
      <c r="C2295" s="586" t="s">
        <v>473</v>
      </c>
      <c r="D2295" s="586" t="s">
        <v>5852</v>
      </c>
      <c r="E2295" s="586" t="s">
        <v>5853</v>
      </c>
      <c r="F2295" s="586" t="s">
        <v>5854</v>
      </c>
      <c r="G2295" s="586" t="s">
        <v>5855</v>
      </c>
      <c r="H2295" s="586" t="s">
        <v>359</v>
      </c>
      <c r="I2295" s="587" t="s">
        <v>359</v>
      </c>
      <c r="J2295" s="586"/>
      <c r="K2295" s="586" t="s">
        <v>2508</v>
      </c>
      <c r="L2295" s="586" t="s">
        <v>5856</v>
      </c>
      <c r="M2295" s="55" t="s">
        <v>7634</v>
      </c>
    </row>
    <row r="2296" spans="1:13">
      <c r="A2296" s="401" t="s">
        <v>6982</v>
      </c>
      <c r="B2296" s="106" t="s">
        <v>327</v>
      </c>
      <c r="C2296" s="106" t="s">
        <v>473</v>
      </c>
      <c r="D2296" s="107" t="s">
        <v>6983</v>
      </c>
      <c r="E2296" s="107" t="s">
        <v>6984</v>
      </c>
      <c r="F2296" s="107" t="s">
        <v>6985</v>
      </c>
      <c r="G2296" s="589" t="s">
        <v>6986</v>
      </c>
      <c r="H2296" s="108" t="s">
        <v>402</v>
      </c>
      <c r="I2296" s="111" t="s">
        <v>402</v>
      </c>
      <c r="J2296" s="111" t="s">
        <v>402</v>
      </c>
      <c r="K2296" s="106" t="s">
        <v>403</v>
      </c>
      <c r="L2296" s="55" t="s">
        <v>404</v>
      </c>
      <c r="M2296" s="55" t="s">
        <v>7634</v>
      </c>
    </row>
    <row r="2297" spans="1:13">
      <c r="A2297" s="408" t="s">
        <v>5857</v>
      </c>
      <c r="B2297" s="106" t="s">
        <v>327</v>
      </c>
      <c r="C2297" s="106" t="s">
        <v>473</v>
      </c>
      <c r="D2297" s="107" t="s">
        <v>5858</v>
      </c>
      <c r="E2297" s="109" t="s">
        <v>355</v>
      </c>
      <c r="F2297" s="109" t="s">
        <v>355</v>
      </c>
      <c r="G2297" s="55" t="s">
        <v>355</v>
      </c>
      <c r="H2297" s="108" t="s">
        <v>402</v>
      </c>
      <c r="I2297" s="111" t="s">
        <v>402</v>
      </c>
      <c r="J2297" s="111" t="s">
        <v>402</v>
      </c>
      <c r="K2297" s="106" t="s">
        <v>403</v>
      </c>
      <c r="L2297" s="55" t="s">
        <v>404</v>
      </c>
      <c r="M2297" s="55" t="s">
        <v>7634</v>
      </c>
    </row>
    <row r="2298" spans="1:13">
      <c r="A2298" s="408" t="s">
        <v>5859</v>
      </c>
      <c r="B2298" s="106" t="s">
        <v>327</v>
      </c>
      <c r="C2298" s="106" t="s">
        <v>473</v>
      </c>
      <c r="D2298" s="107" t="s">
        <v>5860</v>
      </c>
      <c r="E2298" s="109" t="s">
        <v>355</v>
      </c>
      <c r="F2298" s="109" t="s">
        <v>355</v>
      </c>
      <c r="G2298" s="55" t="s">
        <v>355</v>
      </c>
      <c r="H2298" s="108" t="s">
        <v>402</v>
      </c>
      <c r="I2298" s="111" t="s">
        <v>402</v>
      </c>
      <c r="J2298" s="111" t="s">
        <v>402</v>
      </c>
      <c r="K2298" s="106" t="s">
        <v>403</v>
      </c>
      <c r="L2298" s="55" t="s">
        <v>404</v>
      </c>
      <c r="M2298" s="55" t="s">
        <v>7634</v>
      </c>
    </row>
    <row r="2299" spans="1:13">
      <c r="A2299" s="401" t="s">
        <v>5861</v>
      </c>
      <c r="B2299" s="106" t="s">
        <v>327</v>
      </c>
      <c r="C2299" s="106" t="s">
        <v>473</v>
      </c>
      <c r="D2299" s="109" t="s">
        <v>5862</v>
      </c>
      <c r="E2299" s="109" t="s">
        <v>5863</v>
      </c>
      <c r="F2299" s="109" t="s">
        <v>5864</v>
      </c>
      <c r="G2299" s="117" t="s">
        <v>383</v>
      </c>
      <c r="H2299" s="115" t="s">
        <v>402</v>
      </c>
      <c r="I2299" s="111" t="s">
        <v>402</v>
      </c>
      <c r="J2299" s="111" t="s">
        <v>402</v>
      </c>
      <c r="K2299" s="115" t="s">
        <v>403</v>
      </c>
      <c r="L2299" s="55" t="s">
        <v>404</v>
      </c>
      <c r="M2299" s="113" t="s">
        <v>1173</v>
      </c>
    </row>
    <row r="2300" spans="1:13">
      <c r="A2300" s="408" t="s">
        <v>5865</v>
      </c>
      <c r="B2300" s="106" t="s">
        <v>327</v>
      </c>
      <c r="C2300" s="106" t="s">
        <v>473</v>
      </c>
      <c r="D2300" s="107" t="s">
        <v>5866</v>
      </c>
      <c r="E2300" s="109" t="s">
        <v>355</v>
      </c>
      <c r="F2300" s="109" t="s">
        <v>355</v>
      </c>
      <c r="G2300" s="55" t="s">
        <v>355</v>
      </c>
      <c r="H2300" s="108" t="s">
        <v>402</v>
      </c>
      <c r="I2300" s="111" t="s">
        <v>402</v>
      </c>
      <c r="J2300" s="111" t="s">
        <v>402</v>
      </c>
      <c r="K2300" s="106" t="s">
        <v>403</v>
      </c>
      <c r="L2300" s="55" t="s">
        <v>404</v>
      </c>
      <c r="M2300" s="55" t="s">
        <v>7634</v>
      </c>
    </row>
    <row r="2301" spans="1:13">
      <c r="A2301" s="408" t="s">
        <v>5867</v>
      </c>
      <c r="B2301" s="106" t="s">
        <v>327</v>
      </c>
      <c r="C2301" s="106" t="s">
        <v>473</v>
      </c>
      <c r="D2301" s="107" t="s">
        <v>5866</v>
      </c>
      <c r="E2301" s="109" t="s">
        <v>355</v>
      </c>
      <c r="F2301" s="109" t="s">
        <v>355</v>
      </c>
      <c r="G2301" s="55" t="s">
        <v>355</v>
      </c>
      <c r="H2301" s="108" t="s">
        <v>402</v>
      </c>
      <c r="I2301" s="111" t="s">
        <v>402</v>
      </c>
      <c r="J2301" s="111" t="s">
        <v>402</v>
      </c>
      <c r="K2301" s="106" t="s">
        <v>403</v>
      </c>
      <c r="L2301" s="55" t="s">
        <v>404</v>
      </c>
      <c r="M2301" s="55" t="s">
        <v>7634</v>
      </c>
    </row>
    <row r="2302" spans="1:13">
      <c r="A2302" s="408" t="s">
        <v>5868</v>
      </c>
      <c r="B2302" s="106" t="s">
        <v>327</v>
      </c>
      <c r="C2302" s="106" t="s">
        <v>473</v>
      </c>
      <c r="D2302" s="107" t="s">
        <v>5869</v>
      </c>
      <c r="E2302" s="109" t="s">
        <v>355</v>
      </c>
      <c r="F2302" s="109" t="s">
        <v>355</v>
      </c>
      <c r="G2302" s="55" t="s">
        <v>355</v>
      </c>
      <c r="H2302" s="108" t="s">
        <v>402</v>
      </c>
      <c r="I2302" s="111" t="s">
        <v>402</v>
      </c>
      <c r="J2302" s="111" t="s">
        <v>402</v>
      </c>
      <c r="K2302" s="106" t="s">
        <v>403</v>
      </c>
      <c r="L2302" s="55" t="s">
        <v>404</v>
      </c>
      <c r="M2302" s="55" t="s">
        <v>7634</v>
      </c>
    </row>
    <row r="2303" spans="1:13">
      <c r="A2303" s="408" t="s">
        <v>5870</v>
      </c>
      <c r="B2303" s="106" t="s">
        <v>327</v>
      </c>
      <c r="C2303" s="106" t="s">
        <v>473</v>
      </c>
      <c r="D2303" s="107" t="s">
        <v>5871</v>
      </c>
      <c r="E2303" s="109" t="s">
        <v>355</v>
      </c>
      <c r="F2303" s="109" t="s">
        <v>355</v>
      </c>
      <c r="G2303" s="55" t="s">
        <v>355</v>
      </c>
      <c r="H2303" s="108" t="s">
        <v>402</v>
      </c>
      <c r="I2303" s="111" t="s">
        <v>402</v>
      </c>
      <c r="J2303" s="111" t="s">
        <v>402</v>
      </c>
      <c r="K2303" s="106" t="s">
        <v>403</v>
      </c>
      <c r="L2303" s="55" t="s">
        <v>404</v>
      </c>
      <c r="M2303" s="55" t="s">
        <v>7634</v>
      </c>
    </row>
    <row r="2304" spans="1:13">
      <c r="A2304" s="408" t="s">
        <v>5872</v>
      </c>
      <c r="B2304" s="106" t="s">
        <v>327</v>
      </c>
      <c r="C2304" s="106" t="s">
        <v>473</v>
      </c>
      <c r="D2304" s="107" t="s">
        <v>5873</v>
      </c>
      <c r="E2304" s="109" t="s">
        <v>355</v>
      </c>
      <c r="F2304" s="109" t="s">
        <v>355</v>
      </c>
      <c r="G2304" s="55" t="s">
        <v>355</v>
      </c>
      <c r="H2304" s="108" t="s">
        <v>402</v>
      </c>
      <c r="I2304" s="111" t="s">
        <v>402</v>
      </c>
      <c r="J2304" s="111" t="s">
        <v>402</v>
      </c>
      <c r="K2304" s="106" t="s">
        <v>403</v>
      </c>
      <c r="L2304" s="55" t="s">
        <v>404</v>
      </c>
      <c r="M2304" s="55" t="s">
        <v>7634</v>
      </c>
    </row>
    <row r="2305" spans="1:13">
      <c r="A2305" s="408" t="s">
        <v>5874</v>
      </c>
      <c r="B2305" s="106" t="s">
        <v>327</v>
      </c>
      <c r="C2305" s="106" t="s">
        <v>473</v>
      </c>
      <c r="D2305" s="107" t="s">
        <v>5875</v>
      </c>
      <c r="E2305" s="109" t="s">
        <v>355</v>
      </c>
      <c r="F2305" s="109" t="s">
        <v>355</v>
      </c>
      <c r="G2305" s="55" t="s">
        <v>355</v>
      </c>
      <c r="H2305" s="108" t="s">
        <v>402</v>
      </c>
      <c r="I2305" s="111" t="s">
        <v>402</v>
      </c>
      <c r="J2305" s="111" t="s">
        <v>402</v>
      </c>
      <c r="K2305" s="106" t="s">
        <v>403</v>
      </c>
      <c r="L2305" s="55" t="s">
        <v>404</v>
      </c>
      <c r="M2305" s="55" t="s">
        <v>7634</v>
      </c>
    </row>
    <row r="2306" spans="1:13">
      <c r="A2306" s="408" t="s">
        <v>5876</v>
      </c>
      <c r="B2306" s="106" t="s">
        <v>327</v>
      </c>
      <c r="C2306" s="106" t="s">
        <v>473</v>
      </c>
      <c r="D2306" s="107" t="s">
        <v>5877</v>
      </c>
      <c r="E2306" s="109" t="s">
        <v>355</v>
      </c>
      <c r="F2306" s="109" t="s">
        <v>355</v>
      </c>
      <c r="G2306" s="55" t="s">
        <v>355</v>
      </c>
      <c r="H2306" s="108" t="s">
        <v>402</v>
      </c>
      <c r="I2306" s="111" t="s">
        <v>402</v>
      </c>
      <c r="J2306" s="111" t="s">
        <v>402</v>
      </c>
      <c r="K2306" s="106" t="s">
        <v>403</v>
      </c>
      <c r="L2306" s="55" t="s">
        <v>404</v>
      </c>
      <c r="M2306" s="55" t="s">
        <v>7634</v>
      </c>
    </row>
    <row r="2307" spans="1:13">
      <c r="A2307" s="408" t="s">
        <v>5878</v>
      </c>
      <c r="B2307" s="106" t="s">
        <v>327</v>
      </c>
      <c r="C2307" s="106" t="s">
        <v>473</v>
      </c>
      <c r="D2307" s="107" t="s">
        <v>5879</v>
      </c>
      <c r="E2307" s="109" t="s">
        <v>355</v>
      </c>
      <c r="F2307" s="109" t="s">
        <v>355</v>
      </c>
      <c r="G2307" s="55" t="s">
        <v>355</v>
      </c>
      <c r="H2307" s="108" t="s">
        <v>402</v>
      </c>
      <c r="I2307" s="111" t="s">
        <v>402</v>
      </c>
      <c r="J2307" s="111" t="s">
        <v>402</v>
      </c>
      <c r="K2307" s="106" t="s">
        <v>403</v>
      </c>
      <c r="L2307" s="55" t="s">
        <v>404</v>
      </c>
      <c r="M2307" s="55" t="s">
        <v>7634</v>
      </c>
    </row>
    <row r="2308" spans="1:13">
      <c r="A2308" s="408" t="s">
        <v>5880</v>
      </c>
      <c r="B2308" s="106" t="s">
        <v>327</v>
      </c>
      <c r="C2308" s="106" t="s">
        <v>473</v>
      </c>
      <c r="D2308" s="107" t="s">
        <v>5881</v>
      </c>
      <c r="E2308" s="109" t="s">
        <v>355</v>
      </c>
      <c r="F2308" s="109" t="s">
        <v>355</v>
      </c>
      <c r="G2308" s="55" t="s">
        <v>355</v>
      </c>
      <c r="H2308" s="108" t="s">
        <v>402</v>
      </c>
      <c r="I2308" s="111" t="s">
        <v>402</v>
      </c>
      <c r="J2308" s="111" t="s">
        <v>402</v>
      </c>
      <c r="K2308" s="106" t="s">
        <v>403</v>
      </c>
      <c r="L2308" s="55" t="s">
        <v>404</v>
      </c>
      <c r="M2308" s="55" t="s">
        <v>7634</v>
      </c>
    </row>
    <row r="2309" spans="1:13">
      <c r="A2309" s="408" t="s">
        <v>5882</v>
      </c>
      <c r="B2309" s="106" t="s">
        <v>327</v>
      </c>
      <c r="C2309" s="106" t="s">
        <v>473</v>
      </c>
      <c r="D2309" s="107" t="s">
        <v>5883</v>
      </c>
      <c r="E2309" s="109" t="s">
        <v>355</v>
      </c>
      <c r="F2309" s="109" t="s">
        <v>355</v>
      </c>
      <c r="G2309" s="55" t="s">
        <v>355</v>
      </c>
      <c r="H2309" s="108" t="s">
        <v>402</v>
      </c>
      <c r="I2309" s="111" t="s">
        <v>402</v>
      </c>
      <c r="J2309" s="111" t="s">
        <v>402</v>
      </c>
      <c r="K2309" s="106" t="s">
        <v>403</v>
      </c>
      <c r="L2309" s="55" t="s">
        <v>404</v>
      </c>
      <c r="M2309" s="55" t="s">
        <v>7634</v>
      </c>
    </row>
    <row r="2310" spans="1:13">
      <c r="A2310" s="401" t="s">
        <v>5884</v>
      </c>
      <c r="B2310" s="106" t="s">
        <v>1059</v>
      </c>
      <c r="C2310" s="106" t="s">
        <v>473</v>
      </c>
      <c r="D2310" s="107" t="s">
        <v>5885</v>
      </c>
      <c r="E2310" s="107" t="s">
        <v>5886</v>
      </c>
      <c r="F2310" s="107" t="s">
        <v>5887</v>
      </c>
      <c r="G2310" s="57" t="s">
        <v>5888</v>
      </c>
      <c r="H2310" s="108" t="s">
        <v>402</v>
      </c>
      <c r="I2310" s="111" t="s">
        <v>402</v>
      </c>
      <c r="J2310" s="111" t="s">
        <v>402</v>
      </c>
      <c r="K2310" s="106" t="s">
        <v>403</v>
      </c>
      <c r="L2310" s="55" t="s">
        <v>404</v>
      </c>
      <c r="M2310" s="55" t="s">
        <v>355</v>
      </c>
    </row>
    <row r="2311" spans="1:13">
      <c r="A2311" s="408" t="s">
        <v>5889</v>
      </c>
      <c r="B2311" s="106" t="s">
        <v>327</v>
      </c>
      <c r="C2311" s="106" t="s">
        <v>473</v>
      </c>
      <c r="D2311" s="107" t="s">
        <v>5890</v>
      </c>
      <c r="E2311" s="109" t="s">
        <v>355</v>
      </c>
      <c r="F2311" s="109" t="s">
        <v>355</v>
      </c>
      <c r="G2311" s="55" t="s">
        <v>355</v>
      </c>
      <c r="H2311" s="108" t="s">
        <v>402</v>
      </c>
      <c r="I2311" s="111" t="s">
        <v>402</v>
      </c>
      <c r="J2311" s="111" t="s">
        <v>402</v>
      </c>
      <c r="K2311" s="106" t="s">
        <v>403</v>
      </c>
      <c r="L2311" s="55" t="s">
        <v>404</v>
      </c>
      <c r="M2311" s="55" t="s">
        <v>7634</v>
      </c>
    </row>
    <row r="2312" spans="1:13">
      <c r="A2312" s="408" t="s">
        <v>5891</v>
      </c>
      <c r="B2312" s="106" t="s">
        <v>327</v>
      </c>
      <c r="C2312" s="106" t="s">
        <v>473</v>
      </c>
      <c r="D2312" s="107" t="s">
        <v>5892</v>
      </c>
      <c r="E2312" s="109" t="s">
        <v>355</v>
      </c>
      <c r="F2312" s="109" t="s">
        <v>355</v>
      </c>
      <c r="G2312" s="55" t="s">
        <v>355</v>
      </c>
      <c r="H2312" s="108" t="s">
        <v>402</v>
      </c>
      <c r="I2312" s="111" t="s">
        <v>402</v>
      </c>
      <c r="J2312" s="111" t="s">
        <v>402</v>
      </c>
      <c r="K2312" s="106" t="s">
        <v>403</v>
      </c>
      <c r="L2312" s="55" t="s">
        <v>404</v>
      </c>
      <c r="M2312" s="55" t="s">
        <v>7634</v>
      </c>
    </row>
    <row r="2313" spans="1:13">
      <c r="A2313" s="401" t="s">
        <v>5893</v>
      </c>
      <c r="B2313" s="106" t="s">
        <v>327</v>
      </c>
      <c r="C2313" s="106" t="s">
        <v>473</v>
      </c>
      <c r="D2313" s="107" t="s">
        <v>5894</v>
      </c>
      <c r="E2313" s="107" t="s">
        <v>3408</v>
      </c>
      <c r="F2313" s="107" t="s">
        <v>5895</v>
      </c>
      <c r="G2313" s="57" t="s">
        <v>5896</v>
      </c>
      <c r="H2313" s="108" t="s">
        <v>402</v>
      </c>
      <c r="I2313" s="111" t="s">
        <v>402</v>
      </c>
      <c r="J2313" s="111" t="s">
        <v>402</v>
      </c>
      <c r="K2313" s="106" t="s">
        <v>403</v>
      </c>
      <c r="L2313" s="55" t="s">
        <v>404</v>
      </c>
      <c r="M2313" s="55" t="s">
        <v>355</v>
      </c>
    </row>
    <row r="2314" spans="1:13">
      <c r="A2314" s="401" t="s">
        <v>5897</v>
      </c>
      <c r="B2314" s="106" t="s">
        <v>327</v>
      </c>
      <c r="C2314" s="106" t="s">
        <v>473</v>
      </c>
      <c r="D2314" s="107" t="s">
        <v>5898</v>
      </c>
      <c r="E2314" s="107" t="s">
        <v>5899</v>
      </c>
      <c r="F2314" s="107" t="s">
        <v>5900</v>
      </c>
      <c r="G2314" s="114"/>
      <c r="H2314" s="115" t="s">
        <v>402</v>
      </c>
      <c r="I2314" s="111" t="s">
        <v>402</v>
      </c>
      <c r="J2314" s="111" t="s">
        <v>402</v>
      </c>
      <c r="K2314" s="106" t="s">
        <v>403</v>
      </c>
      <c r="L2314" s="55" t="s">
        <v>404</v>
      </c>
      <c r="M2314" s="55" t="s">
        <v>7634</v>
      </c>
    </row>
    <row r="2315" spans="1:13">
      <c r="A2315" s="408" t="s">
        <v>5901</v>
      </c>
      <c r="B2315" s="106" t="s">
        <v>327</v>
      </c>
      <c r="C2315" s="106" t="s">
        <v>473</v>
      </c>
      <c r="D2315" s="107" t="s">
        <v>5902</v>
      </c>
      <c r="E2315" s="109" t="s">
        <v>355</v>
      </c>
      <c r="F2315" s="109" t="s">
        <v>355</v>
      </c>
      <c r="G2315" s="55" t="s">
        <v>355</v>
      </c>
      <c r="H2315" s="108" t="s">
        <v>402</v>
      </c>
      <c r="I2315" s="111" t="s">
        <v>402</v>
      </c>
      <c r="J2315" s="111" t="s">
        <v>402</v>
      </c>
      <c r="K2315" s="106" t="s">
        <v>403</v>
      </c>
      <c r="L2315" s="55" t="s">
        <v>404</v>
      </c>
      <c r="M2315" s="55" t="s">
        <v>7634</v>
      </c>
    </row>
    <row r="2316" spans="1:13">
      <c r="A2316" s="408" t="s">
        <v>5903</v>
      </c>
      <c r="B2316" s="106" t="s">
        <v>327</v>
      </c>
      <c r="C2316" s="106" t="s">
        <v>473</v>
      </c>
      <c r="D2316" s="107" t="s">
        <v>5866</v>
      </c>
      <c r="E2316" s="109" t="s">
        <v>355</v>
      </c>
      <c r="F2316" s="109" t="s">
        <v>355</v>
      </c>
      <c r="G2316" s="55" t="s">
        <v>355</v>
      </c>
      <c r="H2316" s="108" t="s">
        <v>402</v>
      </c>
      <c r="I2316" s="111" t="s">
        <v>402</v>
      </c>
      <c r="J2316" s="111" t="s">
        <v>402</v>
      </c>
      <c r="K2316" s="106" t="s">
        <v>403</v>
      </c>
      <c r="L2316" s="55" t="s">
        <v>404</v>
      </c>
      <c r="M2316" s="55" t="s">
        <v>7634</v>
      </c>
    </row>
    <row r="2317" spans="1:13">
      <c r="A2317" s="408" t="s">
        <v>5904</v>
      </c>
      <c r="B2317" s="106" t="s">
        <v>327</v>
      </c>
      <c r="C2317" s="106" t="s">
        <v>473</v>
      </c>
      <c r="D2317" s="107" t="s">
        <v>5905</v>
      </c>
      <c r="E2317" s="109" t="s">
        <v>355</v>
      </c>
      <c r="F2317" s="109" t="s">
        <v>355</v>
      </c>
      <c r="G2317" s="55" t="s">
        <v>355</v>
      </c>
      <c r="H2317" s="108" t="s">
        <v>402</v>
      </c>
      <c r="I2317" s="111" t="s">
        <v>402</v>
      </c>
      <c r="J2317" s="111" t="s">
        <v>402</v>
      </c>
      <c r="K2317" s="106" t="s">
        <v>403</v>
      </c>
      <c r="L2317" s="55" t="s">
        <v>404</v>
      </c>
      <c r="M2317" s="55" t="s">
        <v>7634</v>
      </c>
    </row>
    <row r="2318" spans="1:13">
      <c r="A2318" s="408" t="s">
        <v>5906</v>
      </c>
      <c r="B2318" s="106" t="s">
        <v>327</v>
      </c>
      <c r="C2318" s="106" t="s">
        <v>473</v>
      </c>
      <c r="D2318" s="107" t="s">
        <v>5907</v>
      </c>
      <c r="E2318" s="109" t="s">
        <v>355</v>
      </c>
      <c r="F2318" s="109" t="s">
        <v>355</v>
      </c>
      <c r="G2318" s="55" t="s">
        <v>355</v>
      </c>
      <c r="H2318" s="108" t="s">
        <v>402</v>
      </c>
      <c r="I2318" s="111" t="s">
        <v>402</v>
      </c>
      <c r="J2318" s="111" t="s">
        <v>402</v>
      </c>
      <c r="K2318" s="106" t="s">
        <v>403</v>
      </c>
      <c r="L2318" s="55" t="s">
        <v>404</v>
      </c>
      <c r="M2318" s="55" t="s">
        <v>7634</v>
      </c>
    </row>
    <row r="2319" spans="1:13">
      <c r="A2319" s="408" t="s">
        <v>5908</v>
      </c>
      <c r="B2319" s="106" t="s">
        <v>327</v>
      </c>
      <c r="C2319" s="106" t="s">
        <v>473</v>
      </c>
      <c r="D2319" s="107" t="s">
        <v>5909</v>
      </c>
      <c r="E2319" s="109" t="s">
        <v>355</v>
      </c>
      <c r="F2319" s="109" t="s">
        <v>355</v>
      </c>
      <c r="G2319" s="55" t="s">
        <v>355</v>
      </c>
      <c r="H2319" s="108" t="s">
        <v>402</v>
      </c>
      <c r="I2319" s="111" t="s">
        <v>402</v>
      </c>
      <c r="J2319" s="111" t="s">
        <v>402</v>
      </c>
      <c r="K2319" s="106" t="s">
        <v>403</v>
      </c>
      <c r="L2319" s="55" t="s">
        <v>404</v>
      </c>
      <c r="M2319" s="55" t="s">
        <v>7634</v>
      </c>
    </row>
    <row r="2320" spans="1:13">
      <c r="A2320" s="408" t="s">
        <v>5910</v>
      </c>
      <c r="B2320" s="106" t="s">
        <v>327</v>
      </c>
      <c r="C2320" s="106" t="s">
        <v>473</v>
      </c>
      <c r="D2320" s="107" t="s">
        <v>5911</v>
      </c>
      <c r="E2320" s="109" t="s">
        <v>355</v>
      </c>
      <c r="F2320" s="109" t="s">
        <v>355</v>
      </c>
      <c r="G2320" s="55" t="s">
        <v>355</v>
      </c>
      <c r="H2320" s="108" t="s">
        <v>402</v>
      </c>
      <c r="I2320" s="111" t="s">
        <v>402</v>
      </c>
      <c r="J2320" s="111" t="s">
        <v>402</v>
      </c>
      <c r="K2320" s="106" t="s">
        <v>403</v>
      </c>
      <c r="L2320" s="55" t="s">
        <v>404</v>
      </c>
      <c r="M2320" s="55" t="s">
        <v>7634</v>
      </c>
    </row>
    <row r="2321" spans="1:13">
      <c r="A2321" s="408" t="s">
        <v>5912</v>
      </c>
      <c r="B2321" s="106" t="s">
        <v>327</v>
      </c>
      <c r="C2321" s="106" t="s">
        <v>473</v>
      </c>
      <c r="D2321" s="107" t="s">
        <v>5913</v>
      </c>
      <c r="E2321" s="109" t="s">
        <v>355</v>
      </c>
      <c r="F2321" s="109" t="s">
        <v>355</v>
      </c>
      <c r="G2321" s="55" t="s">
        <v>355</v>
      </c>
      <c r="H2321" s="108" t="s">
        <v>402</v>
      </c>
      <c r="I2321" s="111" t="s">
        <v>402</v>
      </c>
      <c r="J2321" s="111" t="s">
        <v>402</v>
      </c>
      <c r="K2321" s="106" t="s">
        <v>403</v>
      </c>
      <c r="L2321" s="55" t="s">
        <v>404</v>
      </c>
      <c r="M2321" s="55" t="s">
        <v>7634</v>
      </c>
    </row>
    <row r="2322" spans="1:13">
      <c r="A2322" s="408" t="s">
        <v>5914</v>
      </c>
      <c r="B2322" s="106" t="s">
        <v>327</v>
      </c>
      <c r="C2322" s="106" t="s">
        <v>473</v>
      </c>
      <c r="D2322" s="107" t="s">
        <v>5915</v>
      </c>
      <c r="E2322" s="109" t="s">
        <v>355</v>
      </c>
      <c r="F2322" s="109" t="s">
        <v>355</v>
      </c>
      <c r="G2322" s="55" t="s">
        <v>355</v>
      </c>
      <c r="H2322" s="108" t="s">
        <v>402</v>
      </c>
      <c r="I2322" s="111" t="s">
        <v>402</v>
      </c>
      <c r="J2322" s="111" t="s">
        <v>402</v>
      </c>
      <c r="K2322" s="106" t="s">
        <v>403</v>
      </c>
      <c r="L2322" s="55" t="s">
        <v>404</v>
      </c>
      <c r="M2322" s="55" t="s">
        <v>7634</v>
      </c>
    </row>
    <row r="2323" spans="1:13">
      <c r="A2323" s="408" t="s">
        <v>5916</v>
      </c>
      <c r="B2323" s="106" t="s">
        <v>327</v>
      </c>
      <c r="C2323" s="106" t="s">
        <v>473</v>
      </c>
      <c r="D2323" s="107" t="s">
        <v>5917</v>
      </c>
      <c r="E2323" s="109" t="s">
        <v>355</v>
      </c>
      <c r="F2323" s="109" t="s">
        <v>355</v>
      </c>
      <c r="G2323" s="55" t="s">
        <v>355</v>
      </c>
      <c r="H2323" s="108" t="s">
        <v>402</v>
      </c>
      <c r="I2323" s="111" t="s">
        <v>402</v>
      </c>
      <c r="J2323" s="111" t="s">
        <v>402</v>
      </c>
      <c r="K2323" s="106" t="s">
        <v>403</v>
      </c>
      <c r="L2323" s="55" t="s">
        <v>404</v>
      </c>
      <c r="M2323" s="55" t="s">
        <v>7634</v>
      </c>
    </row>
    <row r="2324" spans="1:13">
      <c r="A2324" s="408" t="s">
        <v>5918</v>
      </c>
      <c r="B2324" s="106" t="s">
        <v>327</v>
      </c>
      <c r="C2324" s="106" t="s">
        <v>473</v>
      </c>
      <c r="D2324" s="107" t="s">
        <v>5919</v>
      </c>
      <c r="E2324" s="109" t="s">
        <v>355</v>
      </c>
      <c r="F2324" s="109" t="s">
        <v>355</v>
      </c>
      <c r="G2324" s="55" t="s">
        <v>355</v>
      </c>
      <c r="H2324" s="108" t="s">
        <v>402</v>
      </c>
      <c r="I2324" s="111" t="s">
        <v>402</v>
      </c>
      <c r="J2324" s="111" t="s">
        <v>402</v>
      </c>
      <c r="K2324" s="106" t="s">
        <v>403</v>
      </c>
      <c r="L2324" s="55" t="s">
        <v>404</v>
      </c>
      <c r="M2324" s="55" t="s">
        <v>7634</v>
      </c>
    </row>
    <row r="2325" spans="1:13">
      <c r="A2325" s="408" t="s">
        <v>5920</v>
      </c>
      <c r="B2325" s="106" t="s">
        <v>327</v>
      </c>
      <c r="C2325" s="106" t="s">
        <v>473</v>
      </c>
      <c r="D2325" s="107" t="s">
        <v>5921</v>
      </c>
      <c r="E2325" s="109" t="s">
        <v>355</v>
      </c>
      <c r="F2325" s="109" t="s">
        <v>355</v>
      </c>
      <c r="G2325" s="55" t="s">
        <v>355</v>
      </c>
      <c r="H2325" s="108" t="s">
        <v>402</v>
      </c>
      <c r="I2325" s="111" t="s">
        <v>402</v>
      </c>
      <c r="J2325" s="111" t="s">
        <v>402</v>
      </c>
      <c r="K2325" s="106" t="s">
        <v>403</v>
      </c>
      <c r="L2325" s="55" t="s">
        <v>404</v>
      </c>
      <c r="M2325" s="55" t="s">
        <v>7634</v>
      </c>
    </row>
    <row r="2326" spans="1:13">
      <c r="A2326" s="408" t="s">
        <v>5922</v>
      </c>
      <c r="B2326" s="106" t="s">
        <v>327</v>
      </c>
      <c r="C2326" s="106" t="s">
        <v>473</v>
      </c>
      <c r="D2326" s="107" t="s">
        <v>5923</v>
      </c>
      <c r="E2326" s="109" t="s">
        <v>355</v>
      </c>
      <c r="F2326" s="109" t="s">
        <v>355</v>
      </c>
      <c r="G2326" s="55" t="s">
        <v>355</v>
      </c>
      <c r="H2326" s="108" t="s">
        <v>402</v>
      </c>
      <c r="I2326" s="111" t="s">
        <v>402</v>
      </c>
      <c r="J2326" s="111" t="s">
        <v>402</v>
      </c>
      <c r="K2326" s="106" t="s">
        <v>403</v>
      </c>
      <c r="L2326" s="55" t="s">
        <v>404</v>
      </c>
      <c r="M2326" s="55" t="s">
        <v>7634</v>
      </c>
    </row>
    <row r="2327" spans="1:13">
      <c r="A2327" s="408" t="s">
        <v>5924</v>
      </c>
      <c r="B2327" s="106" t="s">
        <v>327</v>
      </c>
      <c r="C2327" s="106" t="s">
        <v>473</v>
      </c>
      <c r="D2327" s="107" t="s">
        <v>5925</v>
      </c>
      <c r="E2327" s="109" t="s">
        <v>355</v>
      </c>
      <c r="F2327" s="109" t="s">
        <v>355</v>
      </c>
      <c r="G2327" s="55" t="s">
        <v>355</v>
      </c>
      <c r="H2327" s="108" t="s">
        <v>402</v>
      </c>
      <c r="I2327" s="111" t="s">
        <v>402</v>
      </c>
      <c r="J2327" s="111" t="s">
        <v>402</v>
      </c>
      <c r="K2327" s="106" t="s">
        <v>403</v>
      </c>
      <c r="L2327" s="55" t="s">
        <v>404</v>
      </c>
      <c r="M2327" s="55" t="s">
        <v>7634</v>
      </c>
    </row>
    <row r="2328" spans="1:13">
      <c r="A2328" s="408" t="s">
        <v>5926</v>
      </c>
      <c r="B2328" s="106" t="s">
        <v>327</v>
      </c>
      <c r="C2328" s="106" t="s">
        <v>473</v>
      </c>
      <c r="D2328" s="107" t="s">
        <v>5927</v>
      </c>
      <c r="E2328" s="109" t="s">
        <v>355</v>
      </c>
      <c r="F2328" s="109" t="s">
        <v>355</v>
      </c>
      <c r="G2328" s="55" t="s">
        <v>355</v>
      </c>
      <c r="H2328" s="108" t="s">
        <v>402</v>
      </c>
      <c r="I2328" s="111" t="s">
        <v>402</v>
      </c>
      <c r="J2328" s="111" t="s">
        <v>402</v>
      </c>
      <c r="K2328" s="106" t="s">
        <v>403</v>
      </c>
      <c r="L2328" s="55" t="s">
        <v>404</v>
      </c>
      <c r="M2328" s="55" t="s">
        <v>7634</v>
      </c>
    </row>
    <row r="2329" spans="1:13">
      <c r="A2329" s="408" t="s">
        <v>5928</v>
      </c>
      <c r="B2329" s="106" t="s">
        <v>327</v>
      </c>
      <c r="C2329" s="106" t="s">
        <v>473</v>
      </c>
      <c r="D2329" s="107" t="s">
        <v>5929</v>
      </c>
      <c r="E2329" s="109" t="s">
        <v>355</v>
      </c>
      <c r="F2329" s="109" t="s">
        <v>355</v>
      </c>
      <c r="G2329" s="55" t="s">
        <v>355</v>
      </c>
      <c r="H2329" s="108" t="s">
        <v>402</v>
      </c>
      <c r="I2329" s="111" t="s">
        <v>402</v>
      </c>
      <c r="J2329" s="111" t="s">
        <v>402</v>
      </c>
      <c r="K2329" s="106" t="s">
        <v>403</v>
      </c>
      <c r="L2329" s="55" t="s">
        <v>404</v>
      </c>
      <c r="M2329" s="55" t="s">
        <v>7634</v>
      </c>
    </row>
    <row r="2330" spans="1:13">
      <c r="A2330" s="401" t="s">
        <v>5930</v>
      </c>
      <c r="B2330" s="106" t="s">
        <v>327</v>
      </c>
      <c r="C2330" s="106" t="s">
        <v>473</v>
      </c>
      <c r="D2330" s="109" t="s">
        <v>5931</v>
      </c>
      <c r="E2330" s="109" t="s">
        <v>5932</v>
      </c>
      <c r="F2330" s="109" t="s">
        <v>5933</v>
      </c>
      <c r="G2330" s="117" t="s">
        <v>383</v>
      </c>
      <c r="H2330" s="115" t="s">
        <v>402</v>
      </c>
      <c r="I2330" s="111" t="s">
        <v>402</v>
      </c>
      <c r="J2330" s="111" t="s">
        <v>402</v>
      </c>
      <c r="K2330" s="106" t="s">
        <v>403</v>
      </c>
      <c r="L2330" s="55" t="s">
        <v>404</v>
      </c>
      <c r="M2330" s="55" t="s">
        <v>1173</v>
      </c>
    </row>
    <row r="2331" spans="1:13">
      <c r="A2331" s="408" t="s">
        <v>5934</v>
      </c>
      <c r="B2331" s="106" t="s">
        <v>327</v>
      </c>
      <c r="C2331" s="106" t="s">
        <v>473</v>
      </c>
      <c r="D2331" s="107" t="s">
        <v>5935</v>
      </c>
      <c r="E2331" s="109" t="s">
        <v>355</v>
      </c>
      <c r="F2331" s="109" t="s">
        <v>355</v>
      </c>
      <c r="G2331" s="55" t="s">
        <v>355</v>
      </c>
      <c r="H2331" s="108" t="s">
        <v>402</v>
      </c>
      <c r="I2331" s="111" t="s">
        <v>402</v>
      </c>
      <c r="J2331" s="111" t="s">
        <v>402</v>
      </c>
      <c r="K2331" s="106" t="s">
        <v>403</v>
      </c>
      <c r="L2331" s="55" t="s">
        <v>404</v>
      </c>
      <c r="M2331" s="55" t="s">
        <v>7634</v>
      </c>
    </row>
    <row r="2332" spans="1:13">
      <c r="A2332" s="408" t="s">
        <v>5936</v>
      </c>
      <c r="B2332" s="106" t="s">
        <v>327</v>
      </c>
      <c r="C2332" s="106" t="s">
        <v>473</v>
      </c>
      <c r="D2332" s="107" t="s">
        <v>5935</v>
      </c>
      <c r="E2332" s="109" t="s">
        <v>355</v>
      </c>
      <c r="F2332" s="109" t="s">
        <v>355</v>
      </c>
      <c r="G2332" s="55" t="s">
        <v>355</v>
      </c>
      <c r="H2332" s="108" t="s">
        <v>402</v>
      </c>
      <c r="I2332" s="111" t="s">
        <v>402</v>
      </c>
      <c r="J2332" s="111" t="s">
        <v>402</v>
      </c>
      <c r="K2332" s="106" t="s">
        <v>403</v>
      </c>
      <c r="L2332" s="55" t="s">
        <v>404</v>
      </c>
      <c r="M2332" s="55" t="s">
        <v>7634</v>
      </c>
    </row>
    <row r="2333" spans="1:13">
      <c r="A2333" s="408" t="s">
        <v>5937</v>
      </c>
      <c r="B2333" s="106" t="s">
        <v>327</v>
      </c>
      <c r="C2333" s="106" t="s">
        <v>473</v>
      </c>
      <c r="D2333" s="107" t="s">
        <v>5938</v>
      </c>
      <c r="E2333" s="109" t="s">
        <v>355</v>
      </c>
      <c r="F2333" s="109" t="s">
        <v>355</v>
      </c>
      <c r="G2333" s="55" t="s">
        <v>355</v>
      </c>
      <c r="H2333" s="108" t="s">
        <v>402</v>
      </c>
      <c r="I2333" s="111" t="s">
        <v>402</v>
      </c>
      <c r="J2333" s="111" t="s">
        <v>402</v>
      </c>
      <c r="K2333" s="106" t="s">
        <v>403</v>
      </c>
      <c r="L2333" s="55" t="s">
        <v>404</v>
      </c>
      <c r="M2333" s="55" t="s">
        <v>7634</v>
      </c>
    </row>
    <row r="2334" spans="1:13">
      <c r="A2334" s="408" t="s">
        <v>5939</v>
      </c>
      <c r="B2334" s="106" t="s">
        <v>327</v>
      </c>
      <c r="C2334" s="106" t="s">
        <v>473</v>
      </c>
      <c r="D2334" s="107" t="s">
        <v>5940</v>
      </c>
      <c r="E2334" s="109" t="s">
        <v>355</v>
      </c>
      <c r="F2334" s="109" t="s">
        <v>355</v>
      </c>
      <c r="G2334" s="55" t="s">
        <v>355</v>
      </c>
      <c r="H2334" s="108" t="s">
        <v>402</v>
      </c>
      <c r="I2334" s="111" t="s">
        <v>402</v>
      </c>
      <c r="J2334" s="111" t="s">
        <v>402</v>
      </c>
      <c r="K2334" s="106" t="s">
        <v>403</v>
      </c>
      <c r="L2334" s="55" t="s">
        <v>404</v>
      </c>
      <c r="M2334" s="55" t="s">
        <v>7634</v>
      </c>
    </row>
    <row r="2335" spans="1:13">
      <c r="A2335" s="408" t="s">
        <v>5941</v>
      </c>
      <c r="B2335" s="106" t="s">
        <v>327</v>
      </c>
      <c r="C2335" s="106" t="s">
        <v>473</v>
      </c>
      <c r="D2335" s="107" t="s">
        <v>5942</v>
      </c>
      <c r="E2335" s="109" t="s">
        <v>355</v>
      </c>
      <c r="F2335" s="109" t="s">
        <v>355</v>
      </c>
      <c r="G2335" s="55" t="s">
        <v>355</v>
      </c>
      <c r="H2335" s="108" t="s">
        <v>402</v>
      </c>
      <c r="I2335" s="111" t="s">
        <v>402</v>
      </c>
      <c r="J2335" s="111" t="s">
        <v>402</v>
      </c>
      <c r="K2335" s="106" t="s">
        <v>403</v>
      </c>
      <c r="L2335" s="55" t="s">
        <v>404</v>
      </c>
      <c r="M2335" s="55" t="s">
        <v>7634</v>
      </c>
    </row>
    <row r="2336" spans="1:13">
      <c r="A2336" s="408" t="s">
        <v>5943</v>
      </c>
      <c r="B2336" s="106" t="s">
        <v>327</v>
      </c>
      <c r="C2336" s="106" t="s">
        <v>473</v>
      </c>
      <c r="D2336" s="107" t="s">
        <v>5942</v>
      </c>
      <c r="E2336" s="109" t="s">
        <v>355</v>
      </c>
      <c r="F2336" s="109" t="s">
        <v>355</v>
      </c>
      <c r="G2336" s="55" t="s">
        <v>355</v>
      </c>
      <c r="H2336" s="108" t="s">
        <v>402</v>
      </c>
      <c r="I2336" s="111" t="s">
        <v>402</v>
      </c>
      <c r="J2336" s="111" t="s">
        <v>402</v>
      </c>
      <c r="K2336" s="106" t="s">
        <v>403</v>
      </c>
      <c r="L2336" s="55" t="s">
        <v>404</v>
      </c>
      <c r="M2336" s="55" t="s">
        <v>7634</v>
      </c>
    </row>
    <row r="2337" spans="1:13">
      <c r="A2337" s="408" t="s">
        <v>5944</v>
      </c>
      <c r="B2337" s="106" t="s">
        <v>327</v>
      </c>
      <c r="C2337" s="106" t="s">
        <v>473</v>
      </c>
      <c r="D2337" s="107" t="s">
        <v>5945</v>
      </c>
      <c r="E2337" s="109" t="s">
        <v>355</v>
      </c>
      <c r="F2337" s="109" t="s">
        <v>355</v>
      </c>
      <c r="G2337" s="55" t="s">
        <v>355</v>
      </c>
      <c r="H2337" s="108" t="s">
        <v>402</v>
      </c>
      <c r="I2337" s="111" t="s">
        <v>402</v>
      </c>
      <c r="J2337" s="111" t="s">
        <v>402</v>
      </c>
      <c r="K2337" s="106" t="s">
        <v>403</v>
      </c>
      <c r="L2337" s="55" t="s">
        <v>404</v>
      </c>
      <c r="M2337" s="55" t="s">
        <v>7634</v>
      </c>
    </row>
    <row r="2338" spans="1:13">
      <c r="A2338" s="408" t="s">
        <v>5946</v>
      </c>
      <c r="B2338" s="106" t="s">
        <v>327</v>
      </c>
      <c r="C2338" s="106" t="s">
        <v>473</v>
      </c>
      <c r="D2338" s="107" t="s">
        <v>5947</v>
      </c>
      <c r="E2338" s="109" t="s">
        <v>355</v>
      </c>
      <c r="F2338" s="109" t="s">
        <v>355</v>
      </c>
      <c r="G2338" s="55" t="s">
        <v>355</v>
      </c>
      <c r="H2338" s="108" t="s">
        <v>402</v>
      </c>
      <c r="I2338" s="111" t="s">
        <v>402</v>
      </c>
      <c r="J2338" s="111" t="s">
        <v>402</v>
      </c>
      <c r="K2338" s="106" t="s">
        <v>403</v>
      </c>
      <c r="L2338" s="55" t="s">
        <v>404</v>
      </c>
      <c r="M2338" s="55" t="s">
        <v>7634</v>
      </c>
    </row>
    <row r="2339" spans="1:13">
      <c r="A2339" s="408" t="s">
        <v>5948</v>
      </c>
      <c r="B2339" s="106" t="s">
        <v>327</v>
      </c>
      <c r="C2339" s="106" t="s">
        <v>473</v>
      </c>
      <c r="D2339" s="107" t="s">
        <v>5949</v>
      </c>
      <c r="E2339" s="109" t="s">
        <v>355</v>
      </c>
      <c r="F2339" s="109" t="s">
        <v>355</v>
      </c>
      <c r="G2339" s="55" t="s">
        <v>355</v>
      </c>
      <c r="H2339" s="108" t="s">
        <v>402</v>
      </c>
      <c r="I2339" s="111" t="s">
        <v>402</v>
      </c>
      <c r="J2339" s="111" t="s">
        <v>402</v>
      </c>
      <c r="K2339" s="106" t="s">
        <v>403</v>
      </c>
      <c r="L2339" s="55" t="s">
        <v>404</v>
      </c>
      <c r="M2339" s="55" t="s">
        <v>7634</v>
      </c>
    </row>
    <row r="2340" spans="1:13">
      <c r="A2340" s="408" t="s">
        <v>5950</v>
      </c>
      <c r="B2340" s="106" t="s">
        <v>327</v>
      </c>
      <c r="C2340" s="106" t="s">
        <v>473</v>
      </c>
      <c r="D2340" s="107" t="s">
        <v>5951</v>
      </c>
      <c r="E2340" s="109" t="s">
        <v>355</v>
      </c>
      <c r="F2340" s="109" t="s">
        <v>355</v>
      </c>
      <c r="G2340" s="55" t="s">
        <v>355</v>
      </c>
      <c r="H2340" s="108" t="s">
        <v>402</v>
      </c>
      <c r="I2340" s="111" t="s">
        <v>402</v>
      </c>
      <c r="J2340" s="111" t="s">
        <v>402</v>
      </c>
      <c r="K2340" s="106" t="s">
        <v>403</v>
      </c>
      <c r="L2340" s="55" t="s">
        <v>404</v>
      </c>
      <c r="M2340" s="55" t="s">
        <v>7634</v>
      </c>
    </row>
    <row r="2341" spans="1:13">
      <c r="A2341" s="408" t="s">
        <v>5952</v>
      </c>
      <c r="B2341" s="106" t="s">
        <v>327</v>
      </c>
      <c r="C2341" s="106" t="s">
        <v>473</v>
      </c>
      <c r="D2341" s="107" t="s">
        <v>5953</v>
      </c>
      <c r="E2341" s="109" t="s">
        <v>355</v>
      </c>
      <c r="F2341" s="109" t="s">
        <v>355</v>
      </c>
      <c r="G2341" s="55" t="s">
        <v>355</v>
      </c>
      <c r="H2341" s="108" t="s">
        <v>402</v>
      </c>
      <c r="I2341" s="111" t="s">
        <v>402</v>
      </c>
      <c r="J2341" s="111" t="s">
        <v>402</v>
      </c>
      <c r="K2341" s="106" t="s">
        <v>403</v>
      </c>
      <c r="L2341" s="55" t="s">
        <v>404</v>
      </c>
      <c r="M2341" s="55" t="s">
        <v>7634</v>
      </c>
    </row>
    <row r="2342" spans="1:13">
      <c r="A2342" s="408" t="s">
        <v>5954</v>
      </c>
      <c r="B2342" s="106" t="s">
        <v>327</v>
      </c>
      <c r="C2342" s="106" t="s">
        <v>473</v>
      </c>
      <c r="D2342" s="107" t="s">
        <v>5955</v>
      </c>
      <c r="E2342" s="109" t="s">
        <v>355</v>
      </c>
      <c r="F2342" s="109" t="s">
        <v>355</v>
      </c>
      <c r="G2342" s="55" t="s">
        <v>355</v>
      </c>
      <c r="H2342" s="108" t="s">
        <v>402</v>
      </c>
      <c r="I2342" s="111" t="s">
        <v>402</v>
      </c>
      <c r="J2342" s="111" t="s">
        <v>402</v>
      </c>
      <c r="K2342" s="106" t="s">
        <v>403</v>
      </c>
      <c r="L2342" s="55" t="s">
        <v>404</v>
      </c>
      <c r="M2342" s="55" t="s">
        <v>7634</v>
      </c>
    </row>
    <row r="2343" spans="1:13">
      <c r="A2343" s="408" t="s">
        <v>5956</v>
      </c>
      <c r="B2343" s="106" t="s">
        <v>327</v>
      </c>
      <c r="C2343" s="106" t="s">
        <v>473</v>
      </c>
      <c r="D2343" s="107" t="s">
        <v>5957</v>
      </c>
      <c r="E2343" s="109" t="s">
        <v>355</v>
      </c>
      <c r="F2343" s="109" t="s">
        <v>355</v>
      </c>
      <c r="G2343" s="55" t="s">
        <v>355</v>
      </c>
      <c r="H2343" s="108" t="s">
        <v>402</v>
      </c>
      <c r="I2343" s="111" t="s">
        <v>402</v>
      </c>
      <c r="J2343" s="111" t="s">
        <v>402</v>
      </c>
      <c r="K2343" s="106" t="s">
        <v>403</v>
      </c>
      <c r="L2343" s="55" t="s">
        <v>404</v>
      </c>
      <c r="M2343" s="55" t="s">
        <v>7634</v>
      </c>
    </row>
    <row r="2344" spans="1:13">
      <c r="A2344" s="408" t="s">
        <v>5958</v>
      </c>
      <c r="B2344" s="106" t="s">
        <v>327</v>
      </c>
      <c r="C2344" s="106" t="s">
        <v>473</v>
      </c>
      <c r="D2344" s="107" t="s">
        <v>5959</v>
      </c>
      <c r="E2344" s="109" t="s">
        <v>355</v>
      </c>
      <c r="F2344" s="109" t="s">
        <v>355</v>
      </c>
      <c r="G2344" s="55" t="s">
        <v>355</v>
      </c>
      <c r="H2344" s="108" t="s">
        <v>402</v>
      </c>
      <c r="I2344" s="111" t="s">
        <v>402</v>
      </c>
      <c r="J2344" s="111" t="s">
        <v>402</v>
      </c>
      <c r="K2344" s="106" t="s">
        <v>403</v>
      </c>
      <c r="L2344" s="55" t="s">
        <v>404</v>
      </c>
      <c r="M2344" s="55" t="s">
        <v>7634</v>
      </c>
    </row>
    <row r="2345" spans="1:13">
      <c r="A2345" s="408" t="s">
        <v>5960</v>
      </c>
      <c r="B2345" s="106" t="s">
        <v>327</v>
      </c>
      <c r="C2345" s="106" t="s">
        <v>473</v>
      </c>
      <c r="D2345" s="107" t="s">
        <v>5961</v>
      </c>
      <c r="E2345" s="109" t="s">
        <v>355</v>
      </c>
      <c r="F2345" s="109" t="s">
        <v>355</v>
      </c>
      <c r="G2345" s="55" t="s">
        <v>355</v>
      </c>
      <c r="H2345" s="108" t="s">
        <v>402</v>
      </c>
      <c r="I2345" s="111" t="s">
        <v>402</v>
      </c>
      <c r="J2345" s="111" t="s">
        <v>402</v>
      </c>
      <c r="K2345" s="106" t="s">
        <v>403</v>
      </c>
      <c r="L2345" s="55" t="s">
        <v>404</v>
      </c>
      <c r="M2345" s="55" t="s">
        <v>7634</v>
      </c>
    </row>
    <row r="2346" spans="1:13">
      <c r="A2346" s="401" t="s">
        <v>5962</v>
      </c>
      <c r="B2346" s="106" t="s">
        <v>327</v>
      </c>
      <c r="C2346" s="106" t="s">
        <v>473</v>
      </c>
      <c r="D2346" s="109" t="s">
        <v>5963</v>
      </c>
      <c r="E2346" s="109" t="s">
        <v>5964</v>
      </c>
      <c r="F2346" s="109" t="s">
        <v>5965</v>
      </c>
      <c r="G2346" s="117" t="s">
        <v>383</v>
      </c>
      <c r="H2346" s="115" t="s">
        <v>402</v>
      </c>
      <c r="I2346" s="111" t="s">
        <v>402</v>
      </c>
      <c r="J2346" s="111" t="s">
        <v>402</v>
      </c>
      <c r="K2346" s="115" t="s">
        <v>403</v>
      </c>
      <c r="L2346" s="55" t="s">
        <v>404</v>
      </c>
      <c r="M2346" s="113" t="s">
        <v>1173</v>
      </c>
    </row>
    <row r="2347" spans="1:13">
      <c r="A2347" s="408" t="s">
        <v>5966</v>
      </c>
      <c r="B2347" s="106" t="s">
        <v>327</v>
      </c>
      <c r="C2347" s="106" t="s">
        <v>473</v>
      </c>
      <c r="D2347" s="107" t="s">
        <v>5967</v>
      </c>
      <c r="E2347" s="109" t="s">
        <v>355</v>
      </c>
      <c r="F2347" s="109" t="s">
        <v>355</v>
      </c>
      <c r="G2347" s="55" t="s">
        <v>355</v>
      </c>
      <c r="H2347" s="108" t="s">
        <v>402</v>
      </c>
      <c r="I2347" s="111" t="s">
        <v>402</v>
      </c>
      <c r="J2347" s="111" t="s">
        <v>402</v>
      </c>
      <c r="K2347" s="106" t="s">
        <v>403</v>
      </c>
      <c r="L2347" s="55" t="s">
        <v>404</v>
      </c>
      <c r="M2347" s="55" t="s">
        <v>7634</v>
      </c>
    </row>
    <row r="2348" spans="1:13">
      <c r="A2348" s="408" t="s">
        <v>5968</v>
      </c>
      <c r="B2348" s="106" t="s">
        <v>327</v>
      </c>
      <c r="C2348" s="106" t="s">
        <v>473</v>
      </c>
      <c r="D2348" s="107" t="s">
        <v>5969</v>
      </c>
      <c r="E2348" s="109" t="s">
        <v>355</v>
      </c>
      <c r="F2348" s="109" t="s">
        <v>355</v>
      </c>
      <c r="G2348" s="55" t="s">
        <v>355</v>
      </c>
      <c r="H2348" s="108" t="s">
        <v>402</v>
      </c>
      <c r="I2348" s="111" t="s">
        <v>402</v>
      </c>
      <c r="J2348" s="111" t="s">
        <v>402</v>
      </c>
      <c r="K2348" s="106" t="s">
        <v>403</v>
      </c>
      <c r="L2348" s="55" t="s">
        <v>404</v>
      </c>
      <c r="M2348" s="55" t="s">
        <v>7634</v>
      </c>
    </row>
    <row r="2349" spans="1:13">
      <c r="A2349" s="401" t="s">
        <v>5970</v>
      </c>
      <c r="B2349" s="106" t="s">
        <v>327</v>
      </c>
      <c r="C2349" s="106" t="s">
        <v>473</v>
      </c>
      <c r="D2349" s="109" t="s">
        <v>5971</v>
      </c>
      <c r="E2349" s="109" t="s">
        <v>5972</v>
      </c>
      <c r="F2349" s="109" t="s">
        <v>5973</v>
      </c>
      <c r="G2349" s="114" t="s">
        <v>383</v>
      </c>
      <c r="H2349" s="115" t="s">
        <v>402</v>
      </c>
      <c r="I2349" s="111" t="s">
        <v>402</v>
      </c>
      <c r="J2349" s="111" t="s">
        <v>402</v>
      </c>
      <c r="K2349" s="115" t="s">
        <v>403</v>
      </c>
      <c r="L2349" s="55" t="s">
        <v>404</v>
      </c>
      <c r="M2349" s="113" t="s">
        <v>5974</v>
      </c>
    </row>
    <row r="2350" spans="1:13">
      <c r="A2350" s="408" t="s">
        <v>5975</v>
      </c>
      <c r="B2350" s="106" t="s">
        <v>327</v>
      </c>
      <c r="C2350" s="106" t="s">
        <v>473</v>
      </c>
      <c r="D2350" s="107" t="s">
        <v>5976</v>
      </c>
      <c r="E2350" s="109" t="s">
        <v>355</v>
      </c>
      <c r="F2350" s="109" t="s">
        <v>355</v>
      </c>
      <c r="G2350" s="55" t="s">
        <v>355</v>
      </c>
      <c r="H2350" s="108" t="s">
        <v>402</v>
      </c>
      <c r="I2350" s="111" t="s">
        <v>402</v>
      </c>
      <c r="J2350" s="111" t="s">
        <v>402</v>
      </c>
      <c r="K2350" s="106" t="s">
        <v>403</v>
      </c>
      <c r="L2350" s="55" t="s">
        <v>404</v>
      </c>
      <c r="M2350" s="55" t="s">
        <v>7634</v>
      </c>
    </row>
    <row r="2351" spans="1:13">
      <c r="A2351" s="408" t="s">
        <v>5977</v>
      </c>
      <c r="B2351" s="106" t="s">
        <v>327</v>
      </c>
      <c r="C2351" s="106" t="s">
        <v>473</v>
      </c>
      <c r="D2351" s="107" t="s">
        <v>5978</v>
      </c>
      <c r="E2351" s="109" t="s">
        <v>355</v>
      </c>
      <c r="F2351" s="109" t="s">
        <v>355</v>
      </c>
      <c r="G2351" s="55" t="s">
        <v>355</v>
      </c>
      <c r="H2351" s="108" t="s">
        <v>402</v>
      </c>
      <c r="I2351" s="111" t="s">
        <v>402</v>
      </c>
      <c r="J2351" s="111" t="s">
        <v>402</v>
      </c>
      <c r="K2351" s="106" t="s">
        <v>403</v>
      </c>
      <c r="L2351" s="55" t="s">
        <v>404</v>
      </c>
      <c r="M2351" s="55" t="s">
        <v>7634</v>
      </c>
    </row>
    <row r="2352" spans="1:13">
      <c r="A2352" s="408" t="s">
        <v>5979</v>
      </c>
      <c r="B2352" s="106" t="s">
        <v>327</v>
      </c>
      <c r="C2352" s="106" t="s">
        <v>473</v>
      </c>
      <c r="D2352" s="107" t="s">
        <v>5980</v>
      </c>
      <c r="E2352" s="109" t="s">
        <v>355</v>
      </c>
      <c r="F2352" s="109" t="s">
        <v>355</v>
      </c>
      <c r="G2352" s="55" t="s">
        <v>355</v>
      </c>
      <c r="H2352" s="108" t="s">
        <v>402</v>
      </c>
      <c r="I2352" s="111" t="s">
        <v>402</v>
      </c>
      <c r="J2352" s="111" t="s">
        <v>402</v>
      </c>
      <c r="K2352" s="106" t="s">
        <v>403</v>
      </c>
      <c r="L2352" s="55" t="s">
        <v>404</v>
      </c>
      <c r="M2352" s="55" t="s">
        <v>7634</v>
      </c>
    </row>
    <row r="2353" spans="1:13">
      <c r="A2353" s="408" t="s">
        <v>5981</v>
      </c>
      <c r="B2353" s="106" t="s">
        <v>327</v>
      </c>
      <c r="C2353" s="106" t="s">
        <v>473</v>
      </c>
      <c r="D2353" s="107" t="s">
        <v>5756</v>
      </c>
      <c r="E2353" s="109" t="s">
        <v>355</v>
      </c>
      <c r="F2353" s="109" t="s">
        <v>355</v>
      </c>
      <c r="G2353" s="55" t="s">
        <v>355</v>
      </c>
      <c r="H2353" s="108" t="s">
        <v>402</v>
      </c>
      <c r="I2353" s="111" t="s">
        <v>402</v>
      </c>
      <c r="J2353" s="111" t="s">
        <v>402</v>
      </c>
      <c r="K2353" s="106" t="s">
        <v>403</v>
      </c>
      <c r="L2353" s="55" t="s">
        <v>404</v>
      </c>
      <c r="M2353" s="55" t="s">
        <v>7634</v>
      </c>
    </row>
    <row r="2354" spans="1:13">
      <c r="A2354" s="408" t="s">
        <v>5982</v>
      </c>
      <c r="B2354" s="106" t="s">
        <v>327</v>
      </c>
      <c r="C2354" s="106" t="s">
        <v>473</v>
      </c>
      <c r="D2354" s="107" t="s">
        <v>5558</v>
      </c>
      <c r="E2354" s="109" t="s">
        <v>355</v>
      </c>
      <c r="F2354" s="109" t="s">
        <v>355</v>
      </c>
      <c r="G2354" s="55" t="s">
        <v>355</v>
      </c>
      <c r="H2354" s="108" t="s">
        <v>402</v>
      </c>
      <c r="I2354" s="111" t="s">
        <v>402</v>
      </c>
      <c r="J2354" s="111" t="s">
        <v>402</v>
      </c>
      <c r="K2354" s="106" t="s">
        <v>403</v>
      </c>
      <c r="L2354" s="55" t="s">
        <v>404</v>
      </c>
      <c r="M2354" s="55" t="s">
        <v>7634</v>
      </c>
    </row>
    <row r="2355" spans="1:13">
      <c r="A2355" s="408" t="s">
        <v>5983</v>
      </c>
      <c r="B2355" s="106" t="s">
        <v>327</v>
      </c>
      <c r="C2355" s="106" t="s">
        <v>473</v>
      </c>
      <c r="D2355" s="107" t="s">
        <v>5984</v>
      </c>
      <c r="E2355" s="109" t="s">
        <v>355</v>
      </c>
      <c r="F2355" s="109" t="s">
        <v>355</v>
      </c>
      <c r="G2355" s="55" t="s">
        <v>355</v>
      </c>
      <c r="H2355" s="108" t="s">
        <v>402</v>
      </c>
      <c r="I2355" s="111" t="s">
        <v>402</v>
      </c>
      <c r="J2355" s="111" t="s">
        <v>402</v>
      </c>
      <c r="K2355" s="106" t="s">
        <v>403</v>
      </c>
      <c r="L2355" s="55" t="s">
        <v>404</v>
      </c>
      <c r="M2355" s="55" t="s">
        <v>7634</v>
      </c>
    </row>
    <row r="2356" spans="1:13">
      <c r="A2356" s="408" t="s">
        <v>5985</v>
      </c>
      <c r="B2356" s="106" t="s">
        <v>327</v>
      </c>
      <c r="C2356" s="106" t="s">
        <v>473</v>
      </c>
      <c r="D2356" s="107" t="s">
        <v>5984</v>
      </c>
      <c r="E2356" s="109" t="s">
        <v>355</v>
      </c>
      <c r="F2356" s="109" t="s">
        <v>355</v>
      </c>
      <c r="G2356" s="55" t="s">
        <v>355</v>
      </c>
      <c r="H2356" s="108" t="s">
        <v>402</v>
      </c>
      <c r="I2356" s="111" t="s">
        <v>402</v>
      </c>
      <c r="J2356" s="111" t="s">
        <v>402</v>
      </c>
      <c r="K2356" s="106" t="s">
        <v>403</v>
      </c>
      <c r="L2356" s="55" t="s">
        <v>404</v>
      </c>
      <c r="M2356" s="55" t="s">
        <v>7634</v>
      </c>
    </row>
    <row r="2357" spans="1:13">
      <c r="A2357" s="408" t="s">
        <v>5986</v>
      </c>
      <c r="B2357" s="106" t="s">
        <v>327</v>
      </c>
      <c r="C2357" s="106" t="s">
        <v>473</v>
      </c>
      <c r="D2357" s="107" t="s">
        <v>5987</v>
      </c>
      <c r="E2357" s="109" t="s">
        <v>355</v>
      </c>
      <c r="F2357" s="109" t="s">
        <v>355</v>
      </c>
      <c r="G2357" s="55" t="s">
        <v>355</v>
      </c>
      <c r="H2357" s="108" t="s">
        <v>402</v>
      </c>
      <c r="I2357" s="111" t="s">
        <v>402</v>
      </c>
      <c r="J2357" s="111" t="s">
        <v>402</v>
      </c>
      <c r="K2357" s="106" t="s">
        <v>403</v>
      </c>
      <c r="L2357" s="55" t="s">
        <v>404</v>
      </c>
      <c r="M2357" s="55" t="s">
        <v>7634</v>
      </c>
    </row>
    <row r="2358" spans="1:13">
      <c r="A2358" s="408" t="s">
        <v>5988</v>
      </c>
      <c r="B2358" s="106" t="s">
        <v>327</v>
      </c>
      <c r="C2358" s="106" t="s">
        <v>473</v>
      </c>
      <c r="D2358" s="107" t="s">
        <v>5989</v>
      </c>
      <c r="E2358" s="109" t="s">
        <v>355</v>
      </c>
      <c r="F2358" s="109" t="s">
        <v>355</v>
      </c>
      <c r="G2358" s="55" t="s">
        <v>355</v>
      </c>
      <c r="H2358" s="108" t="s">
        <v>402</v>
      </c>
      <c r="I2358" s="111" t="s">
        <v>402</v>
      </c>
      <c r="J2358" s="111" t="s">
        <v>402</v>
      </c>
      <c r="K2358" s="106" t="s">
        <v>403</v>
      </c>
      <c r="L2358" s="55" t="s">
        <v>404</v>
      </c>
      <c r="M2358" s="55" t="s">
        <v>7634</v>
      </c>
    </row>
    <row r="2359" spans="1:13">
      <c r="A2359" s="408" t="s">
        <v>5990</v>
      </c>
      <c r="B2359" s="106" t="s">
        <v>327</v>
      </c>
      <c r="C2359" s="106" t="s">
        <v>473</v>
      </c>
      <c r="D2359" s="107" t="s">
        <v>5991</v>
      </c>
      <c r="E2359" s="109" t="s">
        <v>355</v>
      </c>
      <c r="F2359" s="109" t="s">
        <v>355</v>
      </c>
      <c r="G2359" s="55" t="s">
        <v>355</v>
      </c>
      <c r="H2359" s="108" t="s">
        <v>402</v>
      </c>
      <c r="I2359" s="111" t="s">
        <v>402</v>
      </c>
      <c r="J2359" s="111" t="s">
        <v>402</v>
      </c>
      <c r="K2359" s="106" t="s">
        <v>403</v>
      </c>
      <c r="L2359" s="55" t="s">
        <v>404</v>
      </c>
      <c r="M2359" s="55" t="s">
        <v>7634</v>
      </c>
    </row>
    <row r="2360" spans="1:13">
      <c r="A2360" s="408" t="s">
        <v>5992</v>
      </c>
      <c r="B2360" s="106" t="s">
        <v>327</v>
      </c>
      <c r="C2360" s="106" t="s">
        <v>473</v>
      </c>
      <c r="D2360" s="107" t="s">
        <v>5993</v>
      </c>
      <c r="E2360" s="109" t="s">
        <v>355</v>
      </c>
      <c r="F2360" s="109" t="s">
        <v>355</v>
      </c>
      <c r="G2360" s="55" t="s">
        <v>355</v>
      </c>
      <c r="H2360" s="108" t="s">
        <v>402</v>
      </c>
      <c r="I2360" s="111" t="s">
        <v>402</v>
      </c>
      <c r="J2360" s="111" t="s">
        <v>402</v>
      </c>
      <c r="K2360" s="106" t="s">
        <v>403</v>
      </c>
      <c r="L2360" s="55" t="s">
        <v>404</v>
      </c>
      <c r="M2360" s="55" t="s">
        <v>7634</v>
      </c>
    </row>
    <row r="2361" spans="1:13">
      <c r="A2361" s="408" t="s">
        <v>5994</v>
      </c>
      <c r="B2361" s="106" t="s">
        <v>327</v>
      </c>
      <c r="C2361" s="106" t="s">
        <v>473</v>
      </c>
      <c r="D2361" s="107" t="s">
        <v>5995</v>
      </c>
      <c r="E2361" s="109" t="s">
        <v>355</v>
      </c>
      <c r="F2361" s="109" t="s">
        <v>355</v>
      </c>
      <c r="G2361" s="55" t="s">
        <v>355</v>
      </c>
      <c r="H2361" s="108" t="s">
        <v>402</v>
      </c>
      <c r="I2361" s="111" t="s">
        <v>402</v>
      </c>
      <c r="J2361" s="111" t="s">
        <v>402</v>
      </c>
      <c r="K2361" s="106" t="s">
        <v>403</v>
      </c>
      <c r="L2361" s="55" t="s">
        <v>404</v>
      </c>
      <c r="M2361" s="55" t="s">
        <v>7634</v>
      </c>
    </row>
    <row r="2362" spans="1:13">
      <c r="A2362" s="408" t="s">
        <v>5996</v>
      </c>
      <c r="B2362" s="106" t="s">
        <v>327</v>
      </c>
      <c r="C2362" s="106" t="s">
        <v>473</v>
      </c>
      <c r="D2362" s="107" t="s">
        <v>5997</v>
      </c>
      <c r="E2362" s="109" t="s">
        <v>355</v>
      </c>
      <c r="F2362" s="109" t="s">
        <v>355</v>
      </c>
      <c r="G2362" s="55" t="s">
        <v>355</v>
      </c>
      <c r="H2362" s="108" t="s">
        <v>402</v>
      </c>
      <c r="I2362" s="111" t="s">
        <v>402</v>
      </c>
      <c r="J2362" s="111" t="s">
        <v>402</v>
      </c>
      <c r="K2362" s="106" t="s">
        <v>403</v>
      </c>
      <c r="L2362" s="55" t="s">
        <v>404</v>
      </c>
      <c r="M2362" s="55" t="s">
        <v>7634</v>
      </c>
    </row>
    <row r="2363" spans="1:13">
      <c r="A2363" s="408" t="s">
        <v>5998</v>
      </c>
      <c r="B2363" s="106" t="s">
        <v>327</v>
      </c>
      <c r="C2363" s="106" t="s">
        <v>473</v>
      </c>
      <c r="D2363" s="107" t="s">
        <v>5999</v>
      </c>
      <c r="E2363" s="109" t="s">
        <v>355</v>
      </c>
      <c r="F2363" s="109" t="s">
        <v>355</v>
      </c>
      <c r="G2363" s="55" t="s">
        <v>355</v>
      </c>
      <c r="H2363" s="108" t="s">
        <v>402</v>
      </c>
      <c r="I2363" s="111" t="s">
        <v>402</v>
      </c>
      <c r="J2363" s="111" t="s">
        <v>402</v>
      </c>
      <c r="K2363" s="106" t="s">
        <v>403</v>
      </c>
      <c r="L2363" s="55" t="s">
        <v>404</v>
      </c>
      <c r="M2363" s="55" t="s">
        <v>7634</v>
      </c>
    </row>
    <row r="2364" spans="1:13">
      <c r="A2364" s="408" t="s">
        <v>6000</v>
      </c>
      <c r="B2364" s="106" t="s">
        <v>327</v>
      </c>
      <c r="C2364" s="106" t="s">
        <v>473</v>
      </c>
      <c r="D2364" s="107" t="s">
        <v>6001</v>
      </c>
      <c r="E2364" s="109" t="s">
        <v>355</v>
      </c>
      <c r="F2364" s="109" t="s">
        <v>355</v>
      </c>
      <c r="G2364" s="55" t="s">
        <v>355</v>
      </c>
      <c r="H2364" s="108" t="s">
        <v>402</v>
      </c>
      <c r="I2364" s="111" t="s">
        <v>402</v>
      </c>
      <c r="J2364" s="111" t="s">
        <v>402</v>
      </c>
      <c r="K2364" s="106" t="s">
        <v>403</v>
      </c>
      <c r="L2364" s="55" t="s">
        <v>404</v>
      </c>
      <c r="M2364" s="55" t="s">
        <v>7634</v>
      </c>
    </row>
    <row r="2365" spans="1:13">
      <c r="A2365" s="408" t="s">
        <v>6002</v>
      </c>
      <c r="B2365" s="106" t="s">
        <v>327</v>
      </c>
      <c r="C2365" s="106" t="s">
        <v>473</v>
      </c>
      <c r="D2365" s="107" t="s">
        <v>6003</v>
      </c>
      <c r="E2365" s="109" t="s">
        <v>355</v>
      </c>
      <c r="F2365" s="109" t="s">
        <v>355</v>
      </c>
      <c r="G2365" s="55" t="s">
        <v>355</v>
      </c>
      <c r="H2365" s="108" t="s">
        <v>402</v>
      </c>
      <c r="I2365" s="111" t="s">
        <v>402</v>
      </c>
      <c r="J2365" s="111" t="s">
        <v>402</v>
      </c>
      <c r="K2365" s="106" t="s">
        <v>403</v>
      </c>
      <c r="L2365" s="55" t="s">
        <v>404</v>
      </c>
      <c r="M2365" s="55" t="s">
        <v>7634</v>
      </c>
    </row>
    <row r="2366" spans="1:13">
      <c r="A2366" s="408" t="s">
        <v>6004</v>
      </c>
      <c r="B2366" s="106" t="s">
        <v>327</v>
      </c>
      <c r="C2366" s="106" t="s">
        <v>473</v>
      </c>
      <c r="D2366" s="107" t="s">
        <v>6003</v>
      </c>
      <c r="E2366" s="109" t="s">
        <v>355</v>
      </c>
      <c r="F2366" s="109" t="s">
        <v>355</v>
      </c>
      <c r="G2366" s="55" t="s">
        <v>355</v>
      </c>
      <c r="H2366" s="108" t="s">
        <v>402</v>
      </c>
      <c r="I2366" s="111" t="s">
        <v>402</v>
      </c>
      <c r="J2366" s="111" t="s">
        <v>402</v>
      </c>
      <c r="K2366" s="106" t="s">
        <v>403</v>
      </c>
      <c r="L2366" s="55" t="s">
        <v>404</v>
      </c>
      <c r="M2366" s="55" t="s">
        <v>7634</v>
      </c>
    </row>
    <row r="2367" spans="1:13">
      <c r="A2367" s="408" t="s">
        <v>6005</v>
      </c>
      <c r="B2367" s="106" t="s">
        <v>327</v>
      </c>
      <c r="C2367" s="106" t="s">
        <v>473</v>
      </c>
      <c r="D2367" s="107" t="s">
        <v>6006</v>
      </c>
      <c r="E2367" s="109" t="s">
        <v>355</v>
      </c>
      <c r="F2367" s="109" t="s">
        <v>355</v>
      </c>
      <c r="G2367" s="55" t="s">
        <v>355</v>
      </c>
      <c r="H2367" s="108" t="s">
        <v>402</v>
      </c>
      <c r="I2367" s="111" t="s">
        <v>402</v>
      </c>
      <c r="J2367" s="111" t="s">
        <v>402</v>
      </c>
      <c r="K2367" s="106" t="s">
        <v>403</v>
      </c>
      <c r="L2367" s="55" t="s">
        <v>404</v>
      </c>
      <c r="M2367" s="55" t="s">
        <v>7634</v>
      </c>
    </row>
    <row r="2368" spans="1:13">
      <c r="A2368" s="408" t="s">
        <v>6007</v>
      </c>
      <c r="B2368" s="106" t="s">
        <v>327</v>
      </c>
      <c r="C2368" s="106" t="s">
        <v>473</v>
      </c>
      <c r="D2368" s="107" t="s">
        <v>6008</v>
      </c>
      <c r="E2368" s="109" t="s">
        <v>355</v>
      </c>
      <c r="F2368" s="109" t="s">
        <v>355</v>
      </c>
      <c r="G2368" s="55" t="s">
        <v>355</v>
      </c>
      <c r="H2368" s="108" t="s">
        <v>402</v>
      </c>
      <c r="I2368" s="111" t="s">
        <v>402</v>
      </c>
      <c r="J2368" s="111" t="s">
        <v>402</v>
      </c>
      <c r="K2368" s="106" t="s">
        <v>403</v>
      </c>
      <c r="L2368" s="55" t="s">
        <v>404</v>
      </c>
      <c r="M2368" s="55" t="s">
        <v>7634</v>
      </c>
    </row>
    <row r="2369" spans="1:13">
      <c r="A2369" s="408" t="s">
        <v>6009</v>
      </c>
      <c r="B2369" s="106" t="s">
        <v>327</v>
      </c>
      <c r="C2369" s="106" t="s">
        <v>473</v>
      </c>
      <c r="D2369" s="107" t="s">
        <v>6010</v>
      </c>
      <c r="E2369" s="109" t="s">
        <v>355</v>
      </c>
      <c r="F2369" s="109" t="s">
        <v>355</v>
      </c>
      <c r="G2369" s="55" t="s">
        <v>355</v>
      </c>
      <c r="H2369" s="108" t="s">
        <v>402</v>
      </c>
      <c r="I2369" s="111" t="s">
        <v>402</v>
      </c>
      <c r="J2369" s="111" t="s">
        <v>402</v>
      </c>
      <c r="K2369" s="106" t="s">
        <v>403</v>
      </c>
      <c r="L2369" s="55" t="s">
        <v>404</v>
      </c>
      <c r="M2369" s="55" t="s">
        <v>7634</v>
      </c>
    </row>
    <row r="2370" spans="1:13">
      <c r="A2370" s="408" t="s">
        <v>6011</v>
      </c>
      <c r="B2370" s="106" t="s">
        <v>327</v>
      </c>
      <c r="C2370" s="106" t="s">
        <v>473</v>
      </c>
      <c r="D2370" s="107" t="s">
        <v>6012</v>
      </c>
      <c r="E2370" s="109" t="s">
        <v>355</v>
      </c>
      <c r="F2370" s="109" t="s">
        <v>355</v>
      </c>
      <c r="G2370" s="55" t="s">
        <v>355</v>
      </c>
      <c r="H2370" s="108" t="s">
        <v>402</v>
      </c>
      <c r="I2370" s="111" t="s">
        <v>402</v>
      </c>
      <c r="J2370" s="111" t="s">
        <v>402</v>
      </c>
      <c r="K2370" s="106" t="s">
        <v>403</v>
      </c>
      <c r="L2370" s="55" t="s">
        <v>404</v>
      </c>
      <c r="M2370" s="55" t="s">
        <v>7634</v>
      </c>
    </row>
    <row r="2371" spans="1:13">
      <c r="A2371" s="408" t="s">
        <v>6013</v>
      </c>
      <c r="B2371" s="106" t="s">
        <v>327</v>
      </c>
      <c r="C2371" s="106" t="s">
        <v>473</v>
      </c>
      <c r="D2371" s="107" t="s">
        <v>6014</v>
      </c>
      <c r="E2371" s="109" t="s">
        <v>355</v>
      </c>
      <c r="F2371" s="109" t="s">
        <v>355</v>
      </c>
      <c r="G2371" s="55" t="s">
        <v>355</v>
      </c>
      <c r="H2371" s="108" t="s">
        <v>402</v>
      </c>
      <c r="I2371" s="111" t="s">
        <v>402</v>
      </c>
      <c r="J2371" s="111" t="s">
        <v>402</v>
      </c>
      <c r="K2371" s="106" t="s">
        <v>403</v>
      </c>
      <c r="L2371" s="55" t="s">
        <v>404</v>
      </c>
      <c r="M2371" s="55" t="s">
        <v>7634</v>
      </c>
    </row>
    <row r="2372" spans="1:13">
      <c r="A2372" s="408" t="s">
        <v>6015</v>
      </c>
      <c r="B2372" s="106" t="s">
        <v>327</v>
      </c>
      <c r="C2372" s="106" t="s">
        <v>473</v>
      </c>
      <c r="D2372" s="107" t="s">
        <v>6014</v>
      </c>
      <c r="E2372" s="109" t="s">
        <v>355</v>
      </c>
      <c r="F2372" s="109" t="s">
        <v>355</v>
      </c>
      <c r="G2372" s="55" t="s">
        <v>355</v>
      </c>
      <c r="H2372" s="108" t="s">
        <v>402</v>
      </c>
      <c r="I2372" s="111" t="s">
        <v>402</v>
      </c>
      <c r="J2372" s="111" t="s">
        <v>402</v>
      </c>
      <c r="K2372" s="106" t="s">
        <v>403</v>
      </c>
      <c r="L2372" s="55" t="s">
        <v>404</v>
      </c>
      <c r="M2372" s="55" t="s">
        <v>7634</v>
      </c>
    </row>
    <row r="2373" spans="1:13">
      <c r="A2373" s="408" t="s">
        <v>6016</v>
      </c>
      <c r="B2373" s="106" t="s">
        <v>327</v>
      </c>
      <c r="C2373" s="106" t="s">
        <v>473</v>
      </c>
      <c r="D2373" s="107" t="s">
        <v>6017</v>
      </c>
      <c r="E2373" s="109" t="s">
        <v>355</v>
      </c>
      <c r="F2373" s="109" t="s">
        <v>355</v>
      </c>
      <c r="G2373" s="55" t="s">
        <v>355</v>
      </c>
      <c r="H2373" s="108" t="s">
        <v>402</v>
      </c>
      <c r="I2373" s="111" t="s">
        <v>402</v>
      </c>
      <c r="J2373" s="111" t="s">
        <v>402</v>
      </c>
      <c r="K2373" s="106" t="s">
        <v>403</v>
      </c>
      <c r="L2373" s="55" t="s">
        <v>404</v>
      </c>
      <c r="M2373" s="55" t="s">
        <v>7634</v>
      </c>
    </row>
    <row r="2374" spans="1:13">
      <c r="A2374" s="401" t="s">
        <v>6018</v>
      </c>
      <c r="B2374" s="106" t="s">
        <v>1059</v>
      </c>
      <c r="C2374" s="106" t="s">
        <v>473</v>
      </c>
      <c r="D2374" s="109" t="s">
        <v>6019</v>
      </c>
      <c r="E2374" s="110" t="s">
        <v>6020</v>
      </c>
      <c r="F2374" s="109" t="s">
        <v>6021</v>
      </c>
      <c r="G2374" s="117" t="s">
        <v>383</v>
      </c>
      <c r="H2374" s="115" t="s">
        <v>402</v>
      </c>
      <c r="I2374" s="111" t="s">
        <v>402</v>
      </c>
      <c r="J2374" s="111" t="s">
        <v>402</v>
      </c>
      <c r="K2374" s="106" t="s">
        <v>403</v>
      </c>
      <c r="L2374" s="55" t="s">
        <v>404</v>
      </c>
      <c r="M2374" s="113" t="s">
        <v>1173</v>
      </c>
    </row>
    <row r="2375" spans="1:13">
      <c r="A2375" s="408" t="s">
        <v>6022</v>
      </c>
      <c r="B2375" s="106" t="s">
        <v>327</v>
      </c>
      <c r="C2375" s="106" t="s">
        <v>473</v>
      </c>
      <c r="D2375" s="107" t="s">
        <v>6023</v>
      </c>
      <c r="E2375" s="109" t="s">
        <v>355</v>
      </c>
      <c r="F2375" s="109" t="s">
        <v>355</v>
      </c>
      <c r="G2375" s="55" t="s">
        <v>355</v>
      </c>
      <c r="H2375" s="108" t="s">
        <v>402</v>
      </c>
      <c r="I2375" s="111" t="s">
        <v>402</v>
      </c>
      <c r="J2375" s="111" t="s">
        <v>402</v>
      </c>
      <c r="K2375" s="106" t="s">
        <v>403</v>
      </c>
      <c r="L2375" s="55" t="s">
        <v>404</v>
      </c>
      <c r="M2375" s="55" t="s">
        <v>7634</v>
      </c>
    </row>
    <row r="2376" spans="1:13">
      <c r="A2376" s="408" t="s">
        <v>6024</v>
      </c>
      <c r="B2376" s="106" t="s">
        <v>327</v>
      </c>
      <c r="C2376" s="106" t="s">
        <v>473</v>
      </c>
      <c r="D2376" s="107" t="s">
        <v>6025</v>
      </c>
      <c r="E2376" s="109" t="s">
        <v>355</v>
      </c>
      <c r="F2376" s="109" t="s">
        <v>355</v>
      </c>
      <c r="G2376" s="55" t="s">
        <v>355</v>
      </c>
      <c r="H2376" s="108" t="s">
        <v>402</v>
      </c>
      <c r="I2376" s="111" t="s">
        <v>402</v>
      </c>
      <c r="J2376" s="111" t="s">
        <v>402</v>
      </c>
      <c r="K2376" s="106" t="s">
        <v>403</v>
      </c>
      <c r="L2376" s="55" t="s">
        <v>404</v>
      </c>
      <c r="M2376" s="55" t="s">
        <v>7634</v>
      </c>
    </row>
    <row r="2377" spans="1:13">
      <c r="A2377" s="408" t="s">
        <v>6026</v>
      </c>
      <c r="B2377" s="106" t="s">
        <v>327</v>
      </c>
      <c r="C2377" s="106" t="s">
        <v>473</v>
      </c>
      <c r="D2377" s="107" t="s">
        <v>6027</v>
      </c>
      <c r="E2377" s="109" t="s">
        <v>355</v>
      </c>
      <c r="F2377" s="109" t="s">
        <v>355</v>
      </c>
      <c r="G2377" s="55" t="s">
        <v>355</v>
      </c>
      <c r="H2377" s="108" t="s">
        <v>402</v>
      </c>
      <c r="I2377" s="111" t="s">
        <v>402</v>
      </c>
      <c r="J2377" s="111" t="s">
        <v>402</v>
      </c>
      <c r="K2377" s="106" t="s">
        <v>403</v>
      </c>
      <c r="L2377" s="55" t="s">
        <v>404</v>
      </c>
      <c r="M2377" s="55" t="s">
        <v>7634</v>
      </c>
    </row>
    <row r="2378" spans="1:13">
      <c r="A2378" s="408" t="s">
        <v>6028</v>
      </c>
      <c r="B2378" s="106" t="s">
        <v>327</v>
      </c>
      <c r="C2378" s="106" t="s">
        <v>473</v>
      </c>
      <c r="D2378" s="107" t="s">
        <v>6029</v>
      </c>
      <c r="E2378" s="109" t="s">
        <v>355</v>
      </c>
      <c r="F2378" s="109" t="s">
        <v>355</v>
      </c>
      <c r="G2378" s="55" t="s">
        <v>355</v>
      </c>
      <c r="H2378" s="108" t="s">
        <v>402</v>
      </c>
      <c r="I2378" s="111" t="s">
        <v>402</v>
      </c>
      <c r="J2378" s="111" t="s">
        <v>402</v>
      </c>
      <c r="K2378" s="106" t="s">
        <v>403</v>
      </c>
      <c r="L2378" s="55" t="s">
        <v>404</v>
      </c>
      <c r="M2378" s="55" t="s">
        <v>7634</v>
      </c>
    </row>
    <row r="2379" spans="1:13">
      <c r="A2379" s="408" t="s">
        <v>6030</v>
      </c>
      <c r="B2379" s="106" t="s">
        <v>327</v>
      </c>
      <c r="C2379" s="106" t="s">
        <v>473</v>
      </c>
      <c r="D2379" s="107" t="s">
        <v>6031</v>
      </c>
      <c r="E2379" s="109" t="s">
        <v>355</v>
      </c>
      <c r="F2379" s="109" t="s">
        <v>355</v>
      </c>
      <c r="G2379" s="55" t="s">
        <v>355</v>
      </c>
      <c r="H2379" s="108" t="s">
        <v>402</v>
      </c>
      <c r="I2379" s="111" t="s">
        <v>402</v>
      </c>
      <c r="J2379" s="111" t="s">
        <v>402</v>
      </c>
      <c r="K2379" s="106" t="s">
        <v>403</v>
      </c>
      <c r="L2379" s="55" t="s">
        <v>404</v>
      </c>
      <c r="M2379" s="55" t="s">
        <v>7634</v>
      </c>
    </row>
    <row r="2380" spans="1:13">
      <c r="A2380" s="408" t="s">
        <v>6032</v>
      </c>
      <c r="B2380" s="106" t="s">
        <v>327</v>
      </c>
      <c r="C2380" s="106" t="s">
        <v>473</v>
      </c>
      <c r="D2380" s="107" t="s">
        <v>6033</v>
      </c>
      <c r="E2380" s="109" t="s">
        <v>355</v>
      </c>
      <c r="F2380" s="109" t="s">
        <v>355</v>
      </c>
      <c r="G2380" s="55" t="s">
        <v>355</v>
      </c>
      <c r="H2380" s="108" t="s">
        <v>402</v>
      </c>
      <c r="I2380" s="111" t="s">
        <v>402</v>
      </c>
      <c r="J2380" s="111" t="s">
        <v>402</v>
      </c>
      <c r="K2380" s="106" t="s">
        <v>403</v>
      </c>
      <c r="L2380" s="55" t="s">
        <v>404</v>
      </c>
      <c r="M2380" s="55" t="s">
        <v>7634</v>
      </c>
    </row>
    <row r="2381" spans="1:13">
      <c r="A2381" s="408" t="s">
        <v>6034</v>
      </c>
      <c r="B2381" s="106" t="s">
        <v>327</v>
      </c>
      <c r="C2381" s="106" t="s">
        <v>473</v>
      </c>
      <c r="D2381" s="107" t="s">
        <v>6035</v>
      </c>
      <c r="E2381" s="109" t="s">
        <v>355</v>
      </c>
      <c r="F2381" s="109" t="s">
        <v>355</v>
      </c>
      <c r="G2381" s="55" t="s">
        <v>355</v>
      </c>
      <c r="H2381" s="108" t="s">
        <v>402</v>
      </c>
      <c r="I2381" s="111" t="s">
        <v>402</v>
      </c>
      <c r="J2381" s="111" t="s">
        <v>402</v>
      </c>
      <c r="K2381" s="106" t="s">
        <v>403</v>
      </c>
      <c r="L2381" s="55" t="s">
        <v>404</v>
      </c>
      <c r="M2381" s="55" t="s">
        <v>7634</v>
      </c>
    </row>
    <row r="2382" spans="1:13">
      <c r="A2382" s="408" t="s">
        <v>6036</v>
      </c>
      <c r="B2382" s="106" t="s">
        <v>327</v>
      </c>
      <c r="C2382" s="106" t="s">
        <v>473</v>
      </c>
      <c r="D2382" s="107" t="s">
        <v>6037</v>
      </c>
      <c r="E2382" s="109" t="s">
        <v>355</v>
      </c>
      <c r="F2382" s="109" t="s">
        <v>355</v>
      </c>
      <c r="G2382" s="55" t="s">
        <v>355</v>
      </c>
      <c r="H2382" s="108" t="s">
        <v>402</v>
      </c>
      <c r="I2382" s="111" t="s">
        <v>402</v>
      </c>
      <c r="J2382" s="111" t="s">
        <v>402</v>
      </c>
      <c r="K2382" s="106" t="s">
        <v>403</v>
      </c>
      <c r="L2382" s="55" t="s">
        <v>404</v>
      </c>
      <c r="M2382" s="55" t="s">
        <v>7634</v>
      </c>
    </row>
    <row r="2383" spans="1:13">
      <c r="A2383" s="408" t="s">
        <v>6038</v>
      </c>
      <c r="B2383" s="106" t="s">
        <v>327</v>
      </c>
      <c r="C2383" s="106" t="s">
        <v>473</v>
      </c>
      <c r="D2383" s="107" t="s">
        <v>6039</v>
      </c>
      <c r="E2383" s="109" t="s">
        <v>355</v>
      </c>
      <c r="F2383" s="109" t="s">
        <v>355</v>
      </c>
      <c r="G2383" s="55" t="s">
        <v>355</v>
      </c>
      <c r="H2383" s="108" t="s">
        <v>402</v>
      </c>
      <c r="I2383" s="111" t="s">
        <v>402</v>
      </c>
      <c r="J2383" s="111" t="s">
        <v>402</v>
      </c>
      <c r="K2383" s="106" t="s">
        <v>403</v>
      </c>
      <c r="L2383" s="55" t="s">
        <v>404</v>
      </c>
      <c r="M2383" s="55" t="s">
        <v>7634</v>
      </c>
    </row>
    <row r="2384" spans="1:13">
      <c r="A2384" s="408" t="s">
        <v>6040</v>
      </c>
      <c r="B2384" s="106" t="s">
        <v>327</v>
      </c>
      <c r="C2384" s="106" t="s">
        <v>473</v>
      </c>
      <c r="D2384" s="107" t="s">
        <v>6041</v>
      </c>
      <c r="E2384" s="109" t="s">
        <v>355</v>
      </c>
      <c r="F2384" s="109" t="s">
        <v>355</v>
      </c>
      <c r="G2384" s="55" t="s">
        <v>355</v>
      </c>
      <c r="H2384" s="108" t="s">
        <v>402</v>
      </c>
      <c r="I2384" s="111" t="s">
        <v>402</v>
      </c>
      <c r="J2384" s="111" t="s">
        <v>402</v>
      </c>
      <c r="K2384" s="106" t="s">
        <v>403</v>
      </c>
      <c r="L2384" s="55" t="s">
        <v>404</v>
      </c>
      <c r="M2384" s="55" t="s">
        <v>7634</v>
      </c>
    </row>
    <row r="2385" spans="1:13">
      <c r="A2385" s="408" t="s">
        <v>6042</v>
      </c>
      <c r="B2385" s="106" t="s">
        <v>327</v>
      </c>
      <c r="C2385" s="106" t="s">
        <v>473</v>
      </c>
      <c r="D2385" s="107" t="s">
        <v>6043</v>
      </c>
      <c r="E2385" s="109" t="s">
        <v>355</v>
      </c>
      <c r="F2385" s="109" t="s">
        <v>355</v>
      </c>
      <c r="G2385" s="55" t="s">
        <v>355</v>
      </c>
      <c r="H2385" s="108" t="s">
        <v>402</v>
      </c>
      <c r="I2385" s="111" t="s">
        <v>402</v>
      </c>
      <c r="J2385" s="111" t="s">
        <v>402</v>
      </c>
      <c r="K2385" s="106" t="s">
        <v>403</v>
      </c>
      <c r="L2385" s="55" t="s">
        <v>404</v>
      </c>
      <c r="M2385" s="55" t="s">
        <v>7634</v>
      </c>
    </row>
    <row r="2386" spans="1:13">
      <c r="A2386" s="408" t="s">
        <v>6044</v>
      </c>
      <c r="B2386" s="106" t="s">
        <v>327</v>
      </c>
      <c r="C2386" s="106" t="s">
        <v>473</v>
      </c>
      <c r="D2386" s="107" t="s">
        <v>6045</v>
      </c>
      <c r="E2386" s="109" t="s">
        <v>355</v>
      </c>
      <c r="F2386" s="109" t="s">
        <v>355</v>
      </c>
      <c r="G2386" s="55" t="s">
        <v>355</v>
      </c>
      <c r="H2386" s="108" t="s">
        <v>402</v>
      </c>
      <c r="I2386" s="111" t="s">
        <v>402</v>
      </c>
      <c r="J2386" s="111" t="s">
        <v>402</v>
      </c>
      <c r="K2386" s="106" t="s">
        <v>403</v>
      </c>
      <c r="L2386" s="55" t="s">
        <v>404</v>
      </c>
      <c r="M2386" s="55" t="s">
        <v>7634</v>
      </c>
    </row>
    <row r="2387" spans="1:13">
      <c r="A2387" s="408" t="s">
        <v>6046</v>
      </c>
      <c r="B2387" s="106" t="s">
        <v>327</v>
      </c>
      <c r="C2387" s="106" t="s">
        <v>473</v>
      </c>
      <c r="D2387" s="107" t="s">
        <v>6047</v>
      </c>
      <c r="E2387" s="109" t="s">
        <v>355</v>
      </c>
      <c r="F2387" s="109" t="s">
        <v>355</v>
      </c>
      <c r="G2387" s="55" t="s">
        <v>355</v>
      </c>
      <c r="H2387" s="108" t="s">
        <v>402</v>
      </c>
      <c r="I2387" s="111" t="s">
        <v>402</v>
      </c>
      <c r="J2387" s="111" t="s">
        <v>402</v>
      </c>
      <c r="K2387" s="106" t="s">
        <v>403</v>
      </c>
      <c r="L2387" s="55" t="s">
        <v>404</v>
      </c>
      <c r="M2387" s="55" t="s">
        <v>7634</v>
      </c>
    </row>
    <row r="2388" spans="1:13">
      <c r="A2388" s="408" t="s">
        <v>6048</v>
      </c>
      <c r="B2388" s="106" t="s">
        <v>327</v>
      </c>
      <c r="C2388" s="106" t="s">
        <v>473</v>
      </c>
      <c r="D2388" s="107" t="s">
        <v>6049</v>
      </c>
      <c r="E2388" s="109" t="s">
        <v>355</v>
      </c>
      <c r="F2388" s="109" t="s">
        <v>355</v>
      </c>
      <c r="G2388" s="55" t="s">
        <v>355</v>
      </c>
      <c r="H2388" s="108" t="s">
        <v>402</v>
      </c>
      <c r="I2388" s="111" t="s">
        <v>402</v>
      </c>
      <c r="J2388" s="111" t="s">
        <v>402</v>
      </c>
      <c r="K2388" s="106" t="s">
        <v>403</v>
      </c>
      <c r="L2388" s="55" t="s">
        <v>404</v>
      </c>
      <c r="M2388" s="55" t="s">
        <v>7634</v>
      </c>
    </row>
    <row r="2389" spans="1:13">
      <c r="A2389" s="408" t="s">
        <v>6050</v>
      </c>
      <c r="B2389" s="106" t="s">
        <v>327</v>
      </c>
      <c r="C2389" s="106" t="s">
        <v>473</v>
      </c>
      <c r="D2389" s="107" t="s">
        <v>6051</v>
      </c>
      <c r="E2389" s="109" t="s">
        <v>355</v>
      </c>
      <c r="F2389" s="109" t="s">
        <v>355</v>
      </c>
      <c r="G2389" s="55" t="s">
        <v>355</v>
      </c>
      <c r="H2389" s="108" t="s">
        <v>402</v>
      </c>
      <c r="I2389" s="111" t="s">
        <v>402</v>
      </c>
      <c r="J2389" s="111" t="s">
        <v>402</v>
      </c>
      <c r="K2389" s="106" t="s">
        <v>403</v>
      </c>
      <c r="L2389" s="55" t="s">
        <v>404</v>
      </c>
      <c r="M2389" s="55" t="s">
        <v>7634</v>
      </c>
    </row>
    <row r="2390" spans="1:13">
      <c r="A2390" s="408" t="s">
        <v>6052</v>
      </c>
      <c r="B2390" s="106" t="s">
        <v>327</v>
      </c>
      <c r="C2390" s="106" t="s">
        <v>473</v>
      </c>
      <c r="D2390" s="107" t="s">
        <v>6053</v>
      </c>
      <c r="E2390" s="109" t="s">
        <v>355</v>
      </c>
      <c r="F2390" s="109" t="s">
        <v>355</v>
      </c>
      <c r="G2390" s="55" t="s">
        <v>355</v>
      </c>
      <c r="H2390" s="108" t="s">
        <v>402</v>
      </c>
      <c r="I2390" s="111" t="s">
        <v>402</v>
      </c>
      <c r="J2390" s="111" t="s">
        <v>402</v>
      </c>
      <c r="K2390" s="106" t="s">
        <v>403</v>
      </c>
      <c r="L2390" s="55" t="s">
        <v>404</v>
      </c>
      <c r="M2390" s="55" t="s">
        <v>7634</v>
      </c>
    </row>
    <row r="2391" spans="1:13">
      <c r="A2391" s="408" t="s">
        <v>6054</v>
      </c>
      <c r="B2391" s="106" t="s">
        <v>327</v>
      </c>
      <c r="C2391" s="106" t="s">
        <v>473</v>
      </c>
      <c r="D2391" s="107" t="s">
        <v>6055</v>
      </c>
      <c r="E2391" s="107" t="s">
        <v>6056</v>
      </c>
      <c r="F2391" s="107" t="s">
        <v>6057</v>
      </c>
      <c r="G2391" s="591" t="s">
        <v>6058</v>
      </c>
      <c r="H2391" s="108" t="s">
        <v>402</v>
      </c>
      <c r="I2391" s="111" t="s">
        <v>402</v>
      </c>
      <c r="J2391" s="111" t="s">
        <v>402</v>
      </c>
      <c r="K2391" s="106" t="s">
        <v>403</v>
      </c>
      <c r="L2391" s="55" t="s">
        <v>404</v>
      </c>
      <c r="M2391" s="55" t="s">
        <v>7634</v>
      </c>
    </row>
    <row r="2392" spans="1:13">
      <c r="A2392" s="408" t="s">
        <v>6059</v>
      </c>
      <c r="B2392" s="106" t="s">
        <v>327</v>
      </c>
      <c r="C2392" s="106" t="s">
        <v>473</v>
      </c>
      <c r="D2392" s="107" t="s">
        <v>6060</v>
      </c>
      <c r="E2392" s="109" t="s">
        <v>355</v>
      </c>
      <c r="F2392" s="109" t="s">
        <v>355</v>
      </c>
      <c r="G2392" s="55" t="s">
        <v>355</v>
      </c>
      <c r="H2392" s="108" t="s">
        <v>402</v>
      </c>
      <c r="I2392" s="111" t="s">
        <v>402</v>
      </c>
      <c r="J2392" s="111" t="s">
        <v>402</v>
      </c>
      <c r="K2392" s="106" t="s">
        <v>403</v>
      </c>
      <c r="L2392" s="55" t="s">
        <v>404</v>
      </c>
      <c r="M2392" s="55" t="s">
        <v>7634</v>
      </c>
    </row>
    <row r="2393" spans="1:13">
      <c r="A2393" s="408" t="s">
        <v>6061</v>
      </c>
      <c r="B2393" s="106" t="s">
        <v>327</v>
      </c>
      <c r="C2393" s="106" t="s">
        <v>473</v>
      </c>
      <c r="D2393" s="107" t="s">
        <v>6062</v>
      </c>
      <c r="E2393" s="109" t="s">
        <v>355</v>
      </c>
      <c r="F2393" s="109" t="s">
        <v>355</v>
      </c>
      <c r="G2393" s="55" t="s">
        <v>355</v>
      </c>
      <c r="H2393" s="108" t="s">
        <v>402</v>
      </c>
      <c r="I2393" s="111" t="s">
        <v>402</v>
      </c>
      <c r="J2393" s="111" t="s">
        <v>402</v>
      </c>
      <c r="K2393" s="106" t="s">
        <v>403</v>
      </c>
      <c r="L2393" s="55" t="s">
        <v>404</v>
      </c>
      <c r="M2393" s="55" t="s">
        <v>7634</v>
      </c>
    </row>
    <row r="2394" spans="1:13">
      <c r="A2394" s="408" t="s">
        <v>6063</v>
      </c>
      <c r="B2394" s="106" t="s">
        <v>327</v>
      </c>
      <c r="C2394" s="106" t="s">
        <v>473</v>
      </c>
      <c r="D2394" s="107" t="s">
        <v>6064</v>
      </c>
      <c r="E2394" s="109" t="s">
        <v>355</v>
      </c>
      <c r="F2394" s="109" t="s">
        <v>355</v>
      </c>
      <c r="G2394" s="55" t="s">
        <v>355</v>
      </c>
      <c r="H2394" s="108" t="s">
        <v>402</v>
      </c>
      <c r="I2394" s="111" t="s">
        <v>402</v>
      </c>
      <c r="J2394" s="111" t="s">
        <v>402</v>
      </c>
      <c r="K2394" s="106" t="s">
        <v>403</v>
      </c>
      <c r="L2394" s="55" t="s">
        <v>404</v>
      </c>
      <c r="M2394" s="55" t="s">
        <v>7634</v>
      </c>
    </row>
    <row r="2395" spans="1:13">
      <c r="A2395" s="401" t="s">
        <v>6965</v>
      </c>
      <c r="B2395" s="106" t="s">
        <v>327</v>
      </c>
      <c r="C2395" s="106" t="s">
        <v>473</v>
      </c>
      <c r="D2395" s="120" t="s">
        <v>6966</v>
      </c>
      <c r="E2395" s="107" t="s">
        <v>3875</v>
      </c>
      <c r="F2395" s="107" t="s">
        <v>6967</v>
      </c>
      <c r="G2395" s="589" t="s">
        <v>6968</v>
      </c>
      <c r="H2395" s="108" t="s">
        <v>402</v>
      </c>
      <c r="I2395" s="111" t="s">
        <v>402</v>
      </c>
      <c r="J2395" s="111" t="s">
        <v>402</v>
      </c>
      <c r="K2395" s="106" t="s">
        <v>403</v>
      </c>
      <c r="L2395" s="55" t="s">
        <v>404</v>
      </c>
      <c r="M2395" s="55" t="s">
        <v>7634</v>
      </c>
    </row>
    <row r="2396" spans="1:13">
      <c r="A2396" s="408" t="s">
        <v>6065</v>
      </c>
      <c r="B2396" s="106" t="s">
        <v>327</v>
      </c>
      <c r="C2396" s="106" t="s">
        <v>473</v>
      </c>
      <c r="D2396" s="107" t="s">
        <v>6066</v>
      </c>
      <c r="E2396" s="109" t="s">
        <v>355</v>
      </c>
      <c r="F2396" s="109" t="s">
        <v>355</v>
      </c>
      <c r="G2396" s="55" t="s">
        <v>355</v>
      </c>
      <c r="H2396" s="108" t="s">
        <v>402</v>
      </c>
      <c r="I2396" s="111" t="s">
        <v>402</v>
      </c>
      <c r="J2396" s="111" t="s">
        <v>402</v>
      </c>
      <c r="K2396" s="106" t="s">
        <v>403</v>
      </c>
      <c r="L2396" s="55" t="s">
        <v>404</v>
      </c>
      <c r="M2396" s="55" t="s">
        <v>7634</v>
      </c>
    </row>
    <row r="2397" spans="1:13">
      <c r="A2397" s="408" t="s">
        <v>6067</v>
      </c>
      <c r="B2397" s="106" t="s">
        <v>327</v>
      </c>
      <c r="C2397" s="106" t="s">
        <v>473</v>
      </c>
      <c r="D2397" s="107" t="s">
        <v>6068</v>
      </c>
      <c r="E2397" s="109" t="s">
        <v>355</v>
      </c>
      <c r="F2397" s="109" t="s">
        <v>355</v>
      </c>
      <c r="G2397" s="55" t="s">
        <v>355</v>
      </c>
      <c r="H2397" s="108" t="s">
        <v>402</v>
      </c>
      <c r="I2397" s="111" t="s">
        <v>402</v>
      </c>
      <c r="J2397" s="111" t="s">
        <v>402</v>
      </c>
      <c r="K2397" s="106" t="s">
        <v>403</v>
      </c>
      <c r="L2397" s="55" t="s">
        <v>404</v>
      </c>
      <c r="M2397" s="55" t="s">
        <v>7634</v>
      </c>
    </row>
    <row r="2398" spans="1:13">
      <c r="A2398" s="408" t="s">
        <v>6069</v>
      </c>
      <c r="B2398" s="106" t="s">
        <v>327</v>
      </c>
      <c r="C2398" s="106" t="s">
        <v>473</v>
      </c>
      <c r="D2398" s="107" t="s">
        <v>6070</v>
      </c>
      <c r="E2398" s="109" t="s">
        <v>355</v>
      </c>
      <c r="F2398" s="109" t="s">
        <v>355</v>
      </c>
      <c r="G2398" s="55" t="s">
        <v>355</v>
      </c>
      <c r="H2398" s="108" t="s">
        <v>402</v>
      </c>
      <c r="I2398" s="111" t="s">
        <v>402</v>
      </c>
      <c r="J2398" s="111" t="s">
        <v>402</v>
      </c>
      <c r="K2398" s="106" t="s">
        <v>403</v>
      </c>
      <c r="L2398" s="55" t="s">
        <v>404</v>
      </c>
      <c r="M2398" s="55" t="s">
        <v>7634</v>
      </c>
    </row>
    <row r="2399" spans="1:13">
      <c r="A2399" s="408" t="s">
        <v>6071</v>
      </c>
      <c r="B2399" s="106" t="s">
        <v>327</v>
      </c>
      <c r="C2399" s="106" t="s">
        <v>473</v>
      </c>
      <c r="D2399" s="107" t="s">
        <v>6072</v>
      </c>
      <c r="E2399" s="109" t="s">
        <v>355</v>
      </c>
      <c r="F2399" s="109" t="s">
        <v>355</v>
      </c>
      <c r="G2399" s="55" t="s">
        <v>355</v>
      </c>
      <c r="H2399" s="108" t="s">
        <v>402</v>
      </c>
      <c r="I2399" s="111" t="s">
        <v>402</v>
      </c>
      <c r="J2399" s="111" t="s">
        <v>402</v>
      </c>
      <c r="K2399" s="106" t="s">
        <v>403</v>
      </c>
      <c r="L2399" s="55" t="s">
        <v>404</v>
      </c>
      <c r="M2399" s="55" t="s">
        <v>7634</v>
      </c>
    </row>
    <row r="2400" spans="1:13">
      <c r="A2400" s="408" t="s">
        <v>6073</v>
      </c>
      <c r="B2400" s="106" t="s">
        <v>327</v>
      </c>
      <c r="C2400" s="106" t="s">
        <v>473</v>
      </c>
      <c r="D2400" s="107" t="s">
        <v>6074</v>
      </c>
      <c r="E2400" s="109" t="s">
        <v>355</v>
      </c>
      <c r="F2400" s="109" t="s">
        <v>355</v>
      </c>
      <c r="G2400" s="55" t="s">
        <v>355</v>
      </c>
      <c r="H2400" s="108" t="s">
        <v>402</v>
      </c>
      <c r="I2400" s="111" t="s">
        <v>402</v>
      </c>
      <c r="J2400" s="111" t="s">
        <v>402</v>
      </c>
      <c r="K2400" s="106" t="s">
        <v>403</v>
      </c>
      <c r="L2400" s="55" t="s">
        <v>404</v>
      </c>
      <c r="M2400" s="55" t="s">
        <v>7634</v>
      </c>
    </row>
    <row r="2401" spans="1:13">
      <c r="A2401" s="408" t="s">
        <v>6075</v>
      </c>
      <c r="B2401" s="106" t="s">
        <v>327</v>
      </c>
      <c r="C2401" s="106" t="s">
        <v>473</v>
      </c>
      <c r="D2401" s="107" t="s">
        <v>6076</v>
      </c>
      <c r="E2401" s="109" t="s">
        <v>355</v>
      </c>
      <c r="F2401" s="109" t="s">
        <v>355</v>
      </c>
      <c r="G2401" s="55" t="s">
        <v>355</v>
      </c>
      <c r="H2401" s="108" t="s">
        <v>402</v>
      </c>
      <c r="I2401" s="111" t="s">
        <v>402</v>
      </c>
      <c r="J2401" s="111" t="s">
        <v>402</v>
      </c>
      <c r="K2401" s="106" t="s">
        <v>403</v>
      </c>
      <c r="L2401" s="55" t="s">
        <v>404</v>
      </c>
      <c r="M2401" s="55" t="s">
        <v>7634</v>
      </c>
    </row>
    <row r="2402" spans="1:13">
      <c r="A2402" s="408" t="s">
        <v>6077</v>
      </c>
      <c r="B2402" s="106" t="s">
        <v>327</v>
      </c>
      <c r="C2402" s="106" t="s">
        <v>473</v>
      </c>
      <c r="D2402" s="107" t="s">
        <v>6078</v>
      </c>
      <c r="E2402" s="109" t="s">
        <v>355</v>
      </c>
      <c r="F2402" s="109" t="s">
        <v>355</v>
      </c>
      <c r="G2402" s="55" t="s">
        <v>355</v>
      </c>
      <c r="H2402" s="108" t="s">
        <v>402</v>
      </c>
      <c r="I2402" s="111" t="s">
        <v>402</v>
      </c>
      <c r="J2402" s="111" t="s">
        <v>402</v>
      </c>
      <c r="K2402" s="106" t="s">
        <v>403</v>
      </c>
      <c r="L2402" s="55" t="s">
        <v>404</v>
      </c>
      <c r="M2402" s="55" t="s">
        <v>7634</v>
      </c>
    </row>
    <row r="2403" spans="1:13">
      <c r="A2403" s="408" t="s">
        <v>6079</v>
      </c>
      <c r="B2403" s="106" t="s">
        <v>327</v>
      </c>
      <c r="C2403" s="106" t="s">
        <v>473</v>
      </c>
      <c r="D2403" s="107" t="s">
        <v>6080</v>
      </c>
      <c r="E2403" s="109" t="s">
        <v>355</v>
      </c>
      <c r="F2403" s="109" t="s">
        <v>355</v>
      </c>
      <c r="G2403" s="55" t="s">
        <v>355</v>
      </c>
      <c r="H2403" s="108" t="s">
        <v>402</v>
      </c>
      <c r="I2403" s="111" t="s">
        <v>402</v>
      </c>
      <c r="J2403" s="111" t="s">
        <v>402</v>
      </c>
      <c r="K2403" s="106" t="s">
        <v>403</v>
      </c>
      <c r="L2403" s="55" t="s">
        <v>404</v>
      </c>
      <c r="M2403" s="55" t="s">
        <v>7634</v>
      </c>
    </row>
    <row r="2404" spans="1:13">
      <c r="A2404" s="408" t="s">
        <v>6081</v>
      </c>
      <c r="B2404" s="106" t="s">
        <v>327</v>
      </c>
      <c r="C2404" s="106" t="s">
        <v>473</v>
      </c>
      <c r="D2404" s="107" t="s">
        <v>6082</v>
      </c>
      <c r="E2404" s="109" t="s">
        <v>355</v>
      </c>
      <c r="F2404" s="109" t="s">
        <v>355</v>
      </c>
      <c r="G2404" s="55" t="s">
        <v>355</v>
      </c>
      <c r="H2404" s="108" t="s">
        <v>402</v>
      </c>
      <c r="I2404" s="111" t="s">
        <v>402</v>
      </c>
      <c r="J2404" s="111" t="s">
        <v>402</v>
      </c>
      <c r="K2404" s="106" t="s">
        <v>403</v>
      </c>
      <c r="L2404" s="55" t="s">
        <v>404</v>
      </c>
      <c r="M2404" s="55" t="s">
        <v>7634</v>
      </c>
    </row>
    <row r="2405" spans="1:13">
      <c r="A2405" s="408" t="s">
        <v>6083</v>
      </c>
      <c r="B2405" s="106" t="s">
        <v>327</v>
      </c>
      <c r="C2405" s="106" t="s">
        <v>473</v>
      </c>
      <c r="D2405" s="107" t="s">
        <v>6084</v>
      </c>
      <c r="E2405" s="109" t="s">
        <v>355</v>
      </c>
      <c r="F2405" s="109" t="s">
        <v>355</v>
      </c>
      <c r="G2405" s="55" t="s">
        <v>355</v>
      </c>
      <c r="H2405" s="108" t="s">
        <v>402</v>
      </c>
      <c r="I2405" s="111" t="s">
        <v>402</v>
      </c>
      <c r="J2405" s="111" t="s">
        <v>402</v>
      </c>
      <c r="K2405" s="106" t="s">
        <v>403</v>
      </c>
      <c r="L2405" s="55" t="s">
        <v>404</v>
      </c>
      <c r="M2405" s="55" t="s">
        <v>7634</v>
      </c>
    </row>
    <row r="2406" spans="1:13">
      <c r="A2406" s="408" t="s">
        <v>6085</v>
      </c>
      <c r="B2406" s="106" t="s">
        <v>327</v>
      </c>
      <c r="C2406" s="106" t="s">
        <v>473</v>
      </c>
      <c r="D2406" s="107" t="s">
        <v>6086</v>
      </c>
      <c r="E2406" s="109" t="s">
        <v>355</v>
      </c>
      <c r="F2406" s="109" t="s">
        <v>355</v>
      </c>
      <c r="G2406" s="55" t="s">
        <v>355</v>
      </c>
      <c r="H2406" s="108" t="s">
        <v>402</v>
      </c>
      <c r="I2406" s="111" t="s">
        <v>402</v>
      </c>
      <c r="J2406" s="111" t="s">
        <v>402</v>
      </c>
      <c r="K2406" s="106" t="s">
        <v>403</v>
      </c>
      <c r="L2406" s="55" t="s">
        <v>404</v>
      </c>
      <c r="M2406" s="55" t="s">
        <v>7634</v>
      </c>
    </row>
    <row r="2407" spans="1:13">
      <c r="A2407" s="408" t="s">
        <v>6087</v>
      </c>
      <c r="B2407" s="106" t="s">
        <v>327</v>
      </c>
      <c r="C2407" s="106" t="s">
        <v>473</v>
      </c>
      <c r="D2407" s="107" t="s">
        <v>6088</v>
      </c>
      <c r="E2407" s="109" t="s">
        <v>355</v>
      </c>
      <c r="F2407" s="109" t="s">
        <v>355</v>
      </c>
      <c r="G2407" s="55" t="s">
        <v>355</v>
      </c>
      <c r="H2407" s="108" t="s">
        <v>402</v>
      </c>
      <c r="I2407" s="111" t="s">
        <v>402</v>
      </c>
      <c r="J2407" s="111" t="s">
        <v>402</v>
      </c>
      <c r="K2407" s="106" t="s">
        <v>403</v>
      </c>
      <c r="L2407" s="55" t="s">
        <v>404</v>
      </c>
      <c r="M2407" s="55" t="s">
        <v>7634</v>
      </c>
    </row>
    <row r="2408" spans="1:13">
      <c r="A2408" s="408" t="s">
        <v>6089</v>
      </c>
      <c r="B2408" s="106" t="s">
        <v>327</v>
      </c>
      <c r="C2408" s="106" t="s">
        <v>473</v>
      </c>
      <c r="D2408" s="107" t="s">
        <v>6090</v>
      </c>
      <c r="E2408" s="109" t="s">
        <v>355</v>
      </c>
      <c r="F2408" s="109" t="s">
        <v>355</v>
      </c>
      <c r="G2408" s="55" t="s">
        <v>355</v>
      </c>
      <c r="H2408" s="108" t="s">
        <v>402</v>
      </c>
      <c r="I2408" s="111" t="s">
        <v>402</v>
      </c>
      <c r="J2408" s="111" t="s">
        <v>402</v>
      </c>
      <c r="K2408" s="106" t="s">
        <v>403</v>
      </c>
      <c r="L2408" s="55" t="s">
        <v>404</v>
      </c>
      <c r="M2408" s="55" t="s">
        <v>7634</v>
      </c>
    </row>
    <row r="2409" spans="1:13">
      <c r="A2409" s="408" t="s">
        <v>6091</v>
      </c>
      <c r="B2409" s="106" t="s">
        <v>327</v>
      </c>
      <c r="C2409" s="106" t="s">
        <v>473</v>
      </c>
      <c r="D2409" s="107" t="s">
        <v>6092</v>
      </c>
      <c r="E2409" s="109" t="s">
        <v>355</v>
      </c>
      <c r="F2409" s="109" t="s">
        <v>355</v>
      </c>
      <c r="G2409" s="55" t="s">
        <v>355</v>
      </c>
      <c r="H2409" s="108" t="s">
        <v>402</v>
      </c>
      <c r="I2409" s="111" t="s">
        <v>402</v>
      </c>
      <c r="J2409" s="111" t="s">
        <v>402</v>
      </c>
      <c r="K2409" s="106" t="s">
        <v>403</v>
      </c>
      <c r="L2409" s="55" t="s">
        <v>404</v>
      </c>
      <c r="M2409" s="55" t="s">
        <v>7634</v>
      </c>
    </row>
    <row r="2410" spans="1:13">
      <c r="A2410" s="408" t="s">
        <v>6093</v>
      </c>
      <c r="B2410" s="106" t="s">
        <v>327</v>
      </c>
      <c r="C2410" s="106" t="s">
        <v>473</v>
      </c>
      <c r="D2410" s="107" t="s">
        <v>6092</v>
      </c>
      <c r="E2410" s="109" t="s">
        <v>355</v>
      </c>
      <c r="F2410" s="109" t="s">
        <v>355</v>
      </c>
      <c r="G2410" s="55" t="s">
        <v>355</v>
      </c>
      <c r="H2410" s="108" t="s">
        <v>402</v>
      </c>
      <c r="I2410" s="111" t="s">
        <v>402</v>
      </c>
      <c r="J2410" s="111" t="s">
        <v>402</v>
      </c>
      <c r="K2410" s="106" t="s">
        <v>403</v>
      </c>
      <c r="L2410" s="55" t="s">
        <v>404</v>
      </c>
      <c r="M2410" s="55" t="s">
        <v>7634</v>
      </c>
    </row>
    <row r="2411" spans="1:13">
      <c r="A2411" s="408" t="s">
        <v>6094</v>
      </c>
      <c r="B2411" s="106" t="s">
        <v>327</v>
      </c>
      <c r="C2411" s="106" t="s">
        <v>473</v>
      </c>
      <c r="D2411" s="107" t="s">
        <v>6095</v>
      </c>
      <c r="E2411" s="109" t="s">
        <v>355</v>
      </c>
      <c r="F2411" s="109" t="s">
        <v>355</v>
      </c>
      <c r="G2411" s="55" t="s">
        <v>355</v>
      </c>
      <c r="H2411" s="108" t="s">
        <v>402</v>
      </c>
      <c r="I2411" s="111" t="s">
        <v>402</v>
      </c>
      <c r="J2411" s="111" t="s">
        <v>402</v>
      </c>
      <c r="K2411" s="106" t="s">
        <v>403</v>
      </c>
      <c r="L2411" s="55" t="s">
        <v>404</v>
      </c>
      <c r="M2411" s="55" t="s">
        <v>7634</v>
      </c>
    </row>
    <row r="2412" spans="1:13">
      <c r="A2412" s="408" t="s">
        <v>6096</v>
      </c>
      <c r="B2412" s="106" t="s">
        <v>327</v>
      </c>
      <c r="C2412" s="106" t="s">
        <v>473</v>
      </c>
      <c r="D2412" s="107" t="s">
        <v>6097</v>
      </c>
      <c r="E2412" s="109" t="s">
        <v>355</v>
      </c>
      <c r="F2412" s="109" t="s">
        <v>355</v>
      </c>
      <c r="G2412" s="55" t="s">
        <v>355</v>
      </c>
      <c r="H2412" s="108" t="s">
        <v>402</v>
      </c>
      <c r="I2412" s="111" t="s">
        <v>402</v>
      </c>
      <c r="J2412" s="111" t="s">
        <v>402</v>
      </c>
      <c r="K2412" s="106" t="s">
        <v>403</v>
      </c>
      <c r="L2412" s="55" t="s">
        <v>404</v>
      </c>
      <c r="M2412" s="55" t="s">
        <v>7634</v>
      </c>
    </row>
    <row r="2413" spans="1:13">
      <c r="A2413" s="408" t="s">
        <v>6098</v>
      </c>
      <c r="B2413" s="106" t="s">
        <v>327</v>
      </c>
      <c r="C2413" s="106" t="s">
        <v>473</v>
      </c>
      <c r="D2413" s="107" t="s">
        <v>6099</v>
      </c>
      <c r="E2413" s="109" t="s">
        <v>355</v>
      </c>
      <c r="F2413" s="109" t="s">
        <v>355</v>
      </c>
      <c r="G2413" s="55" t="s">
        <v>355</v>
      </c>
      <c r="H2413" s="108" t="s">
        <v>402</v>
      </c>
      <c r="I2413" s="111" t="s">
        <v>402</v>
      </c>
      <c r="J2413" s="111" t="s">
        <v>402</v>
      </c>
      <c r="K2413" s="106" t="s">
        <v>403</v>
      </c>
      <c r="L2413" s="55" t="s">
        <v>404</v>
      </c>
      <c r="M2413" s="55" t="s">
        <v>7634</v>
      </c>
    </row>
    <row r="2414" spans="1:13">
      <c r="A2414" s="408" t="s">
        <v>6100</v>
      </c>
      <c r="B2414" s="106" t="s">
        <v>327</v>
      </c>
      <c r="C2414" s="106" t="s">
        <v>473</v>
      </c>
      <c r="D2414" s="107" t="s">
        <v>6101</v>
      </c>
      <c r="E2414" s="109" t="s">
        <v>355</v>
      </c>
      <c r="F2414" s="109" t="s">
        <v>355</v>
      </c>
      <c r="G2414" s="55" t="s">
        <v>355</v>
      </c>
      <c r="H2414" s="108" t="s">
        <v>402</v>
      </c>
      <c r="I2414" s="111" t="s">
        <v>402</v>
      </c>
      <c r="J2414" s="111" t="s">
        <v>402</v>
      </c>
      <c r="K2414" s="106" t="s">
        <v>403</v>
      </c>
      <c r="L2414" s="55" t="s">
        <v>404</v>
      </c>
      <c r="M2414" s="55" t="s">
        <v>7634</v>
      </c>
    </row>
    <row r="2415" spans="1:13">
      <c r="A2415" s="408" t="s">
        <v>6102</v>
      </c>
      <c r="B2415" s="106" t="s">
        <v>327</v>
      </c>
      <c r="C2415" s="106" t="s">
        <v>473</v>
      </c>
      <c r="D2415" s="107" t="s">
        <v>6103</v>
      </c>
      <c r="E2415" s="109" t="s">
        <v>355</v>
      </c>
      <c r="F2415" s="109" t="s">
        <v>355</v>
      </c>
      <c r="G2415" s="55" t="s">
        <v>355</v>
      </c>
      <c r="H2415" s="108" t="s">
        <v>402</v>
      </c>
      <c r="I2415" s="111" t="s">
        <v>402</v>
      </c>
      <c r="J2415" s="111" t="s">
        <v>402</v>
      </c>
      <c r="K2415" s="106" t="s">
        <v>403</v>
      </c>
      <c r="L2415" s="55" t="s">
        <v>404</v>
      </c>
      <c r="M2415" s="55" t="s">
        <v>7634</v>
      </c>
    </row>
    <row r="2416" spans="1:13">
      <c r="A2416" s="408" t="s">
        <v>6104</v>
      </c>
      <c r="B2416" s="106" t="s">
        <v>327</v>
      </c>
      <c r="C2416" s="106" t="s">
        <v>473</v>
      </c>
      <c r="D2416" s="107" t="s">
        <v>6105</v>
      </c>
      <c r="E2416" s="109" t="s">
        <v>355</v>
      </c>
      <c r="F2416" s="109" t="s">
        <v>355</v>
      </c>
      <c r="G2416" s="55" t="s">
        <v>355</v>
      </c>
      <c r="H2416" s="108" t="s">
        <v>402</v>
      </c>
      <c r="I2416" s="111" t="s">
        <v>402</v>
      </c>
      <c r="J2416" s="111" t="s">
        <v>402</v>
      </c>
      <c r="K2416" s="106" t="s">
        <v>403</v>
      </c>
      <c r="L2416" s="55" t="s">
        <v>404</v>
      </c>
      <c r="M2416" s="55" t="s">
        <v>7634</v>
      </c>
    </row>
    <row r="2417" spans="1:13">
      <c r="A2417" s="408" t="s">
        <v>6106</v>
      </c>
      <c r="B2417" s="106" t="s">
        <v>327</v>
      </c>
      <c r="C2417" s="106" t="s">
        <v>473</v>
      </c>
      <c r="D2417" s="107" t="s">
        <v>6107</v>
      </c>
      <c r="E2417" s="109" t="s">
        <v>355</v>
      </c>
      <c r="F2417" s="109" t="s">
        <v>355</v>
      </c>
      <c r="G2417" s="55" t="s">
        <v>355</v>
      </c>
      <c r="H2417" s="108" t="s">
        <v>402</v>
      </c>
      <c r="I2417" s="111" t="s">
        <v>402</v>
      </c>
      <c r="J2417" s="111" t="s">
        <v>402</v>
      </c>
      <c r="K2417" s="106" t="s">
        <v>403</v>
      </c>
      <c r="L2417" s="55" t="s">
        <v>404</v>
      </c>
      <c r="M2417" s="55" t="s">
        <v>7634</v>
      </c>
    </row>
    <row r="2418" spans="1:13">
      <c r="A2418" s="408" t="s">
        <v>6108</v>
      </c>
      <c r="B2418" s="106" t="s">
        <v>327</v>
      </c>
      <c r="C2418" s="106" t="s">
        <v>473</v>
      </c>
      <c r="D2418" s="107" t="s">
        <v>6109</v>
      </c>
      <c r="E2418" s="109" t="s">
        <v>355</v>
      </c>
      <c r="F2418" s="109" t="s">
        <v>355</v>
      </c>
      <c r="G2418" s="55" t="s">
        <v>355</v>
      </c>
      <c r="H2418" s="108" t="s">
        <v>402</v>
      </c>
      <c r="I2418" s="111" t="s">
        <v>402</v>
      </c>
      <c r="J2418" s="111" t="s">
        <v>402</v>
      </c>
      <c r="K2418" s="106" t="s">
        <v>403</v>
      </c>
      <c r="L2418" s="55" t="s">
        <v>404</v>
      </c>
      <c r="M2418" s="55" t="s">
        <v>7634</v>
      </c>
    </row>
    <row r="2419" spans="1:13">
      <c r="A2419" s="408" t="s">
        <v>6110</v>
      </c>
      <c r="B2419" s="106" t="s">
        <v>327</v>
      </c>
      <c r="C2419" s="106" t="s">
        <v>473</v>
      </c>
      <c r="D2419" s="107" t="s">
        <v>6111</v>
      </c>
      <c r="E2419" s="109" t="s">
        <v>355</v>
      </c>
      <c r="F2419" s="109" t="s">
        <v>355</v>
      </c>
      <c r="G2419" s="55" t="s">
        <v>355</v>
      </c>
      <c r="H2419" s="108" t="s">
        <v>402</v>
      </c>
      <c r="I2419" s="111" t="s">
        <v>402</v>
      </c>
      <c r="J2419" s="111" t="s">
        <v>402</v>
      </c>
      <c r="K2419" s="106" t="s">
        <v>403</v>
      </c>
      <c r="L2419" s="55" t="s">
        <v>404</v>
      </c>
      <c r="M2419" s="55" t="s">
        <v>7634</v>
      </c>
    </row>
    <row r="2420" spans="1:13">
      <c r="A2420" s="408" t="s">
        <v>6112</v>
      </c>
      <c r="B2420" s="106" t="s">
        <v>327</v>
      </c>
      <c r="C2420" s="106" t="s">
        <v>473</v>
      </c>
      <c r="D2420" s="107" t="s">
        <v>6111</v>
      </c>
      <c r="E2420" s="109" t="s">
        <v>355</v>
      </c>
      <c r="F2420" s="109" t="s">
        <v>355</v>
      </c>
      <c r="G2420" s="55" t="s">
        <v>355</v>
      </c>
      <c r="H2420" s="108" t="s">
        <v>402</v>
      </c>
      <c r="I2420" s="111" t="s">
        <v>402</v>
      </c>
      <c r="J2420" s="111" t="s">
        <v>402</v>
      </c>
      <c r="K2420" s="106" t="s">
        <v>403</v>
      </c>
      <c r="L2420" s="55" t="s">
        <v>404</v>
      </c>
      <c r="M2420" s="55" t="s">
        <v>7634</v>
      </c>
    </row>
    <row r="2421" spans="1:13">
      <c r="A2421" s="408" t="s">
        <v>6113</v>
      </c>
      <c r="B2421" s="106" t="s">
        <v>327</v>
      </c>
      <c r="C2421" s="106" t="s">
        <v>473</v>
      </c>
      <c r="D2421" s="107" t="s">
        <v>6114</v>
      </c>
      <c r="E2421" s="109" t="s">
        <v>355</v>
      </c>
      <c r="F2421" s="109" t="s">
        <v>355</v>
      </c>
      <c r="G2421" s="55" t="s">
        <v>355</v>
      </c>
      <c r="H2421" s="108" t="s">
        <v>402</v>
      </c>
      <c r="I2421" s="111" t="s">
        <v>402</v>
      </c>
      <c r="J2421" s="111" t="s">
        <v>402</v>
      </c>
      <c r="K2421" s="106" t="s">
        <v>403</v>
      </c>
      <c r="L2421" s="55" t="s">
        <v>404</v>
      </c>
      <c r="M2421" s="55" t="s">
        <v>7634</v>
      </c>
    </row>
    <row r="2422" spans="1:13">
      <c r="A2422" s="408" t="s">
        <v>6115</v>
      </c>
      <c r="B2422" s="106" t="s">
        <v>327</v>
      </c>
      <c r="C2422" s="106" t="s">
        <v>473</v>
      </c>
      <c r="D2422" s="107" t="s">
        <v>6116</v>
      </c>
      <c r="E2422" s="109" t="s">
        <v>355</v>
      </c>
      <c r="F2422" s="109" t="s">
        <v>355</v>
      </c>
      <c r="G2422" s="55" t="s">
        <v>355</v>
      </c>
      <c r="H2422" s="108" t="s">
        <v>402</v>
      </c>
      <c r="I2422" s="111" t="s">
        <v>402</v>
      </c>
      <c r="J2422" s="111" t="s">
        <v>402</v>
      </c>
      <c r="K2422" s="106" t="s">
        <v>403</v>
      </c>
      <c r="L2422" s="55" t="s">
        <v>404</v>
      </c>
      <c r="M2422" s="55" t="s">
        <v>7634</v>
      </c>
    </row>
    <row r="2423" spans="1:13">
      <c r="A2423" s="408" t="s">
        <v>6117</v>
      </c>
      <c r="B2423" s="106" t="s">
        <v>327</v>
      </c>
      <c r="C2423" s="106" t="s">
        <v>473</v>
      </c>
      <c r="D2423" s="107" t="s">
        <v>6118</v>
      </c>
      <c r="E2423" s="109" t="s">
        <v>355</v>
      </c>
      <c r="F2423" s="109" t="s">
        <v>355</v>
      </c>
      <c r="G2423" s="55" t="s">
        <v>355</v>
      </c>
      <c r="H2423" s="108" t="s">
        <v>402</v>
      </c>
      <c r="I2423" s="111" t="s">
        <v>402</v>
      </c>
      <c r="J2423" s="111" t="s">
        <v>402</v>
      </c>
      <c r="K2423" s="106" t="s">
        <v>403</v>
      </c>
      <c r="L2423" s="55" t="s">
        <v>404</v>
      </c>
      <c r="M2423" s="55" t="s">
        <v>7634</v>
      </c>
    </row>
    <row r="2424" spans="1:13">
      <c r="A2424" s="408" t="s">
        <v>6119</v>
      </c>
      <c r="B2424" s="106" t="s">
        <v>327</v>
      </c>
      <c r="C2424" s="106" t="s">
        <v>473</v>
      </c>
      <c r="D2424" s="107" t="s">
        <v>6120</v>
      </c>
      <c r="E2424" s="109" t="s">
        <v>355</v>
      </c>
      <c r="F2424" s="109" t="s">
        <v>355</v>
      </c>
      <c r="G2424" s="55" t="s">
        <v>355</v>
      </c>
      <c r="H2424" s="108" t="s">
        <v>402</v>
      </c>
      <c r="I2424" s="111" t="s">
        <v>402</v>
      </c>
      <c r="J2424" s="111" t="s">
        <v>402</v>
      </c>
      <c r="K2424" s="106" t="s">
        <v>403</v>
      </c>
      <c r="L2424" s="55" t="s">
        <v>404</v>
      </c>
      <c r="M2424" s="55" t="s">
        <v>7634</v>
      </c>
    </row>
    <row r="2425" spans="1:13">
      <c r="A2425" s="408" t="s">
        <v>6121</v>
      </c>
      <c r="B2425" s="106" t="s">
        <v>327</v>
      </c>
      <c r="C2425" s="106" t="s">
        <v>473</v>
      </c>
      <c r="D2425" s="107" t="s">
        <v>6122</v>
      </c>
      <c r="E2425" s="109" t="s">
        <v>355</v>
      </c>
      <c r="F2425" s="109" t="s">
        <v>355</v>
      </c>
      <c r="G2425" s="55" t="s">
        <v>355</v>
      </c>
      <c r="H2425" s="108" t="s">
        <v>402</v>
      </c>
      <c r="I2425" s="111" t="s">
        <v>402</v>
      </c>
      <c r="J2425" s="111" t="s">
        <v>402</v>
      </c>
      <c r="K2425" s="106" t="s">
        <v>403</v>
      </c>
      <c r="L2425" s="55" t="s">
        <v>404</v>
      </c>
      <c r="M2425" s="55" t="s">
        <v>7634</v>
      </c>
    </row>
    <row r="2426" spans="1:13">
      <c r="A2426" s="408" t="s">
        <v>6123</v>
      </c>
      <c r="B2426" s="106" t="s">
        <v>327</v>
      </c>
      <c r="C2426" s="106" t="s">
        <v>473</v>
      </c>
      <c r="D2426" s="107" t="s">
        <v>6124</v>
      </c>
      <c r="E2426" s="109" t="s">
        <v>355</v>
      </c>
      <c r="F2426" s="109" t="s">
        <v>355</v>
      </c>
      <c r="G2426" s="55" t="s">
        <v>355</v>
      </c>
      <c r="H2426" s="108" t="s">
        <v>402</v>
      </c>
      <c r="I2426" s="111" t="s">
        <v>402</v>
      </c>
      <c r="J2426" s="111" t="s">
        <v>402</v>
      </c>
      <c r="K2426" s="106" t="s">
        <v>403</v>
      </c>
      <c r="L2426" s="55" t="s">
        <v>404</v>
      </c>
      <c r="M2426" s="55" t="s">
        <v>7634</v>
      </c>
    </row>
    <row r="2427" spans="1:13">
      <c r="A2427" s="408" t="s">
        <v>6125</v>
      </c>
      <c r="B2427" s="106" t="s">
        <v>327</v>
      </c>
      <c r="C2427" s="106" t="s">
        <v>473</v>
      </c>
      <c r="D2427" s="107" t="s">
        <v>6126</v>
      </c>
      <c r="E2427" s="109" t="s">
        <v>355</v>
      </c>
      <c r="F2427" s="109" t="s">
        <v>355</v>
      </c>
      <c r="G2427" s="55" t="s">
        <v>355</v>
      </c>
      <c r="H2427" s="108" t="s">
        <v>402</v>
      </c>
      <c r="I2427" s="111" t="s">
        <v>402</v>
      </c>
      <c r="J2427" s="111" t="s">
        <v>402</v>
      </c>
      <c r="K2427" s="106" t="s">
        <v>403</v>
      </c>
      <c r="L2427" s="55" t="s">
        <v>404</v>
      </c>
      <c r="M2427" s="55" t="s">
        <v>7634</v>
      </c>
    </row>
    <row r="2428" spans="1:13">
      <c r="A2428" s="408" t="s">
        <v>6127</v>
      </c>
      <c r="B2428" s="106" t="s">
        <v>327</v>
      </c>
      <c r="C2428" s="106" t="s">
        <v>473</v>
      </c>
      <c r="D2428" s="107" t="s">
        <v>6128</v>
      </c>
      <c r="E2428" s="109" t="s">
        <v>355</v>
      </c>
      <c r="F2428" s="109" t="s">
        <v>355</v>
      </c>
      <c r="G2428" s="55" t="s">
        <v>355</v>
      </c>
      <c r="H2428" s="108" t="s">
        <v>402</v>
      </c>
      <c r="I2428" s="111" t="s">
        <v>402</v>
      </c>
      <c r="J2428" s="111" t="s">
        <v>402</v>
      </c>
      <c r="K2428" s="106" t="s">
        <v>403</v>
      </c>
      <c r="L2428" s="55" t="s">
        <v>404</v>
      </c>
      <c r="M2428" s="55" t="s">
        <v>7634</v>
      </c>
    </row>
    <row r="2429" spans="1:13">
      <c r="A2429" s="408" t="s">
        <v>6129</v>
      </c>
      <c r="B2429" s="106" t="s">
        <v>327</v>
      </c>
      <c r="C2429" s="106" t="s">
        <v>473</v>
      </c>
      <c r="D2429" s="107" t="s">
        <v>6130</v>
      </c>
      <c r="E2429" s="109" t="s">
        <v>355</v>
      </c>
      <c r="F2429" s="109" t="s">
        <v>355</v>
      </c>
      <c r="G2429" s="55" t="s">
        <v>355</v>
      </c>
      <c r="H2429" s="108" t="s">
        <v>402</v>
      </c>
      <c r="I2429" s="111" t="s">
        <v>402</v>
      </c>
      <c r="J2429" s="111" t="s">
        <v>402</v>
      </c>
      <c r="K2429" s="106" t="s">
        <v>403</v>
      </c>
      <c r="L2429" s="55" t="s">
        <v>404</v>
      </c>
      <c r="M2429" s="55" t="s">
        <v>7634</v>
      </c>
    </row>
    <row r="2430" spans="1:13">
      <c r="A2430" s="408" t="s">
        <v>6131</v>
      </c>
      <c r="B2430" s="106" t="s">
        <v>327</v>
      </c>
      <c r="C2430" s="106" t="s">
        <v>473</v>
      </c>
      <c r="D2430" s="107" t="s">
        <v>6132</v>
      </c>
      <c r="E2430" s="109" t="s">
        <v>355</v>
      </c>
      <c r="F2430" s="109" t="s">
        <v>355</v>
      </c>
      <c r="G2430" s="55" t="s">
        <v>355</v>
      </c>
      <c r="H2430" s="108" t="s">
        <v>402</v>
      </c>
      <c r="I2430" s="111" t="s">
        <v>402</v>
      </c>
      <c r="J2430" s="111" t="s">
        <v>402</v>
      </c>
      <c r="K2430" s="106" t="s">
        <v>403</v>
      </c>
      <c r="L2430" s="55" t="s">
        <v>404</v>
      </c>
      <c r="M2430" s="55" t="s">
        <v>7634</v>
      </c>
    </row>
    <row r="2431" spans="1:13">
      <c r="A2431" s="408" t="s">
        <v>6133</v>
      </c>
      <c r="B2431" s="106" t="s">
        <v>327</v>
      </c>
      <c r="C2431" s="106" t="s">
        <v>473</v>
      </c>
      <c r="D2431" s="107" t="s">
        <v>6132</v>
      </c>
      <c r="E2431" s="109" t="s">
        <v>355</v>
      </c>
      <c r="F2431" s="109" t="s">
        <v>355</v>
      </c>
      <c r="G2431" s="55" t="s">
        <v>355</v>
      </c>
      <c r="H2431" s="108" t="s">
        <v>402</v>
      </c>
      <c r="I2431" s="111" t="s">
        <v>402</v>
      </c>
      <c r="J2431" s="111" t="s">
        <v>402</v>
      </c>
      <c r="K2431" s="106" t="s">
        <v>403</v>
      </c>
      <c r="L2431" s="55" t="s">
        <v>404</v>
      </c>
      <c r="M2431" s="55" t="s">
        <v>7634</v>
      </c>
    </row>
    <row r="2432" spans="1:13">
      <c r="A2432" s="408" t="s">
        <v>6134</v>
      </c>
      <c r="B2432" s="106" t="s">
        <v>327</v>
      </c>
      <c r="C2432" s="106" t="s">
        <v>473</v>
      </c>
      <c r="D2432" s="107" t="s">
        <v>6135</v>
      </c>
      <c r="E2432" s="109" t="s">
        <v>355</v>
      </c>
      <c r="F2432" s="109" t="s">
        <v>355</v>
      </c>
      <c r="G2432" s="55" t="s">
        <v>355</v>
      </c>
      <c r="H2432" s="108" t="s">
        <v>402</v>
      </c>
      <c r="I2432" s="111" t="s">
        <v>402</v>
      </c>
      <c r="J2432" s="111" t="s">
        <v>402</v>
      </c>
      <c r="K2432" s="106" t="s">
        <v>403</v>
      </c>
      <c r="L2432" s="55" t="s">
        <v>404</v>
      </c>
      <c r="M2432" s="55" t="s">
        <v>7634</v>
      </c>
    </row>
    <row r="2433" spans="1:13">
      <c r="A2433" s="401" t="s">
        <v>6136</v>
      </c>
      <c r="B2433" s="106" t="s">
        <v>327</v>
      </c>
      <c r="C2433" s="106" t="s">
        <v>473</v>
      </c>
      <c r="D2433" s="109" t="s">
        <v>6137</v>
      </c>
      <c r="E2433" s="109" t="s">
        <v>1886</v>
      </c>
      <c r="F2433" s="109" t="s">
        <v>6138</v>
      </c>
      <c r="G2433" s="114"/>
      <c r="H2433" s="115" t="s">
        <v>402</v>
      </c>
      <c r="I2433" s="111" t="s">
        <v>402</v>
      </c>
      <c r="J2433" s="111" t="s">
        <v>402</v>
      </c>
      <c r="K2433" s="115" t="s">
        <v>403</v>
      </c>
      <c r="L2433" s="55" t="s">
        <v>404</v>
      </c>
      <c r="M2433" s="113" t="s">
        <v>1173</v>
      </c>
    </row>
    <row r="2434" spans="1:13">
      <c r="A2434" s="408" t="s">
        <v>6139</v>
      </c>
      <c r="B2434" s="106" t="s">
        <v>327</v>
      </c>
      <c r="C2434" s="106" t="s">
        <v>473</v>
      </c>
      <c r="D2434" s="107" t="s">
        <v>6140</v>
      </c>
      <c r="E2434" s="109" t="s">
        <v>355</v>
      </c>
      <c r="F2434" s="109" t="s">
        <v>355</v>
      </c>
      <c r="G2434" s="55" t="s">
        <v>355</v>
      </c>
      <c r="H2434" s="108" t="s">
        <v>402</v>
      </c>
      <c r="I2434" s="111" t="s">
        <v>402</v>
      </c>
      <c r="J2434" s="111" t="s">
        <v>402</v>
      </c>
      <c r="K2434" s="106" t="s">
        <v>403</v>
      </c>
      <c r="L2434" s="55" t="s">
        <v>404</v>
      </c>
      <c r="M2434" s="55" t="s">
        <v>7634</v>
      </c>
    </row>
    <row r="2435" spans="1:13">
      <c r="A2435" s="408" t="s">
        <v>6141</v>
      </c>
      <c r="B2435" s="106" t="s">
        <v>327</v>
      </c>
      <c r="C2435" s="106" t="s">
        <v>473</v>
      </c>
      <c r="D2435" s="107" t="s">
        <v>6142</v>
      </c>
      <c r="E2435" s="109" t="s">
        <v>355</v>
      </c>
      <c r="F2435" s="109" t="s">
        <v>355</v>
      </c>
      <c r="G2435" s="55" t="s">
        <v>355</v>
      </c>
      <c r="H2435" s="108" t="s">
        <v>402</v>
      </c>
      <c r="I2435" s="111" t="s">
        <v>402</v>
      </c>
      <c r="J2435" s="111" t="s">
        <v>402</v>
      </c>
      <c r="K2435" s="106" t="s">
        <v>403</v>
      </c>
      <c r="L2435" s="55" t="s">
        <v>404</v>
      </c>
      <c r="M2435" s="55" t="s">
        <v>7634</v>
      </c>
    </row>
    <row r="2436" spans="1:13">
      <c r="A2436" s="408" t="s">
        <v>6143</v>
      </c>
      <c r="B2436" s="106" t="s">
        <v>327</v>
      </c>
      <c r="C2436" s="106" t="s">
        <v>473</v>
      </c>
      <c r="D2436" s="107" t="s">
        <v>6144</v>
      </c>
      <c r="E2436" s="109" t="s">
        <v>355</v>
      </c>
      <c r="F2436" s="109" t="s">
        <v>355</v>
      </c>
      <c r="G2436" s="55" t="s">
        <v>355</v>
      </c>
      <c r="H2436" s="108" t="s">
        <v>402</v>
      </c>
      <c r="I2436" s="111" t="s">
        <v>402</v>
      </c>
      <c r="J2436" s="111" t="s">
        <v>402</v>
      </c>
      <c r="K2436" s="106" t="s">
        <v>403</v>
      </c>
      <c r="L2436" s="55" t="s">
        <v>404</v>
      </c>
      <c r="M2436" s="55" t="s">
        <v>7634</v>
      </c>
    </row>
    <row r="2437" spans="1:13">
      <c r="A2437" s="408" t="s">
        <v>6145</v>
      </c>
      <c r="B2437" s="106" t="s">
        <v>327</v>
      </c>
      <c r="C2437" s="106" t="s">
        <v>473</v>
      </c>
      <c r="D2437" s="107" t="s">
        <v>6146</v>
      </c>
      <c r="E2437" s="109" t="s">
        <v>355</v>
      </c>
      <c r="F2437" s="109" t="s">
        <v>355</v>
      </c>
      <c r="G2437" s="55" t="s">
        <v>355</v>
      </c>
      <c r="H2437" s="108" t="s">
        <v>402</v>
      </c>
      <c r="I2437" s="111" t="s">
        <v>402</v>
      </c>
      <c r="J2437" s="111" t="s">
        <v>402</v>
      </c>
      <c r="K2437" s="106" t="s">
        <v>403</v>
      </c>
      <c r="L2437" s="55" t="s">
        <v>404</v>
      </c>
      <c r="M2437" s="55" t="s">
        <v>7634</v>
      </c>
    </row>
    <row r="2438" spans="1:13">
      <c r="A2438" s="408" t="s">
        <v>6147</v>
      </c>
      <c r="B2438" s="106" t="s">
        <v>327</v>
      </c>
      <c r="C2438" s="106" t="s">
        <v>473</v>
      </c>
      <c r="D2438" s="107" t="s">
        <v>5995</v>
      </c>
      <c r="E2438" s="109" t="s">
        <v>355</v>
      </c>
      <c r="F2438" s="109" t="s">
        <v>355</v>
      </c>
      <c r="G2438" s="55" t="s">
        <v>355</v>
      </c>
      <c r="H2438" s="108" t="s">
        <v>402</v>
      </c>
      <c r="I2438" s="111" t="s">
        <v>402</v>
      </c>
      <c r="J2438" s="111" t="s">
        <v>402</v>
      </c>
      <c r="K2438" s="106" t="s">
        <v>403</v>
      </c>
      <c r="L2438" s="55" t="s">
        <v>404</v>
      </c>
      <c r="M2438" s="55" t="s">
        <v>7634</v>
      </c>
    </row>
    <row r="2439" spans="1:13">
      <c r="A2439" s="408" t="s">
        <v>6148</v>
      </c>
      <c r="B2439" s="106" t="s">
        <v>327</v>
      </c>
      <c r="C2439" s="106" t="s">
        <v>473</v>
      </c>
      <c r="D2439" s="107" t="s">
        <v>6149</v>
      </c>
      <c r="E2439" s="109" t="s">
        <v>355</v>
      </c>
      <c r="F2439" s="109" t="s">
        <v>355</v>
      </c>
      <c r="G2439" s="55" t="s">
        <v>355</v>
      </c>
      <c r="H2439" s="108" t="s">
        <v>402</v>
      </c>
      <c r="I2439" s="111" t="s">
        <v>402</v>
      </c>
      <c r="J2439" s="111" t="s">
        <v>402</v>
      </c>
      <c r="K2439" s="106" t="s">
        <v>403</v>
      </c>
      <c r="L2439" s="55" t="s">
        <v>404</v>
      </c>
      <c r="M2439" s="55" t="s">
        <v>7634</v>
      </c>
    </row>
    <row r="2440" spans="1:13">
      <c r="A2440" s="408" t="s">
        <v>6150</v>
      </c>
      <c r="B2440" s="106" t="s">
        <v>327</v>
      </c>
      <c r="C2440" s="106" t="s">
        <v>473</v>
      </c>
      <c r="D2440" s="107" t="s">
        <v>6151</v>
      </c>
      <c r="E2440" s="109" t="s">
        <v>355</v>
      </c>
      <c r="F2440" s="109" t="s">
        <v>355</v>
      </c>
      <c r="G2440" s="55" t="s">
        <v>355</v>
      </c>
      <c r="H2440" s="108" t="s">
        <v>402</v>
      </c>
      <c r="I2440" s="111" t="s">
        <v>402</v>
      </c>
      <c r="J2440" s="111" t="s">
        <v>402</v>
      </c>
      <c r="K2440" s="106" t="s">
        <v>403</v>
      </c>
      <c r="L2440" s="55" t="s">
        <v>404</v>
      </c>
      <c r="M2440" s="55" t="s">
        <v>7634</v>
      </c>
    </row>
    <row r="2441" spans="1:13">
      <c r="A2441" s="408" t="s">
        <v>6152</v>
      </c>
      <c r="B2441" s="106" t="s">
        <v>327</v>
      </c>
      <c r="C2441" s="106" t="s">
        <v>473</v>
      </c>
      <c r="D2441" s="107" t="s">
        <v>6153</v>
      </c>
      <c r="E2441" s="109" t="s">
        <v>355</v>
      </c>
      <c r="F2441" s="109" t="s">
        <v>355</v>
      </c>
      <c r="G2441" s="55" t="s">
        <v>355</v>
      </c>
      <c r="H2441" s="108" t="s">
        <v>402</v>
      </c>
      <c r="I2441" s="111" t="s">
        <v>402</v>
      </c>
      <c r="J2441" s="111" t="s">
        <v>402</v>
      </c>
      <c r="K2441" s="106" t="s">
        <v>403</v>
      </c>
      <c r="L2441" s="55" t="s">
        <v>404</v>
      </c>
      <c r="M2441" s="55" t="s">
        <v>7634</v>
      </c>
    </row>
    <row r="2442" spans="1:13">
      <c r="A2442" s="408" t="s">
        <v>6154</v>
      </c>
      <c r="B2442" s="106" t="s">
        <v>327</v>
      </c>
      <c r="C2442" s="106" t="s">
        <v>473</v>
      </c>
      <c r="D2442" s="107" t="s">
        <v>6155</v>
      </c>
      <c r="E2442" s="109" t="s">
        <v>355</v>
      </c>
      <c r="F2442" s="109" t="s">
        <v>355</v>
      </c>
      <c r="G2442" s="55" t="s">
        <v>355</v>
      </c>
      <c r="H2442" s="108" t="s">
        <v>402</v>
      </c>
      <c r="I2442" s="111" t="s">
        <v>402</v>
      </c>
      <c r="J2442" s="111" t="s">
        <v>402</v>
      </c>
      <c r="K2442" s="106" t="s">
        <v>403</v>
      </c>
      <c r="L2442" s="55" t="s">
        <v>404</v>
      </c>
      <c r="M2442" s="55" t="s">
        <v>7634</v>
      </c>
    </row>
    <row r="2443" spans="1:13">
      <c r="A2443" s="408" t="s">
        <v>6156</v>
      </c>
      <c r="B2443" s="106" t="s">
        <v>327</v>
      </c>
      <c r="C2443" s="106" t="s">
        <v>473</v>
      </c>
      <c r="D2443" s="107" t="s">
        <v>6157</v>
      </c>
      <c r="E2443" s="109" t="s">
        <v>355</v>
      </c>
      <c r="F2443" s="109" t="s">
        <v>355</v>
      </c>
      <c r="G2443" s="55" t="s">
        <v>355</v>
      </c>
      <c r="H2443" s="108" t="s">
        <v>402</v>
      </c>
      <c r="I2443" s="111" t="s">
        <v>402</v>
      </c>
      <c r="J2443" s="111" t="s">
        <v>402</v>
      </c>
      <c r="K2443" s="106" t="s">
        <v>403</v>
      </c>
      <c r="L2443" s="55" t="s">
        <v>404</v>
      </c>
      <c r="M2443" s="55" t="s">
        <v>7634</v>
      </c>
    </row>
    <row r="2444" spans="1:13">
      <c r="A2444" s="408" t="s">
        <v>6158</v>
      </c>
      <c r="B2444" s="106" t="s">
        <v>327</v>
      </c>
      <c r="C2444" s="106" t="s">
        <v>473</v>
      </c>
      <c r="D2444" s="107" t="s">
        <v>6159</v>
      </c>
      <c r="E2444" s="109" t="s">
        <v>355</v>
      </c>
      <c r="F2444" s="109" t="s">
        <v>355</v>
      </c>
      <c r="G2444" s="55" t="s">
        <v>355</v>
      </c>
      <c r="H2444" s="108" t="s">
        <v>402</v>
      </c>
      <c r="I2444" s="111" t="s">
        <v>402</v>
      </c>
      <c r="J2444" s="111" t="s">
        <v>402</v>
      </c>
      <c r="K2444" s="106" t="s">
        <v>403</v>
      </c>
      <c r="L2444" s="55" t="s">
        <v>404</v>
      </c>
      <c r="M2444" s="55" t="s">
        <v>7634</v>
      </c>
    </row>
    <row r="2445" spans="1:13">
      <c r="A2445" s="408" t="s">
        <v>6160</v>
      </c>
      <c r="B2445" s="106" t="s">
        <v>327</v>
      </c>
      <c r="C2445" s="106" t="s">
        <v>473</v>
      </c>
      <c r="D2445" s="107" t="s">
        <v>6161</v>
      </c>
      <c r="E2445" s="109" t="s">
        <v>355</v>
      </c>
      <c r="F2445" s="109" t="s">
        <v>355</v>
      </c>
      <c r="G2445" s="55" t="s">
        <v>355</v>
      </c>
      <c r="H2445" s="108" t="s">
        <v>402</v>
      </c>
      <c r="I2445" s="111" t="s">
        <v>402</v>
      </c>
      <c r="J2445" s="111" t="s">
        <v>402</v>
      </c>
      <c r="K2445" s="106" t="s">
        <v>403</v>
      </c>
      <c r="L2445" s="55" t="s">
        <v>404</v>
      </c>
      <c r="M2445" s="55" t="s">
        <v>7634</v>
      </c>
    </row>
    <row r="2446" spans="1:13">
      <c r="A2446" s="408" t="s">
        <v>6162</v>
      </c>
      <c r="B2446" s="106" t="s">
        <v>327</v>
      </c>
      <c r="C2446" s="106" t="s">
        <v>473</v>
      </c>
      <c r="D2446" s="107" t="s">
        <v>6163</v>
      </c>
      <c r="E2446" s="109" t="s">
        <v>355</v>
      </c>
      <c r="F2446" s="109" t="s">
        <v>355</v>
      </c>
      <c r="G2446" s="55" t="s">
        <v>355</v>
      </c>
      <c r="H2446" s="108" t="s">
        <v>402</v>
      </c>
      <c r="I2446" s="111" t="s">
        <v>402</v>
      </c>
      <c r="J2446" s="111" t="s">
        <v>402</v>
      </c>
      <c r="K2446" s="106" t="s">
        <v>403</v>
      </c>
      <c r="L2446" s="55" t="s">
        <v>404</v>
      </c>
      <c r="M2446" s="55" t="s">
        <v>7634</v>
      </c>
    </row>
    <row r="2447" spans="1:13">
      <c r="A2447" s="408" t="s">
        <v>6164</v>
      </c>
      <c r="B2447" s="106" t="s">
        <v>327</v>
      </c>
      <c r="C2447" s="106" t="s">
        <v>473</v>
      </c>
      <c r="D2447" s="107" t="s">
        <v>6165</v>
      </c>
      <c r="E2447" s="109" t="s">
        <v>355</v>
      </c>
      <c r="F2447" s="109" t="s">
        <v>355</v>
      </c>
      <c r="G2447" s="55" t="s">
        <v>355</v>
      </c>
      <c r="H2447" s="108" t="s">
        <v>402</v>
      </c>
      <c r="I2447" s="111" t="s">
        <v>402</v>
      </c>
      <c r="J2447" s="111" t="s">
        <v>402</v>
      </c>
      <c r="K2447" s="106" t="s">
        <v>403</v>
      </c>
      <c r="L2447" s="55" t="s">
        <v>404</v>
      </c>
      <c r="M2447" s="55" t="s">
        <v>7634</v>
      </c>
    </row>
    <row r="2448" spans="1:13">
      <c r="A2448" s="408" t="s">
        <v>6166</v>
      </c>
      <c r="B2448" s="106" t="s">
        <v>327</v>
      </c>
      <c r="C2448" s="106" t="s">
        <v>473</v>
      </c>
      <c r="D2448" s="107" t="s">
        <v>6167</v>
      </c>
      <c r="E2448" s="109" t="s">
        <v>355</v>
      </c>
      <c r="F2448" s="109" t="s">
        <v>355</v>
      </c>
      <c r="G2448" s="55" t="s">
        <v>355</v>
      </c>
      <c r="H2448" s="108" t="s">
        <v>402</v>
      </c>
      <c r="I2448" s="111" t="s">
        <v>402</v>
      </c>
      <c r="J2448" s="111" t="s">
        <v>402</v>
      </c>
      <c r="K2448" s="106" t="s">
        <v>403</v>
      </c>
      <c r="L2448" s="55" t="s">
        <v>404</v>
      </c>
      <c r="M2448" s="55" t="s">
        <v>7634</v>
      </c>
    </row>
    <row r="2449" spans="1:13">
      <c r="A2449" s="408" t="s">
        <v>6168</v>
      </c>
      <c r="B2449" s="106" t="s">
        <v>327</v>
      </c>
      <c r="C2449" s="106" t="s">
        <v>473</v>
      </c>
      <c r="D2449" s="107" t="s">
        <v>6169</v>
      </c>
      <c r="E2449" s="109" t="s">
        <v>355</v>
      </c>
      <c r="F2449" s="109" t="s">
        <v>355</v>
      </c>
      <c r="G2449" s="55" t="s">
        <v>355</v>
      </c>
      <c r="H2449" s="108" t="s">
        <v>402</v>
      </c>
      <c r="I2449" s="111" t="s">
        <v>402</v>
      </c>
      <c r="J2449" s="111" t="s">
        <v>402</v>
      </c>
      <c r="K2449" s="106" t="s">
        <v>403</v>
      </c>
      <c r="L2449" s="55" t="s">
        <v>404</v>
      </c>
      <c r="M2449" s="55" t="s">
        <v>7634</v>
      </c>
    </row>
    <row r="2450" spans="1:13">
      <c r="A2450" s="408" t="s">
        <v>6170</v>
      </c>
      <c r="B2450" s="106" t="s">
        <v>327</v>
      </c>
      <c r="C2450" s="106" t="s">
        <v>473</v>
      </c>
      <c r="D2450" s="107" t="s">
        <v>6171</v>
      </c>
      <c r="E2450" s="109" t="s">
        <v>355</v>
      </c>
      <c r="F2450" s="109" t="s">
        <v>355</v>
      </c>
      <c r="G2450" s="55" t="s">
        <v>355</v>
      </c>
      <c r="H2450" s="108" t="s">
        <v>402</v>
      </c>
      <c r="I2450" s="111" t="s">
        <v>402</v>
      </c>
      <c r="J2450" s="111" t="s">
        <v>402</v>
      </c>
      <c r="K2450" s="106" t="s">
        <v>403</v>
      </c>
      <c r="L2450" s="55" t="s">
        <v>404</v>
      </c>
      <c r="M2450" s="55" t="s">
        <v>7634</v>
      </c>
    </row>
    <row r="2451" spans="1:13">
      <c r="A2451" s="408" t="s">
        <v>6172</v>
      </c>
      <c r="B2451" s="106" t="s">
        <v>327</v>
      </c>
      <c r="C2451" s="106" t="s">
        <v>473</v>
      </c>
      <c r="D2451" s="107" t="s">
        <v>6173</v>
      </c>
      <c r="E2451" s="109" t="s">
        <v>355</v>
      </c>
      <c r="F2451" s="109" t="s">
        <v>355</v>
      </c>
      <c r="G2451" s="55" t="s">
        <v>355</v>
      </c>
      <c r="H2451" s="108" t="s">
        <v>402</v>
      </c>
      <c r="I2451" s="111" t="s">
        <v>402</v>
      </c>
      <c r="J2451" s="111" t="s">
        <v>402</v>
      </c>
      <c r="K2451" s="106" t="s">
        <v>403</v>
      </c>
      <c r="L2451" s="55" t="s">
        <v>404</v>
      </c>
      <c r="M2451" s="55" t="s">
        <v>7634</v>
      </c>
    </row>
    <row r="2452" spans="1:13">
      <c r="A2452" s="408" t="s">
        <v>6174</v>
      </c>
      <c r="B2452" s="106" t="s">
        <v>327</v>
      </c>
      <c r="C2452" s="106" t="s">
        <v>473</v>
      </c>
      <c r="D2452" s="107" t="s">
        <v>6175</v>
      </c>
      <c r="E2452" s="109" t="s">
        <v>355</v>
      </c>
      <c r="F2452" s="109" t="s">
        <v>355</v>
      </c>
      <c r="G2452" s="55" t="s">
        <v>355</v>
      </c>
      <c r="H2452" s="108" t="s">
        <v>402</v>
      </c>
      <c r="I2452" s="111" t="s">
        <v>402</v>
      </c>
      <c r="J2452" s="111" t="s">
        <v>402</v>
      </c>
      <c r="K2452" s="106" t="s">
        <v>403</v>
      </c>
      <c r="L2452" s="55" t="s">
        <v>404</v>
      </c>
      <c r="M2452" s="55" t="s">
        <v>7634</v>
      </c>
    </row>
    <row r="2453" spans="1:13">
      <c r="A2453" s="408" t="s">
        <v>6176</v>
      </c>
      <c r="B2453" s="106" t="s">
        <v>327</v>
      </c>
      <c r="C2453" s="106" t="s">
        <v>473</v>
      </c>
      <c r="D2453" s="107" t="s">
        <v>6177</v>
      </c>
      <c r="E2453" s="109" t="s">
        <v>355</v>
      </c>
      <c r="F2453" s="109" t="s">
        <v>355</v>
      </c>
      <c r="G2453" s="55" t="s">
        <v>355</v>
      </c>
      <c r="H2453" s="108" t="s">
        <v>402</v>
      </c>
      <c r="I2453" s="111" t="s">
        <v>402</v>
      </c>
      <c r="J2453" s="111" t="s">
        <v>402</v>
      </c>
      <c r="K2453" s="106" t="s">
        <v>403</v>
      </c>
      <c r="L2453" s="55" t="s">
        <v>404</v>
      </c>
      <c r="M2453" s="55" t="s">
        <v>7634</v>
      </c>
    </row>
    <row r="2454" spans="1:13">
      <c r="A2454" s="408" t="s">
        <v>6178</v>
      </c>
      <c r="B2454" s="106" t="s">
        <v>327</v>
      </c>
      <c r="C2454" s="106" t="s">
        <v>473</v>
      </c>
      <c r="D2454" s="107" t="s">
        <v>6179</v>
      </c>
      <c r="E2454" s="109" t="s">
        <v>355</v>
      </c>
      <c r="F2454" s="109" t="s">
        <v>355</v>
      </c>
      <c r="G2454" s="55" t="s">
        <v>355</v>
      </c>
      <c r="H2454" s="108" t="s">
        <v>402</v>
      </c>
      <c r="I2454" s="111" t="s">
        <v>402</v>
      </c>
      <c r="J2454" s="111" t="s">
        <v>402</v>
      </c>
      <c r="K2454" s="106" t="s">
        <v>403</v>
      </c>
      <c r="L2454" s="55" t="s">
        <v>404</v>
      </c>
      <c r="M2454" s="55" t="s">
        <v>7634</v>
      </c>
    </row>
    <row r="2455" spans="1:13">
      <c r="A2455" s="408" t="s">
        <v>6180</v>
      </c>
      <c r="B2455" s="106" t="s">
        <v>327</v>
      </c>
      <c r="C2455" s="106" t="s">
        <v>473</v>
      </c>
      <c r="D2455" s="107" t="s">
        <v>6181</v>
      </c>
      <c r="E2455" s="109" t="s">
        <v>355</v>
      </c>
      <c r="F2455" s="109" t="s">
        <v>355</v>
      </c>
      <c r="G2455" s="55" t="s">
        <v>355</v>
      </c>
      <c r="H2455" s="108" t="s">
        <v>402</v>
      </c>
      <c r="I2455" s="111" t="s">
        <v>402</v>
      </c>
      <c r="J2455" s="111" t="s">
        <v>402</v>
      </c>
      <c r="K2455" s="106" t="s">
        <v>403</v>
      </c>
      <c r="L2455" s="55" t="s">
        <v>404</v>
      </c>
      <c r="M2455" s="55" t="s">
        <v>7634</v>
      </c>
    </row>
    <row r="2456" spans="1:13">
      <c r="A2456" s="408" t="s">
        <v>6182</v>
      </c>
      <c r="B2456" s="106" t="s">
        <v>327</v>
      </c>
      <c r="C2456" s="106" t="s">
        <v>473</v>
      </c>
      <c r="D2456" s="107" t="s">
        <v>6183</v>
      </c>
      <c r="E2456" s="109" t="s">
        <v>355</v>
      </c>
      <c r="F2456" s="109" t="s">
        <v>355</v>
      </c>
      <c r="G2456" s="55" t="s">
        <v>355</v>
      </c>
      <c r="H2456" s="108" t="s">
        <v>402</v>
      </c>
      <c r="I2456" s="111" t="s">
        <v>402</v>
      </c>
      <c r="J2456" s="111" t="s">
        <v>402</v>
      </c>
      <c r="K2456" s="106" t="s">
        <v>403</v>
      </c>
      <c r="L2456" s="55" t="s">
        <v>404</v>
      </c>
      <c r="M2456" s="55" t="s">
        <v>7634</v>
      </c>
    </row>
    <row r="2457" spans="1:13">
      <c r="A2457" s="408" t="s">
        <v>6184</v>
      </c>
      <c r="B2457" s="106" t="s">
        <v>327</v>
      </c>
      <c r="C2457" s="106" t="s">
        <v>473</v>
      </c>
      <c r="D2457" s="107" t="s">
        <v>6185</v>
      </c>
      <c r="E2457" s="109" t="s">
        <v>355</v>
      </c>
      <c r="F2457" s="109" t="s">
        <v>355</v>
      </c>
      <c r="G2457" s="55" t="s">
        <v>355</v>
      </c>
      <c r="H2457" s="108" t="s">
        <v>402</v>
      </c>
      <c r="I2457" s="111" t="s">
        <v>402</v>
      </c>
      <c r="J2457" s="111" t="s">
        <v>402</v>
      </c>
      <c r="K2457" s="106" t="s">
        <v>403</v>
      </c>
      <c r="L2457" s="55" t="s">
        <v>404</v>
      </c>
      <c r="M2457" s="55" t="s">
        <v>7634</v>
      </c>
    </row>
    <row r="2458" spans="1:13">
      <c r="A2458" s="408" t="s">
        <v>6186</v>
      </c>
      <c r="B2458" s="106" t="s">
        <v>327</v>
      </c>
      <c r="C2458" s="106" t="s">
        <v>473</v>
      </c>
      <c r="D2458" s="107" t="s">
        <v>6187</v>
      </c>
      <c r="E2458" s="109" t="s">
        <v>355</v>
      </c>
      <c r="F2458" s="109" t="s">
        <v>355</v>
      </c>
      <c r="G2458" s="55" t="s">
        <v>355</v>
      </c>
      <c r="H2458" s="108" t="s">
        <v>402</v>
      </c>
      <c r="I2458" s="111" t="s">
        <v>402</v>
      </c>
      <c r="J2458" s="111" t="s">
        <v>402</v>
      </c>
      <c r="K2458" s="106" t="s">
        <v>403</v>
      </c>
      <c r="L2458" s="55" t="s">
        <v>404</v>
      </c>
      <c r="M2458" s="55" t="s">
        <v>7634</v>
      </c>
    </row>
    <row r="2459" spans="1:13">
      <c r="A2459" s="408" t="s">
        <v>6188</v>
      </c>
      <c r="B2459" s="106" t="s">
        <v>327</v>
      </c>
      <c r="C2459" s="106" t="s">
        <v>473</v>
      </c>
      <c r="D2459" s="107" t="s">
        <v>6189</v>
      </c>
      <c r="E2459" s="109" t="s">
        <v>355</v>
      </c>
      <c r="F2459" s="109" t="s">
        <v>355</v>
      </c>
      <c r="G2459" s="55" t="s">
        <v>355</v>
      </c>
      <c r="H2459" s="108" t="s">
        <v>402</v>
      </c>
      <c r="I2459" s="111" t="s">
        <v>402</v>
      </c>
      <c r="J2459" s="111" t="s">
        <v>402</v>
      </c>
      <c r="K2459" s="106" t="s">
        <v>403</v>
      </c>
      <c r="L2459" s="55" t="s">
        <v>404</v>
      </c>
      <c r="M2459" s="55" t="s">
        <v>7634</v>
      </c>
    </row>
    <row r="2460" spans="1:13">
      <c r="A2460" s="408" t="s">
        <v>6190</v>
      </c>
      <c r="B2460" s="106" t="s">
        <v>327</v>
      </c>
      <c r="C2460" s="106" t="s">
        <v>473</v>
      </c>
      <c r="D2460" s="107" t="s">
        <v>6191</v>
      </c>
      <c r="E2460" s="109" t="s">
        <v>355</v>
      </c>
      <c r="F2460" s="109" t="s">
        <v>355</v>
      </c>
      <c r="G2460" s="55" t="s">
        <v>355</v>
      </c>
      <c r="H2460" s="108" t="s">
        <v>402</v>
      </c>
      <c r="I2460" s="111" t="s">
        <v>402</v>
      </c>
      <c r="J2460" s="111" t="s">
        <v>402</v>
      </c>
      <c r="K2460" s="106" t="s">
        <v>403</v>
      </c>
      <c r="L2460" s="55" t="s">
        <v>404</v>
      </c>
      <c r="M2460" s="55" t="s">
        <v>7634</v>
      </c>
    </row>
    <row r="2461" spans="1:13">
      <c r="A2461" s="408" t="s">
        <v>6192</v>
      </c>
      <c r="B2461" s="106" t="s">
        <v>327</v>
      </c>
      <c r="C2461" s="106" t="s">
        <v>473</v>
      </c>
      <c r="D2461" s="107" t="s">
        <v>6193</v>
      </c>
      <c r="E2461" s="109" t="s">
        <v>355</v>
      </c>
      <c r="F2461" s="109" t="s">
        <v>355</v>
      </c>
      <c r="G2461" s="55" t="s">
        <v>355</v>
      </c>
      <c r="H2461" s="108" t="s">
        <v>402</v>
      </c>
      <c r="I2461" s="111" t="s">
        <v>402</v>
      </c>
      <c r="J2461" s="111" t="s">
        <v>402</v>
      </c>
      <c r="K2461" s="106" t="s">
        <v>403</v>
      </c>
      <c r="L2461" s="55" t="s">
        <v>404</v>
      </c>
      <c r="M2461" s="55" t="s">
        <v>7634</v>
      </c>
    </row>
    <row r="2462" spans="1:13">
      <c r="A2462" s="408" t="s">
        <v>6194</v>
      </c>
      <c r="B2462" s="106" t="s">
        <v>327</v>
      </c>
      <c r="C2462" s="106" t="s">
        <v>473</v>
      </c>
      <c r="D2462" s="107" t="s">
        <v>6195</v>
      </c>
      <c r="E2462" s="109" t="s">
        <v>355</v>
      </c>
      <c r="F2462" s="109" t="s">
        <v>355</v>
      </c>
      <c r="G2462" s="55" t="s">
        <v>355</v>
      </c>
      <c r="H2462" s="108" t="s">
        <v>402</v>
      </c>
      <c r="I2462" s="111" t="s">
        <v>402</v>
      </c>
      <c r="J2462" s="111" t="s">
        <v>402</v>
      </c>
      <c r="K2462" s="106" t="s">
        <v>403</v>
      </c>
      <c r="L2462" s="55" t="s">
        <v>404</v>
      </c>
      <c r="M2462" s="55" t="s">
        <v>7634</v>
      </c>
    </row>
    <row r="2463" spans="1:13">
      <c r="A2463" s="408" t="s">
        <v>6196</v>
      </c>
      <c r="B2463" s="106" t="s">
        <v>327</v>
      </c>
      <c r="C2463" s="106" t="s">
        <v>473</v>
      </c>
      <c r="D2463" s="107" t="s">
        <v>6197</v>
      </c>
      <c r="E2463" s="109" t="s">
        <v>355</v>
      </c>
      <c r="F2463" s="109" t="s">
        <v>355</v>
      </c>
      <c r="G2463" s="55" t="s">
        <v>355</v>
      </c>
      <c r="H2463" s="108" t="s">
        <v>402</v>
      </c>
      <c r="I2463" s="111" t="s">
        <v>402</v>
      </c>
      <c r="J2463" s="111" t="s">
        <v>402</v>
      </c>
      <c r="K2463" s="106" t="s">
        <v>403</v>
      </c>
      <c r="L2463" s="55" t="s">
        <v>404</v>
      </c>
      <c r="M2463" s="55" t="s">
        <v>7634</v>
      </c>
    </row>
    <row r="2464" spans="1:13">
      <c r="A2464" s="408" t="s">
        <v>6198</v>
      </c>
      <c r="B2464" s="106" t="s">
        <v>327</v>
      </c>
      <c r="C2464" s="106" t="s">
        <v>473</v>
      </c>
      <c r="D2464" s="107" t="s">
        <v>6199</v>
      </c>
      <c r="E2464" s="109" t="s">
        <v>355</v>
      </c>
      <c r="F2464" s="109" t="s">
        <v>355</v>
      </c>
      <c r="G2464" s="55" t="s">
        <v>355</v>
      </c>
      <c r="H2464" s="108" t="s">
        <v>402</v>
      </c>
      <c r="I2464" s="111" t="s">
        <v>402</v>
      </c>
      <c r="J2464" s="111" t="s">
        <v>402</v>
      </c>
      <c r="K2464" s="106" t="s">
        <v>403</v>
      </c>
      <c r="L2464" s="55" t="s">
        <v>404</v>
      </c>
      <c r="M2464" s="55" t="s">
        <v>7634</v>
      </c>
    </row>
    <row r="2465" spans="1:13">
      <c r="A2465" s="408" t="s">
        <v>6200</v>
      </c>
      <c r="B2465" s="106" t="s">
        <v>327</v>
      </c>
      <c r="C2465" s="106" t="s">
        <v>473</v>
      </c>
      <c r="D2465" s="107" t="s">
        <v>6201</v>
      </c>
      <c r="E2465" s="109" t="s">
        <v>355</v>
      </c>
      <c r="F2465" s="109" t="s">
        <v>355</v>
      </c>
      <c r="G2465" s="55" t="s">
        <v>355</v>
      </c>
      <c r="H2465" s="108" t="s">
        <v>402</v>
      </c>
      <c r="I2465" s="111" t="s">
        <v>402</v>
      </c>
      <c r="J2465" s="111" t="s">
        <v>402</v>
      </c>
      <c r="K2465" s="106" t="s">
        <v>403</v>
      </c>
      <c r="L2465" s="55" t="s">
        <v>404</v>
      </c>
      <c r="M2465" s="55" t="s">
        <v>7634</v>
      </c>
    </row>
    <row r="2466" spans="1:13">
      <c r="A2466" s="408" t="s">
        <v>6202</v>
      </c>
      <c r="B2466" s="106" t="s">
        <v>327</v>
      </c>
      <c r="C2466" s="106" t="s">
        <v>473</v>
      </c>
      <c r="D2466" s="107" t="s">
        <v>6203</v>
      </c>
      <c r="E2466" s="109" t="s">
        <v>355</v>
      </c>
      <c r="F2466" s="109" t="s">
        <v>355</v>
      </c>
      <c r="G2466" s="55" t="s">
        <v>355</v>
      </c>
      <c r="H2466" s="108" t="s">
        <v>402</v>
      </c>
      <c r="I2466" s="111" t="s">
        <v>402</v>
      </c>
      <c r="J2466" s="111" t="s">
        <v>402</v>
      </c>
      <c r="K2466" s="106" t="s">
        <v>403</v>
      </c>
      <c r="L2466" s="55" t="s">
        <v>404</v>
      </c>
      <c r="M2466" s="55" t="s">
        <v>7634</v>
      </c>
    </row>
    <row r="2467" spans="1:13">
      <c r="A2467" s="408" t="s">
        <v>6204</v>
      </c>
      <c r="B2467" s="106" t="s">
        <v>327</v>
      </c>
      <c r="C2467" s="106" t="s">
        <v>473</v>
      </c>
      <c r="D2467" s="107" t="s">
        <v>6205</v>
      </c>
      <c r="E2467" s="109" t="s">
        <v>355</v>
      </c>
      <c r="F2467" s="109" t="s">
        <v>355</v>
      </c>
      <c r="G2467" s="55" t="s">
        <v>355</v>
      </c>
      <c r="H2467" s="108" t="s">
        <v>402</v>
      </c>
      <c r="I2467" s="111" t="s">
        <v>402</v>
      </c>
      <c r="J2467" s="111" t="s">
        <v>402</v>
      </c>
      <c r="K2467" s="106" t="s">
        <v>403</v>
      </c>
      <c r="L2467" s="55" t="s">
        <v>404</v>
      </c>
      <c r="M2467" s="55" t="s">
        <v>7634</v>
      </c>
    </row>
    <row r="2468" spans="1:13">
      <c r="A2468" s="408" t="s">
        <v>6206</v>
      </c>
      <c r="B2468" s="106" t="s">
        <v>327</v>
      </c>
      <c r="C2468" s="106" t="s">
        <v>473</v>
      </c>
      <c r="D2468" s="107" t="s">
        <v>6207</v>
      </c>
      <c r="E2468" s="109" t="s">
        <v>355</v>
      </c>
      <c r="F2468" s="109" t="s">
        <v>355</v>
      </c>
      <c r="G2468" s="55" t="s">
        <v>355</v>
      </c>
      <c r="H2468" s="108" t="s">
        <v>402</v>
      </c>
      <c r="I2468" s="111" t="s">
        <v>402</v>
      </c>
      <c r="J2468" s="111" t="s">
        <v>402</v>
      </c>
      <c r="K2468" s="106" t="s">
        <v>403</v>
      </c>
      <c r="L2468" s="55" t="s">
        <v>404</v>
      </c>
      <c r="M2468" s="55" t="s">
        <v>7634</v>
      </c>
    </row>
    <row r="2469" spans="1:13">
      <c r="A2469" s="408" t="s">
        <v>6208</v>
      </c>
      <c r="B2469" s="106" t="s">
        <v>327</v>
      </c>
      <c r="C2469" s="106" t="s">
        <v>473</v>
      </c>
      <c r="D2469" s="107" t="s">
        <v>6209</v>
      </c>
      <c r="E2469" s="109" t="s">
        <v>355</v>
      </c>
      <c r="F2469" s="109" t="s">
        <v>355</v>
      </c>
      <c r="G2469" s="55" t="s">
        <v>355</v>
      </c>
      <c r="H2469" s="108" t="s">
        <v>402</v>
      </c>
      <c r="I2469" s="111" t="s">
        <v>402</v>
      </c>
      <c r="J2469" s="111" t="s">
        <v>402</v>
      </c>
      <c r="K2469" s="106" t="s">
        <v>403</v>
      </c>
      <c r="L2469" s="55" t="s">
        <v>404</v>
      </c>
      <c r="M2469" s="55" t="s">
        <v>7634</v>
      </c>
    </row>
    <row r="2470" spans="1:13">
      <c r="A2470" s="408" t="s">
        <v>6210</v>
      </c>
      <c r="B2470" s="106" t="s">
        <v>327</v>
      </c>
      <c r="C2470" s="106" t="s">
        <v>473</v>
      </c>
      <c r="D2470" s="107" t="s">
        <v>6211</v>
      </c>
      <c r="E2470" s="109" t="s">
        <v>355</v>
      </c>
      <c r="F2470" s="109" t="s">
        <v>355</v>
      </c>
      <c r="G2470" s="55" t="s">
        <v>355</v>
      </c>
      <c r="H2470" s="108" t="s">
        <v>402</v>
      </c>
      <c r="I2470" s="111" t="s">
        <v>402</v>
      </c>
      <c r="J2470" s="111" t="s">
        <v>402</v>
      </c>
      <c r="K2470" s="106" t="s">
        <v>403</v>
      </c>
      <c r="L2470" s="55" t="s">
        <v>404</v>
      </c>
      <c r="M2470" s="55" t="s">
        <v>7634</v>
      </c>
    </row>
    <row r="2471" spans="1:13">
      <c r="A2471" s="408" t="s">
        <v>6212</v>
      </c>
      <c r="B2471" s="106" t="s">
        <v>327</v>
      </c>
      <c r="C2471" s="106" t="s">
        <v>473</v>
      </c>
      <c r="D2471" s="107" t="s">
        <v>6213</v>
      </c>
      <c r="E2471" s="109" t="s">
        <v>355</v>
      </c>
      <c r="F2471" s="109" t="s">
        <v>355</v>
      </c>
      <c r="G2471" s="55" t="s">
        <v>355</v>
      </c>
      <c r="H2471" s="108" t="s">
        <v>402</v>
      </c>
      <c r="I2471" s="111" t="s">
        <v>402</v>
      </c>
      <c r="J2471" s="111" t="s">
        <v>402</v>
      </c>
      <c r="K2471" s="106" t="s">
        <v>403</v>
      </c>
      <c r="L2471" s="55" t="s">
        <v>404</v>
      </c>
      <c r="M2471" s="55" t="s">
        <v>7634</v>
      </c>
    </row>
    <row r="2472" spans="1:13">
      <c r="A2472" s="408" t="s">
        <v>6214</v>
      </c>
      <c r="B2472" s="106" t="s">
        <v>327</v>
      </c>
      <c r="C2472" s="106" t="s">
        <v>473</v>
      </c>
      <c r="D2472" s="107" t="s">
        <v>6215</v>
      </c>
      <c r="E2472" s="109" t="s">
        <v>355</v>
      </c>
      <c r="F2472" s="109" t="s">
        <v>355</v>
      </c>
      <c r="G2472" s="55" t="s">
        <v>355</v>
      </c>
      <c r="H2472" s="108" t="s">
        <v>402</v>
      </c>
      <c r="I2472" s="111" t="s">
        <v>402</v>
      </c>
      <c r="J2472" s="111" t="s">
        <v>402</v>
      </c>
      <c r="K2472" s="106" t="s">
        <v>403</v>
      </c>
      <c r="L2472" s="55" t="s">
        <v>404</v>
      </c>
      <c r="M2472" s="55" t="s">
        <v>7634</v>
      </c>
    </row>
    <row r="2473" spans="1:13">
      <c r="A2473" s="408" t="s">
        <v>6216</v>
      </c>
      <c r="B2473" s="106" t="s">
        <v>327</v>
      </c>
      <c r="C2473" s="106" t="s">
        <v>473</v>
      </c>
      <c r="D2473" s="107" t="s">
        <v>6217</v>
      </c>
      <c r="E2473" s="109" t="s">
        <v>355</v>
      </c>
      <c r="F2473" s="109" t="s">
        <v>355</v>
      </c>
      <c r="G2473" s="55" t="s">
        <v>355</v>
      </c>
      <c r="H2473" s="108" t="s">
        <v>402</v>
      </c>
      <c r="I2473" s="111" t="s">
        <v>402</v>
      </c>
      <c r="J2473" s="111" t="s">
        <v>402</v>
      </c>
      <c r="K2473" s="106" t="s">
        <v>403</v>
      </c>
      <c r="L2473" s="55" t="s">
        <v>404</v>
      </c>
      <c r="M2473" s="55" t="s">
        <v>7634</v>
      </c>
    </row>
    <row r="2474" spans="1:13">
      <c r="A2474" s="408" t="s">
        <v>6218</v>
      </c>
      <c r="B2474" s="106" t="s">
        <v>327</v>
      </c>
      <c r="C2474" s="106" t="s">
        <v>473</v>
      </c>
      <c r="D2474" s="107" t="s">
        <v>6219</v>
      </c>
      <c r="E2474" s="109" t="s">
        <v>355</v>
      </c>
      <c r="F2474" s="109" t="s">
        <v>355</v>
      </c>
      <c r="G2474" s="55" t="s">
        <v>355</v>
      </c>
      <c r="H2474" s="108" t="s">
        <v>402</v>
      </c>
      <c r="I2474" s="111" t="s">
        <v>402</v>
      </c>
      <c r="J2474" s="111" t="s">
        <v>402</v>
      </c>
      <c r="K2474" s="106" t="s">
        <v>403</v>
      </c>
      <c r="L2474" s="55" t="s">
        <v>404</v>
      </c>
      <c r="M2474" s="55" t="s">
        <v>7634</v>
      </c>
    </row>
    <row r="2475" spans="1:13">
      <c r="A2475" s="401" t="s">
        <v>6220</v>
      </c>
      <c r="B2475" s="106" t="s">
        <v>984</v>
      </c>
      <c r="C2475" s="106" t="s">
        <v>473</v>
      </c>
      <c r="D2475" s="109" t="s">
        <v>6221</v>
      </c>
      <c r="E2475" s="109" t="s">
        <v>1748</v>
      </c>
      <c r="F2475" s="109" t="s">
        <v>6222</v>
      </c>
      <c r="G2475" s="117" t="s">
        <v>383</v>
      </c>
      <c r="H2475" s="115" t="s">
        <v>402</v>
      </c>
      <c r="I2475" s="111" t="s">
        <v>402</v>
      </c>
      <c r="J2475" s="111" t="s">
        <v>402</v>
      </c>
      <c r="K2475" s="115" t="s">
        <v>403</v>
      </c>
      <c r="L2475" s="55" t="s">
        <v>404</v>
      </c>
      <c r="M2475" s="113" t="s">
        <v>1173</v>
      </c>
    </row>
    <row r="2476" spans="1:13">
      <c r="A2476" s="408" t="s">
        <v>6223</v>
      </c>
      <c r="B2476" s="106" t="s">
        <v>327</v>
      </c>
      <c r="C2476" s="106" t="s">
        <v>473</v>
      </c>
      <c r="D2476" s="107" t="s">
        <v>6224</v>
      </c>
      <c r="E2476" s="109" t="s">
        <v>355</v>
      </c>
      <c r="F2476" s="109" t="s">
        <v>355</v>
      </c>
      <c r="G2476" s="55" t="s">
        <v>355</v>
      </c>
      <c r="H2476" s="108" t="s">
        <v>402</v>
      </c>
      <c r="I2476" s="111" t="s">
        <v>402</v>
      </c>
      <c r="J2476" s="111" t="s">
        <v>402</v>
      </c>
      <c r="K2476" s="106" t="s">
        <v>403</v>
      </c>
      <c r="L2476" s="55" t="s">
        <v>404</v>
      </c>
      <c r="M2476" s="55" t="s">
        <v>7634</v>
      </c>
    </row>
    <row r="2477" spans="1:13">
      <c r="A2477" s="408" t="s">
        <v>6225</v>
      </c>
      <c r="B2477" s="106" t="s">
        <v>327</v>
      </c>
      <c r="C2477" s="106" t="s">
        <v>473</v>
      </c>
      <c r="D2477" s="107" t="s">
        <v>6226</v>
      </c>
      <c r="E2477" s="109" t="s">
        <v>355</v>
      </c>
      <c r="F2477" s="109" t="s">
        <v>355</v>
      </c>
      <c r="G2477" s="55" t="s">
        <v>355</v>
      </c>
      <c r="H2477" s="108" t="s">
        <v>402</v>
      </c>
      <c r="I2477" s="111" t="s">
        <v>402</v>
      </c>
      <c r="J2477" s="111" t="s">
        <v>402</v>
      </c>
      <c r="K2477" s="106" t="s">
        <v>403</v>
      </c>
      <c r="L2477" s="55" t="s">
        <v>404</v>
      </c>
      <c r="M2477" s="55" t="s">
        <v>7634</v>
      </c>
    </row>
    <row r="2478" spans="1:13">
      <c r="A2478" s="408" t="s">
        <v>6227</v>
      </c>
      <c r="B2478" s="106" t="s">
        <v>327</v>
      </c>
      <c r="C2478" s="106" t="s">
        <v>473</v>
      </c>
      <c r="D2478" s="107" t="s">
        <v>6226</v>
      </c>
      <c r="E2478" s="109" t="s">
        <v>355</v>
      </c>
      <c r="F2478" s="109" t="s">
        <v>355</v>
      </c>
      <c r="G2478" s="55" t="s">
        <v>355</v>
      </c>
      <c r="H2478" s="108" t="s">
        <v>402</v>
      </c>
      <c r="I2478" s="111" t="s">
        <v>402</v>
      </c>
      <c r="J2478" s="111" t="s">
        <v>402</v>
      </c>
      <c r="K2478" s="106" t="s">
        <v>403</v>
      </c>
      <c r="L2478" s="55" t="s">
        <v>404</v>
      </c>
      <c r="M2478" s="55" t="s">
        <v>7634</v>
      </c>
    </row>
    <row r="2479" spans="1:13">
      <c r="A2479" s="408" t="s">
        <v>6228</v>
      </c>
      <c r="B2479" s="106" t="s">
        <v>327</v>
      </c>
      <c r="C2479" s="106" t="s">
        <v>473</v>
      </c>
      <c r="D2479" s="107" t="s">
        <v>6229</v>
      </c>
      <c r="E2479" s="109" t="s">
        <v>355</v>
      </c>
      <c r="F2479" s="109" t="s">
        <v>355</v>
      </c>
      <c r="G2479" s="55" t="s">
        <v>355</v>
      </c>
      <c r="H2479" s="108" t="s">
        <v>402</v>
      </c>
      <c r="I2479" s="111" t="s">
        <v>402</v>
      </c>
      <c r="J2479" s="111" t="s">
        <v>402</v>
      </c>
      <c r="K2479" s="106" t="s">
        <v>403</v>
      </c>
      <c r="L2479" s="55" t="s">
        <v>404</v>
      </c>
      <c r="M2479" s="55" t="s">
        <v>7634</v>
      </c>
    </row>
    <row r="2480" spans="1:13">
      <c r="A2480" s="408" t="s">
        <v>6230</v>
      </c>
      <c r="B2480" s="106" t="s">
        <v>327</v>
      </c>
      <c r="C2480" s="106" t="s">
        <v>473</v>
      </c>
      <c r="D2480" s="107" t="s">
        <v>6231</v>
      </c>
      <c r="E2480" s="109" t="s">
        <v>355</v>
      </c>
      <c r="F2480" s="109" t="s">
        <v>355</v>
      </c>
      <c r="G2480" s="55" t="s">
        <v>355</v>
      </c>
      <c r="H2480" s="108" t="s">
        <v>402</v>
      </c>
      <c r="I2480" s="111" t="s">
        <v>402</v>
      </c>
      <c r="J2480" s="111" t="s">
        <v>402</v>
      </c>
      <c r="K2480" s="106" t="s">
        <v>403</v>
      </c>
      <c r="L2480" s="55" t="s">
        <v>404</v>
      </c>
      <c r="M2480" s="55" t="s">
        <v>7634</v>
      </c>
    </row>
    <row r="2481" spans="1:13">
      <c r="A2481" s="408" t="s">
        <v>6232</v>
      </c>
      <c r="B2481" s="106" t="s">
        <v>327</v>
      </c>
      <c r="C2481" s="106" t="s">
        <v>473</v>
      </c>
      <c r="D2481" s="107" t="s">
        <v>6233</v>
      </c>
      <c r="E2481" s="109" t="s">
        <v>355</v>
      </c>
      <c r="F2481" s="109" t="s">
        <v>355</v>
      </c>
      <c r="G2481" s="55" t="s">
        <v>355</v>
      </c>
      <c r="H2481" s="108" t="s">
        <v>402</v>
      </c>
      <c r="I2481" s="111" t="s">
        <v>402</v>
      </c>
      <c r="J2481" s="111" t="s">
        <v>402</v>
      </c>
      <c r="K2481" s="106" t="s">
        <v>403</v>
      </c>
      <c r="L2481" s="55" t="s">
        <v>404</v>
      </c>
      <c r="M2481" s="55" t="s">
        <v>7634</v>
      </c>
    </row>
    <row r="2482" spans="1:13">
      <c r="A2482" s="408" t="s">
        <v>6234</v>
      </c>
      <c r="B2482" s="106" t="s">
        <v>327</v>
      </c>
      <c r="C2482" s="106" t="s">
        <v>473</v>
      </c>
      <c r="D2482" s="107" t="s">
        <v>6235</v>
      </c>
      <c r="E2482" s="109" t="s">
        <v>355</v>
      </c>
      <c r="F2482" s="109" t="s">
        <v>355</v>
      </c>
      <c r="G2482" s="55" t="s">
        <v>355</v>
      </c>
      <c r="H2482" s="108" t="s">
        <v>402</v>
      </c>
      <c r="I2482" s="111" t="s">
        <v>402</v>
      </c>
      <c r="J2482" s="111" t="s">
        <v>402</v>
      </c>
      <c r="K2482" s="106" t="s">
        <v>403</v>
      </c>
      <c r="L2482" s="55" t="s">
        <v>404</v>
      </c>
      <c r="M2482" s="55" t="s">
        <v>7634</v>
      </c>
    </row>
    <row r="2483" spans="1:13">
      <c r="A2483" s="408" t="s">
        <v>6236</v>
      </c>
      <c r="B2483" s="106" t="s">
        <v>327</v>
      </c>
      <c r="C2483" s="106" t="s">
        <v>473</v>
      </c>
      <c r="D2483" s="107" t="s">
        <v>6237</v>
      </c>
      <c r="E2483" s="109" t="s">
        <v>355</v>
      </c>
      <c r="F2483" s="109" t="s">
        <v>355</v>
      </c>
      <c r="G2483" s="55" t="s">
        <v>355</v>
      </c>
      <c r="H2483" s="108" t="s">
        <v>402</v>
      </c>
      <c r="I2483" s="111" t="s">
        <v>402</v>
      </c>
      <c r="J2483" s="111" t="s">
        <v>402</v>
      </c>
      <c r="K2483" s="106" t="s">
        <v>403</v>
      </c>
      <c r="L2483" s="55" t="s">
        <v>404</v>
      </c>
      <c r="M2483" s="55" t="s">
        <v>7634</v>
      </c>
    </row>
    <row r="2484" spans="1:13">
      <c r="A2484" s="408" t="s">
        <v>6238</v>
      </c>
      <c r="B2484" s="106" t="s">
        <v>327</v>
      </c>
      <c r="C2484" s="106" t="s">
        <v>473</v>
      </c>
      <c r="D2484" s="107" t="s">
        <v>6239</v>
      </c>
      <c r="E2484" s="109" t="s">
        <v>355</v>
      </c>
      <c r="F2484" s="109" t="s">
        <v>355</v>
      </c>
      <c r="G2484" s="55" t="s">
        <v>355</v>
      </c>
      <c r="H2484" s="108" t="s">
        <v>402</v>
      </c>
      <c r="I2484" s="111" t="s">
        <v>402</v>
      </c>
      <c r="J2484" s="111" t="s">
        <v>402</v>
      </c>
      <c r="K2484" s="106" t="s">
        <v>403</v>
      </c>
      <c r="L2484" s="55" t="s">
        <v>404</v>
      </c>
      <c r="M2484" s="55" t="s">
        <v>7634</v>
      </c>
    </row>
    <row r="2485" spans="1:13">
      <c r="A2485" s="408" t="s">
        <v>6240</v>
      </c>
      <c r="B2485" s="106" t="s">
        <v>327</v>
      </c>
      <c r="C2485" s="106" t="s">
        <v>473</v>
      </c>
      <c r="D2485" s="107" t="s">
        <v>6241</v>
      </c>
      <c r="E2485" s="109" t="s">
        <v>355</v>
      </c>
      <c r="F2485" s="109" t="s">
        <v>355</v>
      </c>
      <c r="G2485" s="55" t="s">
        <v>355</v>
      </c>
      <c r="H2485" s="108" t="s">
        <v>402</v>
      </c>
      <c r="I2485" s="111" t="s">
        <v>402</v>
      </c>
      <c r="J2485" s="111" t="s">
        <v>402</v>
      </c>
      <c r="K2485" s="106" t="s">
        <v>403</v>
      </c>
      <c r="L2485" s="55" t="s">
        <v>404</v>
      </c>
      <c r="M2485" s="55" t="s">
        <v>7634</v>
      </c>
    </row>
    <row r="2486" spans="1:13">
      <c r="A2486" s="408" t="s">
        <v>6242</v>
      </c>
      <c r="B2486" s="106" t="s">
        <v>327</v>
      </c>
      <c r="C2486" s="106" t="s">
        <v>473</v>
      </c>
      <c r="D2486" s="107" t="s">
        <v>6243</v>
      </c>
      <c r="E2486" s="109" t="s">
        <v>355</v>
      </c>
      <c r="F2486" s="109" t="s">
        <v>355</v>
      </c>
      <c r="G2486" s="55" t="s">
        <v>355</v>
      </c>
      <c r="H2486" s="108" t="s">
        <v>402</v>
      </c>
      <c r="I2486" s="111" t="s">
        <v>402</v>
      </c>
      <c r="J2486" s="111" t="s">
        <v>402</v>
      </c>
      <c r="K2486" s="106" t="s">
        <v>403</v>
      </c>
      <c r="L2486" s="55" t="s">
        <v>404</v>
      </c>
      <c r="M2486" s="55" t="s">
        <v>7634</v>
      </c>
    </row>
    <row r="2487" spans="1:13">
      <c r="A2487" s="408" t="s">
        <v>6244</v>
      </c>
      <c r="B2487" s="106" t="s">
        <v>327</v>
      </c>
      <c r="C2487" s="106" t="s">
        <v>473</v>
      </c>
      <c r="D2487" s="107" t="s">
        <v>6245</v>
      </c>
      <c r="E2487" s="109" t="s">
        <v>355</v>
      </c>
      <c r="F2487" s="109" t="s">
        <v>355</v>
      </c>
      <c r="G2487" s="55" t="s">
        <v>355</v>
      </c>
      <c r="H2487" s="108" t="s">
        <v>402</v>
      </c>
      <c r="I2487" s="111" t="s">
        <v>402</v>
      </c>
      <c r="J2487" s="111" t="s">
        <v>402</v>
      </c>
      <c r="K2487" s="106" t="s">
        <v>403</v>
      </c>
      <c r="L2487" s="55" t="s">
        <v>404</v>
      </c>
      <c r="M2487" s="55" t="s">
        <v>7634</v>
      </c>
    </row>
    <row r="2488" spans="1:13">
      <c r="A2488" s="408" t="s">
        <v>6246</v>
      </c>
      <c r="B2488" s="106" t="s">
        <v>327</v>
      </c>
      <c r="C2488" s="106" t="s">
        <v>473</v>
      </c>
      <c r="D2488" s="107" t="s">
        <v>6146</v>
      </c>
      <c r="E2488" s="109" t="s">
        <v>355</v>
      </c>
      <c r="F2488" s="109" t="s">
        <v>355</v>
      </c>
      <c r="G2488" s="55" t="s">
        <v>355</v>
      </c>
      <c r="H2488" s="108" t="s">
        <v>402</v>
      </c>
      <c r="I2488" s="111" t="s">
        <v>402</v>
      </c>
      <c r="J2488" s="111" t="s">
        <v>402</v>
      </c>
      <c r="K2488" s="106" t="s">
        <v>403</v>
      </c>
      <c r="L2488" s="55" t="s">
        <v>404</v>
      </c>
      <c r="M2488" s="55" t="s">
        <v>7634</v>
      </c>
    </row>
    <row r="2489" spans="1:13">
      <c r="A2489" s="408" t="s">
        <v>6247</v>
      </c>
      <c r="B2489" s="106" t="s">
        <v>327</v>
      </c>
      <c r="C2489" s="106" t="s">
        <v>473</v>
      </c>
      <c r="D2489" s="107" t="s">
        <v>6248</v>
      </c>
      <c r="E2489" s="109" t="s">
        <v>355</v>
      </c>
      <c r="F2489" s="109" t="s">
        <v>355</v>
      </c>
      <c r="G2489" s="55" t="s">
        <v>355</v>
      </c>
      <c r="H2489" s="108" t="s">
        <v>402</v>
      </c>
      <c r="I2489" s="111" t="s">
        <v>402</v>
      </c>
      <c r="J2489" s="111" t="s">
        <v>402</v>
      </c>
      <c r="K2489" s="106" t="s">
        <v>403</v>
      </c>
      <c r="L2489" s="55" t="s">
        <v>404</v>
      </c>
      <c r="M2489" s="55" t="s">
        <v>7634</v>
      </c>
    </row>
    <row r="2490" spans="1:13">
      <c r="A2490" s="408" t="s">
        <v>6249</v>
      </c>
      <c r="B2490" s="106" t="s">
        <v>327</v>
      </c>
      <c r="C2490" s="106" t="s">
        <v>473</v>
      </c>
      <c r="D2490" s="107" t="s">
        <v>6250</v>
      </c>
      <c r="E2490" s="109" t="s">
        <v>355</v>
      </c>
      <c r="F2490" s="109" t="s">
        <v>355</v>
      </c>
      <c r="G2490" s="55" t="s">
        <v>355</v>
      </c>
      <c r="H2490" s="108" t="s">
        <v>402</v>
      </c>
      <c r="I2490" s="111" t="s">
        <v>402</v>
      </c>
      <c r="J2490" s="111" t="s">
        <v>402</v>
      </c>
      <c r="K2490" s="106" t="s">
        <v>403</v>
      </c>
      <c r="L2490" s="55" t="s">
        <v>404</v>
      </c>
      <c r="M2490" s="55" t="s">
        <v>7634</v>
      </c>
    </row>
    <row r="2491" spans="1:13">
      <c r="A2491" s="401" t="s">
        <v>6251</v>
      </c>
      <c r="B2491" s="106" t="s">
        <v>327</v>
      </c>
      <c r="C2491" s="106" t="s">
        <v>473</v>
      </c>
      <c r="D2491" s="107" t="s">
        <v>6252</v>
      </c>
      <c r="E2491" s="109" t="s">
        <v>355</v>
      </c>
      <c r="F2491" s="109" t="s">
        <v>355</v>
      </c>
      <c r="G2491" s="55" t="s">
        <v>355</v>
      </c>
      <c r="H2491" s="108" t="s">
        <v>402</v>
      </c>
      <c r="I2491" s="111" t="s">
        <v>402</v>
      </c>
      <c r="J2491" s="111" t="s">
        <v>402</v>
      </c>
      <c r="K2491" s="106" t="s">
        <v>403</v>
      </c>
      <c r="L2491" s="55" t="s">
        <v>404</v>
      </c>
      <c r="M2491" s="55" t="s">
        <v>7634</v>
      </c>
    </row>
    <row r="2492" spans="1:13">
      <c r="A2492" s="408" t="s">
        <v>6253</v>
      </c>
      <c r="B2492" s="106" t="s">
        <v>327</v>
      </c>
      <c r="C2492" s="106" t="s">
        <v>473</v>
      </c>
      <c r="D2492" s="107" t="s">
        <v>6254</v>
      </c>
      <c r="E2492" s="109" t="s">
        <v>355</v>
      </c>
      <c r="F2492" s="109" t="s">
        <v>355</v>
      </c>
      <c r="G2492" s="55" t="s">
        <v>355</v>
      </c>
      <c r="H2492" s="108" t="s">
        <v>402</v>
      </c>
      <c r="I2492" s="111" t="s">
        <v>402</v>
      </c>
      <c r="J2492" s="111" t="s">
        <v>402</v>
      </c>
      <c r="K2492" s="106" t="s">
        <v>403</v>
      </c>
      <c r="L2492" s="55" t="s">
        <v>404</v>
      </c>
      <c r="M2492" s="55" t="s">
        <v>7634</v>
      </c>
    </row>
    <row r="2493" spans="1:13">
      <c r="A2493" s="408" t="s">
        <v>6255</v>
      </c>
      <c r="B2493" s="106" t="s">
        <v>327</v>
      </c>
      <c r="C2493" s="106" t="s">
        <v>473</v>
      </c>
      <c r="D2493" s="107" t="s">
        <v>6256</v>
      </c>
      <c r="E2493" s="109" t="s">
        <v>355</v>
      </c>
      <c r="F2493" s="109" t="s">
        <v>355</v>
      </c>
      <c r="G2493" s="55" t="s">
        <v>355</v>
      </c>
      <c r="H2493" s="108" t="s">
        <v>402</v>
      </c>
      <c r="I2493" s="111" t="s">
        <v>402</v>
      </c>
      <c r="J2493" s="111" t="s">
        <v>402</v>
      </c>
      <c r="K2493" s="106" t="s">
        <v>403</v>
      </c>
      <c r="L2493" s="55" t="s">
        <v>404</v>
      </c>
      <c r="M2493" s="55" t="s">
        <v>7634</v>
      </c>
    </row>
    <row r="2494" spans="1:13">
      <c r="A2494" s="408" t="s">
        <v>6257</v>
      </c>
      <c r="B2494" s="106" t="s">
        <v>327</v>
      </c>
      <c r="C2494" s="106" t="s">
        <v>473</v>
      </c>
      <c r="D2494" s="107" t="s">
        <v>6256</v>
      </c>
      <c r="E2494" s="109" t="s">
        <v>355</v>
      </c>
      <c r="F2494" s="109" t="s">
        <v>355</v>
      </c>
      <c r="G2494" s="55" t="s">
        <v>355</v>
      </c>
      <c r="H2494" s="108" t="s">
        <v>402</v>
      </c>
      <c r="I2494" s="111" t="s">
        <v>402</v>
      </c>
      <c r="J2494" s="111" t="s">
        <v>402</v>
      </c>
      <c r="K2494" s="106" t="s">
        <v>403</v>
      </c>
      <c r="L2494" s="55" t="s">
        <v>404</v>
      </c>
      <c r="M2494" s="55" t="s">
        <v>7634</v>
      </c>
    </row>
    <row r="2495" spans="1:13">
      <c r="A2495" s="408" t="s">
        <v>6258</v>
      </c>
      <c r="B2495" s="106" t="s">
        <v>327</v>
      </c>
      <c r="C2495" s="106" t="s">
        <v>473</v>
      </c>
      <c r="D2495" s="107" t="s">
        <v>6259</v>
      </c>
      <c r="E2495" s="109" t="s">
        <v>355</v>
      </c>
      <c r="F2495" s="109" t="s">
        <v>355</v>
      </c>
      <c r="G2495" s="55" t="s">
        <v>355</v>
      </c>
      <c r="H2495" s="108" t="s">
        <v>402</v>
      </c>
      <c r="I2495" s="111" t="s">
        <v>402</v>
      </c>
      <c r="J2495" s="111" t="s">
        <v>402</v>
      </c>
      <c r="K2495" s="106" t="s">
        <v>403</v>
      </c>
      <c r="L2495" s="55" t="s">
        <v>404</v>
      </c>
      <c r="M2495" s="55" t="s">
        <v>7634</v>
      </c>
    </row>
    <row r="2496" spans="1:13">
      <c r="A2496" s="408" t="s">
        <v>6260</v>
      </c>
      <c r="B2496" s="106" t="s">
        <v>327</v>
      </c>
      <c r="C2496" s="106" t="s">
        <v>473</v>
      </c>
      <c r="D2496" s="107" t="s">
        <v>6261</v>
      </c>
      <c r="E2496" s="109" t="s">
        <v>355</v>
      </c>
      <c r="F2496" s="109" t="s">
        <v>355</v>
      </c>
      <c r="G2496" s="55" t="s">
        <v>355</v>
      </c>
      <c r="H2496" s="108" t="s">
        <v>402</v>
      </c>
      <c r="I2496" s="111" t="s">
        <v>402</v>
      </c>
      <c r="J2496" s="111" t="s">
        <v>402</v>
      </c>
      <c r="K2496" s="106" t="s">
        <v>403</v>
      </c>
      <c r="L2496" s="55" t="s">
        <v>404</v>
      </c>
      <c r="M2496" s="55" t="s">
        <v>7634</v>
      </c>
    </row>
    <row r="2497" spans="1:13">
      <c r="A2497" s="408" t="s">
        <v>6262</v>
      </c>
      <c r="B2497" s="106" t="s">
        <v>327</v>
      </c>
      <c r="C2497" s="106" t="s">
        <v>473</v>
      </c>
      <c r="D2497" s="107" t="s">
        <v>6263</v>
      </c>
      <c r="E2497" s="109" t="s">
        <v>355</v>
      </c>
      <c r="F2497" s="109" t="s">
        <v>355</v>
      </c>
      <c r="G2497" s="55" t="s">
        <v>355</v>
      </c>
      <c r="H2497" s="108" t="s">
        <v>402</v>
      </c>
      <c r="I2497" s="111" t="s">
        <v>402</v>
      </c>
      <c r="J2497" s="111" t="s">
        <v>402</v>
      </c>
      <c r="K2497" s="106" t="s">
        <v>403</v>
      </c>
      <c r="L2497" s="55" t="s">
        <v>404</v>
      </c>
      <c r="M2497" s="55" t="s">
        <v>7634</v>
      </c>
    </row>
    <row r="2498" spans="1:13">
      <c r="A2498" s="408" t="s">
        <v>6264</v>
      </c>
      <c r="B2498" s="106" t="s">
        <v>327</v>
      </c>
      <c r="C2498" s="106" t="s">
        <v>473</v>
      </c>
      <c r="D2498" s="107" t="s">
        <v>6265</v>
      </c>
      <c r="E2498" s="109" t="s">
        <v>355</v>
      </c>
      <c r="F2498" s="109" t="s">
        <v>355</v>
      </c>
      <c r="G2498" s="55" t="s">
        <v>355</v>
      </c>
      <c r="H2498" s="108" t="s">
        <v>402</v>
      </c>
      <c r="I2498" s="111" t="s">
        <v>402</v>
      </c>
      <c r="J2498" s="111" t="s">
        <v>402</v>
      </c>
      <c r="K2498" s="106" t="s">
        <v>403</v>
      </c>
      <c r="L2498" s="55" t="s">
        <v>404</v>
      </c>
      <c r="M2498" s="55" t="s">
        <v>7634</v>
      </c>
    </row>
    <row r="2499" spans="1:13">
      <c r="A2499" s="408" t="s">
        <v>6266</v>
      </c>
      <c r="B2499" s="106" t="s">
        <v>327</v>
      </c>
      <c r="C2499" s="106" t="s">
        <v>473</v>
      </c>
      <c r="D2499" s="107" t="s">
        <v>6267</v>
      </c>
      <c r="E2499" s="109" t="s">
        <v>355</v>
      </c>
      <c r="F2499" s="109" t="s">
        <v>355</v>
      </c>
      <c r="G2499" s="55" t="s">
        <v>355</v>
      </c>
      <c r="H2499" s="108" t="s">
        <v>402</v>
      </c>
      <c r="I2499" s="111" t="s">
        <v>402</v>
      </c>
      <c r="J2499" s="111" t="s">
        <v>402</v>
      </c>
      <c r="K2499" s="106" t="s">
        <v>403</v>
      </c>
      <c r="L2499" s="55" t="s">
        <v>404</v>
      </c>
      <c r="M2499" s="55" t="s">
        <v>7634</v>
      </c>
    </row>
    <row r="2500" spans="1:13">
      <c r="A2500" s="408" t="s">
        <v>6268</v>
      </c>
      <c r="B2500" s="106" t="s">
        <v>327</v>
      </c>
      <c r="C2500" s="106" t="s">
        <v>473</v>
      </c>
      <c r="D2500" s="107" t="s">
        <v>6269</v>
      </c>
      <c r="E2500" s="109" t="s">
        <v>355</v>
      </c>
      <c r="F2500" s="109" t="s">
        <v>355</v>
      </c>
      <c r="G2500" s="55" t="s">
        <v>355</v>
      </c>
      <c r="H2500" s="108" t="s">
        <v>402</v>
      </c>
      <c r="I2500" s="111" t="s">
        <v>402</v>
      </c>
      <c r="J2500" s="111" t="s">
        <v>402</v>
      </c>
      <c r="K2500" s="106" t="s">
        <v>403</v>
      </c>
      <c r="L2500" s="55" t="s">
        <v>404</v>
      </c>
      <c r="M2500" s="55" t="s">
        <v>7634</v>
      </c>
    </row>
    <row r="2501" spans="1:13">
      <c r="A2501" s="408" t="s">
        <v>6270</v>
      </c>
      <c r="B2501" s="106" t="s">
        <v>327</v>
      </c>
      <c r="C2501" s="106" t="s">
        <v>473</v>
      </c>
      <c r="D2501" s="107" t="s">
        <v>6271</v>
      </c>
      <c r="E2501" s="109" t="s">
        <v>355</v>
      </c>
      <c r="F2501" s="109" t="s">
        <v>355</v>
      </c>
      <c r="G2501" s="55" t="s">
        <v>355</v>
      </c>
      <c r="H2501" s="108" t="s">
        <v>402</v>
      </c>
      <c r="I2501" s="111" t="s">
        <v>402</v>
      </c>
      <c r="J2501" s="111" t="s">
        <v>402</v>
      </c>
      <c r="K2501" s="106" t="s">
        <v>403</v>
      </c>
      <c r="L2501" s="55" t="s">
        <v>404</v>
      </c>
      <c r="M2501" s="55" t="s">
        <v>7634</v>
      </c>
    </row>
    <row r="2502" spans="1:13">
      <c r="A2502" s="408" t="s">
        <v>6272</v>
      </c>
      <c r="B2502" s="106" t="s">
        <v>327</v>
      </c>
      <c r="C2502" s="106" t="s">
        <v>473</v>
      </c>
      <c r="D2502" s="107" t="s">
        <v>6273</v>
      </c>
      <c r="E2502" s="109" t="s">
        <v>355</v>
      </c>
      <c r="F2502" s="109" t="s">
        <v>355</v>
      </c>
      <c r="G2502" s="55" t="s">
        <v>355</v>
      </c>
      <c r="H2502" s="108" t="s">
        <v>402</v>
      </c>
      <c r="I2502" s="111" t="s">
        <v>402</v>
      </c>
      <c r="J2502" s="111" t="s">
        <v>402</v>
      </c>
      <c r="K2502" s="106" t="s">
        <v>403</v>
      </c>
      <c r="L2502" s="55" t="s">
        <v>404</v>
      </c>
      <c r="M2502" s="55" t="s">
        <v>7634</v>
      </c>
    </row>
    <row r="2503" spans="1:13">
      <c r="A2503" s="408" t="s">
        <v>6274</v>
      </c>
      <c r="B2503" s="106" t="s">
        <v>327</v>
      </c>
      <c r="C2503" s="106" t="s">
        <v>473</v>
      </c>
      <c r="D2503" s="107" t="s">
        <v>6275</v>
      </c>
      <c r="E2503" s="109" t="s">
        <v>355</v>
      </c>
      <c r="F2503" s="109" t="s">
        <v>355</v>
      </c>
      <c r="G2503" s="55" t="s">
        <v>355</v>
      </c>
      <c r="H2503" s="108" t="s">
        <v>402</v>
      </c>
      <c r="I2503" s="111" t="s">
        <v>402</v>
      </c>
      <c r="J2503" s="111" t="s">
        <v>402</v>
      </c>
      <c r="K2503" s="106" t="s">
        <v>403</v>
      </c>
      <c r="L2503" s="55" t="s">
        <v>404</v>
      </c>
      <c r="M2503" s="55" t="s">
        <v>7634</v>
      </c>
    </row>
    <row r="2504" spans="1:13">
      <c r="A2504" s="408" t="s">
        <v>6276</v>
      </c>
      <c r="B2504" s="106" t="s">
        <v>327</v>
      </c>
      <c r="C2504" s="106" t="s">
        <v>473</v>
      </c>
      <c r="D2504" s="107" t="s">
        <v>6277</v>
      </c>
      <c r="E2504" s="109" t="s">
        <v>355</v>
      </c>
      <c r="F2504" s="109" t="s">
        <v>355</v>
      </c>
      <c r="G2504" s="55" t="s">
        <v>355</v>
      </c>
      <c r="H2504" s="108" t="s">
        <v>402</v>
      </c>
      <c r="I2504" s="111" t="s">
        <v>402</v>
      </c>
      <c r="J2504" s="111" t="s">
        <v>402</v>
      </c>
      <c r="K2504" s="106" t="s">
        <v>403</v>
      </c>
      <c r="L2504" s="55" t="s">
        <v>404</v>
      </c>
      <c r="M2504" s="55" t="s">
        <v>7634</v>
      </c>
    </row>
    <row r="2505" spans="1:13">
      <c r="A2505" s="408" t="s">
        <v>6278</v>
      </c>
      <c r="B2505" s="106" t="s">
        <v>327</v>
      </c>
      <c r="C2505" s="106" t="s">
        <v>473</v>
      </c>
      <c r="D2505" s="107" t="s">
        <v>6279</v>
      </c>
      <c r="E2505" s="109" t="s">
        <v>355</v>
      </c>
      <c r="F2505" s="109" t="s">
        <v>355</v>
      </c>
      <c r="G2505" s="55" t="s">
        <v>355</v>
      </c>
      <c r="H2505" s="108" t="s">
        <v>402</v>
      </c>
      <c r="I2505" s="111" t="s">
        <v>402</v>
      </c>
      <c r="J2505" s="111" t="s">
        <v>402</v>
      </c>
      <c r="K2505" s="106" t="s">
        <v>403</v>
      </c>
      <c r="L2505" s="55" t="s">
        <v>404</v>
      </c>
      <c r="M2505" s="55" t="s">
        <v>7634</v>
      </c>
    </row>
    <row r="2506" spans="1:13">
      <c r="A2506" s="408" t="s">
        <v>6280</v>
      </c>
      <c r="B2506" s="106" t="s">
        <v>327</v>
      </c>
      <c r="C2506" s="106" t="s">
        <v>473</v>
      </c>
      <c r="D2506" s="107" t="s">
        <v>6281</v>
      </c>
      <c r="E2506" s="109" t="s">
        <v>355</v>
      </c>
      <c r="F2506" s="109" t="s">
        <v>355</v>
      </c>
      <c r="G2506" s="55" t="s">
        <v>355</v>
      </c>
      <c r="H2506" s="108" t="s">
        <v>402</v>
      </c>
      <c r="I2506" s="111" t="s">
        <v>402</v>
      </c>
      <c r="J2506" s="111" t="s">
        <v>402</v>
      </c>
      <c r="K2506" s="106" t="s">
        <v>403</v>
      </c>
      <c r="L2506" s="55" t="s">
        <v>404</v>
      </c>
      <c r="M2506" s="55" t="s">
        <v>7634</v>
      </c>
    </row>
    <row r="2507" spans="1:13">
      <c r="A2507" s="408" t="s">
        <v>6282</v>
      </c>
      <c r="B2507" s="106" t="s">
        <v>327</v>
      </c>
      <c r="C2507" s="106" t="s">
        <v>473</v>
      </c>
      <c r="D2507" s="107" t="s">
        <v>9149</v>
      </c>
      <c r="E2507" s="109" t="s">
        <v>355</v>
      </c>
      <c r="F2507" s="109" t="s">
        <v>355</v>
      </c>
      <c r="G2507" s="55" t="s">
        <v>355</v>
      </c>
      <c r="H2507" s="108" t="s">
        <v>402</v>
      </c>
      <c r="I2507" s="111" t="s">
        <v>402</v>
      </c>
      <c r="J2507" s="111" t="s">
        <v>402</v>
      </c>
      <c r="K2507" s="106" t="s">
        <v>403</v>
      </c>
      <c r="L2507" s="55" t="s">
        <v>404</v>
      </c>
      <c r="M2507" s="55" t="s">
        <v>7634</v>
      </c>
    </row>
    <row r="2508" spans="1:13">
      <c r="A2508" s="408" t="s">
        <v>6283</v>
      </c>
      <c r="B2508" s="106" t="s">
        <v>327</v>
      </c>
      <c r="C2508" s="106" t="s">
        <v>473</v>
      </c>
      <c r="D2508" s="107" t="s">
        <v>6284</v>
      </c>
      <c r="E2508" s="107" t="s">
        <v>6285</v>
      </c>
      <c r="F2508" s="107" t="s">
        <v>6286</v>
      </c>
      <c r="G2508" s="114" t="s">
        <v>355</v>
      </c>
      <c r="H2508" s="108" t="s">
        <v>402</v>
      </c>
      <c r="I2508" s="111" t="s">
        <v>402</v>
      </c>
      <c r="J2508" s="111" t="s">
        <v>402</v>
      </c>
      <c r="K2508" s="106" t="s">
        <v>403</v>
      </c>
      <c r="L2508" s="55" t="s">
        <v>404</v>
      </c>
      <c r="M2508" s="55" t="s">
        <v>7634</v>
      </c>
    </row>
    <row r="2509" spans="1:13">
      <c r="A2509" s="408" t="s">
        <v>6287</v>
      </c>
      <c r="B2509" s="106" t="s">
        <v>327</v>
      </c>
      <c r="C2509" s="106" t="s">
        <v>473</v>
      </c>
      <c r="D2509" s="107" t="s">
        <v>6288</v>
      </c>
      <c r="E2509" s="109" t="s">
        <v>355</v>
      </c>
      <c r="F2509" s="109" t="s">
        <v>355</v>
      </c>
      <c r="G2509" s="55" t="s">
        <v>355</v>
      </c>
      <c r="H2509" s="108" t="s">
        <v>402</v>
      </c>
      <c r="I2509" s="111" t="s">
        <v>402</v>
      </c>
      <c r="J2509" s="111" t="s">
        <v>402</v>
      </c>
      <c r="K2509" s="106" t="s">
        <v>403</v>
      </c>
      <c r="L2509" s="55" t="s">
        <v>404</v>
      </c>
      <c r="M2509" s="55" t="s">
        <v>7634</v>
      </c>
    </row>
    <row r="2510" spans="1:13">
      <c r="A2510" s="408" t="s">
        <v>6289</v>
      </c>
      <c r="B2510" s="106" t="s">
        <v>327</v>
      </c>
      <c r="C2510" s="106" t="s">
        <v>473</v>
      </c>
      <c r="D2510" s="107" t="s">
        <v>6288</v>
      </c>
      <c r="E2510" s="109" t="s">
        <v>355</v>
      </c>
      <c r="F2510" s="109" t="s">
        <v>355</v>
      </c>
      <c r="G2510" s="55" t="s">
        <v>355</v>
      </c>
      <c r="H2510" s="108" t="s">
        <v>402</v>
      </c>
      <c r="I2510" s="111" t="s">
        <v>402</v>
      </c>
      <c r="J2510" s="111" t="s">
        <v>402</v>
      </c>
      <c r="K2510" s="106" t="s">
        <v>403</v>
      </c>
      <c r="L2510" s="55" t="s">
        <v>404</v>
      </c>
      <c r="M2510" s="55" t="s">
        <v>7634</v>
      </c>
    </row>
    <row r="2511" spans="1:13">
      <c r="A2511" s="408" t="s">
        <v>6290</v>
      </c>
      <c r="B2511" s="106" t="s">
        <v>327</v>
      </c>
      <c r="C2511" s="106" t="s">
        <v>473</v>
      </c>
      <c r="D2511" s="107" t="s">
        <v>6291</v>
      </c>
      <c r="E2511" s="109" t="s">
        <v>355</v>
      </c>
      <c r="F2511" s="109" t="s">
        <v>355</v>
      </c>
      <c r="G2511" s="55" t="s">
        <v>355</v>
      </c>
      <c r="H2511" s="108" t="s">
        <v>402</v>
      </c>
      <c r="I2511" s="111" t="s">
        <v>402</v>
      </c>
      <c r="J2511" s="111" t="s">
        <v>402</v>
      </c>
      <c r="K2511" s="106" t="s">
        <v>403</v>
      </c>
      <c r="L2511" s="55" t="s">
        <v>404</v>
      </c>
      <c r="M2511" s="55" t="s">
        <v>7634</v>
      </c>
    </row>
    <row r="2512" spans="1:13">
      <c r="A2512" s="408" t="s">
        <v>6292</v>
      </c>
      <c r="B2512" s="106" t="s">
        <v>327</v>
      </c>
      <c r="C2512" s="106" t="s">
        <v>473</v>
      </c>
      <c r="D2512" s="107" t="s">
        <v>6293</v>
      </c>
      <c r="E2512" s="109" t="s">
        <v>355</v>
      </c>
      <c r="F2512" s="109" t="s">
        <v>355</v>
      </c>
      <c r="G2512" s="55" t="s">
        <v>355</v>
      </c>
      <c r="H2512" s="108" t="s">
        <v>402</v>
      </c>
      <c r="I2512" s="111" t="s">
        <v>402</v>
      </c>
      <c r="J2512" s="111" t="s">
        <v>402</v>
      </c>
      <c r="K2512" s="106" t="s">
        <v>403</v>
      </c>
      <c r="L2512" s="55" t="s">
        <v>404</v>
      </c>
      <c r="M2512" s="55" t="s">
        <v>7634</v>
      </c>
    </row>
    <row r="2513" spans="1:13">
      <c r="A2513" s="408" t="s">
        <v>6294</v>
      </c>
      <c r="B2513" s="106" t="s">
        <v>327</v>
      </c>
      <c r="C2513" s="106" t="s">
        <v>473</v>
      </c>
      <c r="D2513" s="107" t="s">
        <v>6295</v>
      </c>
      <c r="E2513" s="109" t="s">
        <v>355</v>
      </c>
      <c r="F2513" s="109" t="s">
        <v>355</v>
      </c>
      <c r="G2513" s="55" t="s">
        <v>355</v>
      </c>
      <c r="H2513" s="108" t="s">
        <v>402</v>
      </c>
      <c r="I2513" s="111" t="s">
        <v>402</v>
      </c>
      <c r="J2513" s="111" t="s">
        <v>402</v>
      </c>
      <c r="K2513" s="106" t="s">
        <v>403</v>
      </c>
      <c r="L2513" s="55" t="s">
        <v>404</v>
      </c>
      <c r="M2513" s="55" t="s">
        <v>7634</v>
      </c>
    </row>
    <row r="2514" spans="1:13">
      <c r="A2514" s="408" t="s">
        <v>6296</v>
      </c>
      <c r="B2514" s="106" t="s">
        <v>327</v>
      </c>
      <c r="C2514" s="106" t="s">
        <v>473</v>
      </c>
      <c r="D2514" s="107" t="s">
        <v>6297</v>
      </c>
      <c r="E2514" s="109" t="s">
        <v>355</v>
      </c>
      <c r="F2514" s="109" t="s">
        <v>355</v>
      </c>
      <c r="G2514" s="55" t="s">
        <v>355</v>
      </c>
      <c r="H2514" s="108" t="s">
        <v>402</v>
      </c>
      <c r="I2514" s="111" t="s">
        <v>402</v>
      </c>
      <c r="J2514" s="111" t="s">
        <v>402</v>
      </c>
      <c r="K2514" s="106" t="s">
        <v>403</v>
      </c>
      <c r="L2514" s="55" t="s">
        <v>404</v>
      </c>
      <c r="M2514" s="55" t="s">
        <v>7634</v>
      </c>
    </row>
    <row r="2515" spans="1:13">
      <c r="A2515" s="408" t="s">
        <v>6298</v>
      </c>
      <c r="B2515" s="106" t="s">
        <v>327</v>
      </c>
      <c r="C2515" s="106" t="s">
        <v>473</v>
      </c>
      <c r="D2515" s="107" t="s">
        <v>6297</v>
      </c>
      <c r="E2515" s="109" t="s">
        <v>355</v>
      </c>
      <c r="F2515" s="109" t="s">
        <v>355</v>
      </c>
      <c r="G2515" s="55" t="s">
        <v>355</v>
      </c>
      <c r="H2515" s="108" t="s">
        <v>402</v>
      </c>
      <c r="I2515" s="111" t="s">
        <v>402</v>
      </c>
      <c r="J2515" s="111" t="s">
        <v>402</v>
      </c>
      <c r="K2515" s="106" t="s">
        <v>403</v>
      </c>
      <c r="L2515" s="55" t="s">
        <v>404</v>
      </c>
      <c r="M2515" s="55" t="s">
        <v>7634</v>
      </c>
    </row>
    <row r="2516" spans="1:13">
      <c r="A2516" s="401" t="s">
        <v>6299</v>
      </c>
      <c r="B2516" s="106" t="s">
        <v>327</v>
      </c>
      <c r="C2516" s="106" t="s">
        <v>473</v>
      </c>
      <c r="D2516" s="109" t="s">
        <v>383</v>
      </c>
      <c r="E2516" s="109" t="s">
        <v>383</v>
      </c>
      <c r="F2516" s="109" t="s">
        <v>383</v>
      </c>
      <c r="G2516" s="59" t="s">
        <v>383</v>
      </c>
      <c r="H2516" s="115" t="s">
        <v>402</v>
      </c>
      <c r="I2516" s="111" t="s">
        <v>402</v>
      </c>
      <c r="J2516" s="111" t="s">
        <v>402</v>
      </c>
      <c r="K2516" s="106" t="s">
        <v>403</v>
      </c>
      <c r="L2516" s="55" t="s">
        <v>404</v>
      </c>
      <c r="M2516" s="55" t="s">
        <v>6300</v>
      </c>
    </row>
    <row r="2517" spans="1:13">
      <c r="A2517" s="401" t="s">
        <v>6301</v>
      </c>
      <c r="B2517" s="106" t="s">
        <v>327</v>
      </c>
      <c r="C2517" s="106" t="s">
        <v>473</v>
      </c>
      <c r="D2517" s="107" t="s">
        <v>6302</v>
      </c>
      <c r="E2517" s="107" t="s">
        <v>6303</v>
      </c>
      <c r="F2517" s="107" t="s">
        <v>6304</v>
      </c>
      <c r="G2517" s="589" t="s">
        <v>6305</v>
      </c>
      <c r="H2517" s="54" t="s">
        <v>358</v>
      </c>
      <c r="I2517" s="583" t="s">
        <v>359</v>
      </c>
      <c r="J2517" s="582" t="s">
        <v>359</v>
      </c>
      <c r="K2517" s="584" t="s">
        <v>360</v>
      </c>
      <c r="L2517" s="54" t="s">
        <v>361</v>
      </c>
      <c r="M2517" s="55" t="s">
        <v>7634</v>
      </c>
    </row>
    <row r="2518" spans="1:13">
      <c r="A2518" s="401" t="s">
        <v>6306</v>
      </c>
      <c r="B2518" s="106" t="s">
        <v>327</v>
      </c>
      <c r="C2518" s="106" t="s">
        <v>473</v>
      </c>
      <c r="D2518" s="109"/>
      <c r="E2518" s="109" t="s">
        <v>355</v>
      </c>
      <c r="F2518" s="109" t="s">
        <v>355</v>
      </c>
      <c r="G2518" s="55" t="s">
        <v>355</v>
      </c>
      <c r="H2518" s="115" t="s">
        <v>402</v>
      </c>
      <c r="I2518" s="111" t="s">
        <v>402</v>
      </c>
      <c r="J2518" s="111" t="s">
        <v>402</v>
      </c>
      <c r="K2518" s="106" t="s">
        <v>403</v>
      </c>
      <c r="L2518" s="55" t="s">
        <v>404</v>
      </c>
      <c r="M2518" s="55" t="s">
        <v>7634</v>
      </c>
    </row>
    <row r="2519" spans="1:13">
      <c r="A2519" s="401" t="s">
        <v>6307</v>
      </c>
      <c r="B2519" s="106" t="s">
        <v>613</v>
      </c>
      <c r="C2519" s="106" t="s">
        <v>473</v>
      </c>
      <c r="D2519" s="107" t="s">
        <v>6308</v>
      </c>
      <c r="E2519" s="107" t="s">
        <v>8114</v>
      </c>
      <c r="F2519" s="107" t="s">
        <v>8115</v>
      </c>
      <c r="G2519" s="600" t="s">
        <v>8116</v>
      </c>
      <c r="H2519" s="115" t="s">
        <v>402</v>
      </c>
      <c r="I2519" s="111" t="s">
        <v>402</v>
      </c>
      <c r="J2519" s="111" t="s">
        <v>402</v>
      </c>
      <c r="K2519" s="106" t="s">
        <v>403</v>
      </c>
      <c r="L2519" s="55" t="s">
        <v>404</v>
      </c>
      <c r="M2519" s="55" t="s">
        <v>355</v>
      </c>
    </row>
    <row r="2520" spans="1:13">
      <c r="A2520" s="408" t="s">
        <v>6309</v>
      </c>
      <c r="B2520" s="106" t="s">
        <v>327</v>
      </c>
      <c r="C2520" s="106" t="s">
        <v>473</v>
      </c>
      <c r="D2520" s="107" t="s">
        <v>6310</v>
      </c>
      <c r="E2520" s="109" t="s">
        <v>355</v>
      </c>
      <c r="F2520" s="109" t="s">
        <v>355</v>
      </c>
      <c r="G2520" s="55" t="s">
        <v>355</v>
      </c>
      <c r="H2520" s="108" t="s">
        <v>402</v>
      </c>
      <c r="I2520" s="111" t="s">
        <v>402</v>
      </c>
      <c r="J2520" s="111" t="s">
        <v>402</v>
      </c>
      <c r="K2520" s="106" t="s">
        <v>403</v>
      </c>
      <c r="L2520" s="55" t="s">
        <v>404</v>
      </c>
      <c r="M2520" s="55" t="s">
        <v>7634</v>
      </c>
    </row>
    <row r="2521" spans="1:13">
      <c r="A2521" s="578" t="s">
        <v>6311</v>
      </c>
      <c r="B2521" s="586" t="s">
        <v>373</v>
      </c>
      <c r="C2521" s="586" t="s">
        <v>473</v>
      </c>
      <c r="D2521" s="586" t="s">
        <v>6312</v>
      </c>
      <c r="E2521" s="586" t="s">
        <v>6313</v>
      </c>
      <c r="F2521" s="586" t="s">
        <v>6314</v>
      </c>
      <c r="G2521" s="586"/>
      <c r="H2521" s="586" t="s">
        <v>359</v>
      </c>
      <c r="I2521" s="587" t="s">
        <v>359</v>
      </c>
      <c r="J2521" s="586"/>
      <c r="K2521" s="586"/>
      <c r="L2521" s="586" t="s">
        <v>361</v>
      </c>
      <c r="M2521" s="55" t="s">
        <v>7634</v>
      </c>
    </row>
    <row r="2522" spans="1:13">
      <c r="A2522" s="408" t="s">
        <v>6315</v>
      </c>
      <c r="B2522" s="106" t="s">
        <v>327</v>
      </c>
      <c r="C2522" s="106" t="s">
        <v>473</v>
      </c>
      <c r="D2522" s="107" t="s">
        <v>6316</v>
      </c>
      <c r="E2522" s="109" t="s">
        <v>355</v>
      </c>
      <c r="F2522" s="109" t="s">
        <v>355</v>
      </c>
      <c r="G2522" s="55" t="s">
        <v>355</v>
      </c>
      <c r="H2522" s="108" t="s">
        <v>402</v>
      </c>
      <c r="I2522" s="111" t="s">
        <v>402</v>
      </c>
      <c r="J2522" s="111" t="s">
        <v>402</v>
      </c>
      <c r="K2522" s="106" t="s">
        <v>403</v>
      </c>
      <c r="L2522" s="55" t="s">
        <v>404</v>
      </c>
      <c r="M2522" s="55" t="s">
        <v>7634</v>
      </c>
    </row>
    <row r="2523" spans="1:13">
      <c r="A2523" s="408" t="s">
        <v>6317</v>
      </c>
      <c r="B2523" s="106" t="s">
        <v>327</v>
      </c>
      <c r="C2523" s="106" t="s">
        <v>473</v>
      </c>
      <c r="D2523" s="107" t="s">
        <v>6318</v>
      </c>
      <c r="E2523" s="109" t="s">
        <v>355</v>
      </c>
      <c r="F2523" s="109" t="s">
        <v>355</v>
      </c>
      <c r="G2523" s="55" t="s">
        <v>355</v>
      </c>
      <c r="H2523" s="108" t="s">
        <v>402</v>
      </c>
      <c r="I2523" s="111" t="s">
        <v>402</v>
      </c>
      <c r="J2523" s="111" t="s">
        <v>402</v>
      </c>
      <c r="K2523" s="106" t="s">
        <v>403</v>
      </c>
      <c r="L2523" s="55" t="s">
        <v>404</v>
      </c>
      <c r="M2523" s="55" t="s">
        <v>7634</v>
      </c>
    </row>
    <row r="2524" spans="1:13">
      <c r="A2524" s="401" t="s">
        <v>8620</v>
      </c>
      <c r="B2524" s="106" t="s">
        <v>327</v>
      </c>
      <c r="C2524" s="132" t="s">
        <v>327</v>
      </c>
      <c r="D2524" s="133" t="s">
        <v>8621</v>
      </c>
      <c r="E2524" s="133" t="s">
        <v>8622</v>
      </c>
      <c r="F2524" s="133" t="s">
        <v>8623</v>
      </c>
      <c r="G2524" s="601" t="s">
        <v>8624</v>
      </c>
      <c r="H2524" s="108" t="s">
        <v>402</v>
      </c>
      <c r="I2524" s="111" t="s">
        <v>402</v>
      </c>
      <c r="J2524" s="111" t="s">
        <v>402</v>
      </c>
      <c r="K2524" s="106" t="s">
        <v>403</v>
      </c>
      <c r="L2524" s="55" t="s">
        <v>404</v>
      </c>
      <c r="M2524" s="55" t="s">
        <v>383</v>
      </c>
    </row>
    <row r="2525" spans="1:13">
      <c r="A2525" s="401" t="s">
        <v>8736</v>
      </c>
      <c r="B2525" s="106" t="s">
        <v>327</v>
      </c>
      <c r="C2525" s="106" t="s">
        <v>473</v>
      </c>
      <c r="D2525" s="133" t="s">
        <v>8737</v>
      </c>
      <c r="E2525" s="133" t="s">
        <v>8738</v>
      </c>
      <c r="F2525" s="133" t="s">
        <v>8739</v>
      </c>
      <c r="G2525" s="601" t="s">
        <v>8740</v>
      </c>
      <c r="H2525" s="108" t="s">
        <v>402</v>
      </c>
      <c r="I2525" s="111" t="s">
        <v>402</v>
      </c>
      <c r="J2525" s="111" t="s">
        <v>402</v>
      </c>
      <c r="K2525" s="106" t="s">
        <v>403</v>
      </c>
      <c r="L2525" s="55" t="s">
        <v>404</v>
      </c>
      <c r="M2525" s="55" t="s">
        <v>383</v>
      </c>
    </row>
    <row r="2526" spans="1:13">
      <c r="A2526" s="408" t="s">
        <v>6319</v>
      </c>
      <c r="B2526" s="106" t="s">
        <v>327</v>
      </c>
      <c r="C2526" s="106" t="s">
        <v>473</v>
      </c>
      <c r="D2526" s="107" t="s">
        <v>6320</v>
      </c>
      <c r="E2526" s="109" t="s">
        <v>355</v>
      </c>
      <c r="F2526" s="109" t="s">
        <v>355</v>
      </c>
      <c r="G2526" s="55" t="s">
        <v>355</v>
      </c>
      <c r="H2526" s="108" t="s">
        <v>402</v>
      </c>
      <c r="I2526" s="111" t="s">
        <v>402</v>
      </c>
      <c r="J2526" s="111" t="s">
        <v>402</v>
      </c>
      <c r="K2526" s="106" t="s">
        <v>403</v>
      </c>
      <c r="L2526" s="55" t="s">
        <v>404</v>
      </c>
      <c r="M2526" s="55" t="s">
        <v>7634</v>
      </c>
    </row>
    <row r="2527" spans="1:13">
      <c r="A2527" s="408" t="s">
        <v>6321</v>
      </c>
      <c r="B2527" s="106" t="s">
        <v>327</v>
      </c>
      <c r="C2527" s="106" t="s">
        <v>473</v>
      </c>
      <c r="D2527" s="107" t="s">
        <v>6322</v>
      </c>
      <c r="E2527" s="109" t="s">
        <v>355</v>
      </c>
      <c r="F2527" s="109" t="s">
        <v>355</v>
      </c>
      <c r="G2527" s="55" t="s">
        <v>355</v>
      </c>
      <c r="H2527" s="108" t="s">
        <v>402</v>
      </c>
      <c r="I2527" s="111" t="s">
        <v>402</v>
      </c>
      <c r="J2527" s="111" t="s">
        <v>402</v>
      </c>
      <c r="K2527" s="106" t="s">
        <v>403</v>
      </c>
      <c r="L2527" s="55" t="s">
        <v>404</v>
      </c>
      <c r="M2527" s="55" t="s">
        <v>7634</v>
      </c>
    </row>
    <row r="2528" spans="1:13">
      <c r="A2528" s="408" t="s">
        <v>6323</v>
      </c>
      <c r="B2528" s="106" t="s">
        <v>327</v>
      </c>
      <c r="C2528" s="106" t="s">
        <v>473</v>
      </c>
      <c r="D2528" s="107" t="s">
        <v>6324</v>
      </c>
      <c r="E2528" s="109" t="s">
        <v>355</v>
      </c>
      <c r="F2528" s="109" t="s">
        <v>355</v>
      </c>
      <c r="G2528" s="55" t="s">
        <v>355</v>
      </c>
      <c r="H2528" s="108" t="s">
        <v>402</v>
      </c>
      <c r="I2528" s="111" t="s">
        <v>402</v>
      </c>
      <c r="J2528" s="111" t="s">
        <v>402</v>
      </c>
      <c r="K2528" s="106" t="s">
        <v>403</v>
      </c>
      <c r="L2528" s="55" t="s">
        <v>404</v>
      </c>
      <c r="M2528" s="55" t="s">
        <v>7634</v>
      </c>
    </row>
    <row r="2529" spans="1:13">
      <c r="A2529" s="401" t="s">
        <v>6325</v>
      </c>
      <c r="B2529" s="109" t="s">
        <v>327</v>
      </c>
      <c r="C2529" s="109" t="s">
        <v>473</v>
      </c>
      <c r="D2529" s="109" t="s">
        <v>6326</v>
      </c>
      <c r="E2529" s="109" t="s">
        <v>6327</v>
      </c>
      <c r="F2529" s="109" t="s">
        <v>6328</v>
      </c>
      <c r="G2529" s="112" t="s">
        <v>6329</v>
      </c>
      <c r="H2529" s="115" t="s">
        <v>402</v>
      </c>
      <c r="I2529" s="111" t="s">
        <v>402</v>
      </c>
      <c r="J2529" s="111" t="s">
        <v>402</v>
      </c>
      <c r="K2529" s="106" t="s">
        <v>403</v>
      </c>
      <c r="L2529" s="55" t="s">
        <v>404</v>
      </c>
      <c r="M2529" s="55" t="s">
        <v>7634</v>
      </c>
    </row>
    <row r="2530" spans="1:13">
      <c r="A2530" s="405" t="s">
        <v>7584</v>
      </c>
      <c r="B2530" s="106" t="s">
        <v>327</v>
      </c>
      <c r="C2530" s="132" t="s">
        <v>473</v>
      </c>
      <c r="D2530" s="133" t="s">
        <v>7960</v>
      </c>
      <c r="E2530" s="133" t="s">
        <v>7962</v>
      </c>
      <c r="F2530" s="133" t="s">
        <v>7961</v>
      </c>
      <c r="G2530" s="108" t="s">
        <v>7952</v>
      </c>
      <c r="H2530" s="115" t="s">
        <v>402</v>
      </c>
      <c r="I2530" s="111" t="s">
        <v>402</v>
      </c>
      <c r="J2530" s="111" t="s">
        <v>402</v>
      </c>
      <c r="K2530" s="106" t="s">
        <v>403</v>
      </c>
      <c r="L2530" s="55" t="s">
        <v>404</v>
      </c>
      <c r="M2530" s="55" t="s">
        <v>383</v>
      </c>
    </row>
    <row r="2531" spans="1:13">
      <c r="A2531" s="579" t="s">
        <v>194</v>
      </c>
      <c r="B2531" s="586" t="s">
        <v>473</v>
      </c>
      <c r="C2531" s="586" t="s">
        <v>473</v>
      </c>
      <c r="D2531" s="586" t="s">
        <v>5165</v>
      </c>
      <c r="E2531" s="586" t="s">
        <v>8046</v>
      </c>
      <c r="F2531" s="586" t="s">
        <v>8047</v>
      </c>
      <c r="G2531" s="588" t="s">
        <v>8048</v>
      </c>
      <c r="H2531" s="586" t="s">
        <v>359</v>
      </c>
      <c r="I2531" s="587" t="s">
        <v>359</v>
      </c>
      <c r="J2531" s="586"/>
      <c r="K2531" s="586" t="s">
        <v>360</v>
      </c>
      <c r="L2531" s="586" t="s">
        <v>361</v>
      </c>
      <c r="M2531" s="55" t="s">
        <v>7634</v>
      </c>
    </row>
    <row r="2532" spans="1:13">
      <c r="A2532" s="405" t="s">
        <v>246</v>
      </c>
      <c r="B2532" s="106" t="s">
        <v>327</v>
      </c>
      <c r="C2532" s="132" t="s">
        <v>473</v>
      </c>
      <c r="D2532" s="133" t="s">
        <v>8559</v>
      </c>
      <c r="E2532" s="133" t="s">
        <v>8560</v>
      </c>
      <c r="F2532" s="133" t="s">
        <v>8561</v>
      </c>
      <c r="G2532" s="585" t="s">
        <v>8562</v>
      </c>
      <c r="H2532" s="586" t="s">
        <v>359</v>
      </c>
      <c r="I2532" s="587" t="s">
        <v>359</v>
      </c>
      <c r="J2532" s="586"/>
      <c r="K2532" s="586" t="s">
        <v>360</v>
      </c>
      <c r="L2532" s="586" t="s">
        <v>361</v>
      </c>
      <c r="M2532" s="55" t="s">
        <v>383</v>
      </c>
    </row>
    <row r="2533" spans="1:13">
      <c r="A2533" s="401" t="s">
        <v>8520</v>
      </c>
      <c r="B2533" s="106" t="s">
        <v>327</v>
      </c>
      <c r="C2533" s="132" t="s">
        <v>8521</v>
      </c>
      <c r="D2533" s="133" t="s">
        <v>8522</v>
      </c>
      <c r="E2533" s="133" t="s">
        <v>8523</v>
      </c>
      <c r="F2533" s="133" t="s">
        <v>8524</v>
      </c>
      <c r="G2533" s="601" t="s">
        <v>8525</v>
      </c>
      <c r="H2533" s="108" t="s">
        <v>402</v>
      </c>
      <c r="I2533" s="111" t="s">
        <v>402</v>
      </c>
      <c r="J2533" s="111" t="s">
        <v>402</v>
      </c>
      <c r="K2533" s="106" t="s">
        <v>403</v>
      </c>
      <c r="L2533" s="55" t="s">
        <v>404</v>
      </c>
      <c r="M2533" s="55" t="s">
        <v>383</v>
      </c>
    </row>
    <row r="2534" spans="1:13">
      <c r="A2534" s="405" t="s">
        <v>247</v>
      </c>
      <c r="B2534" s="106" t="s">
        <v>327</v>
      </c>
      <c r="C2534" s="132" t="s">
        <v>473</v>
      </c>
      <c r="D2534" s="133" t="s">
        <v>8483</v>
      </c>
      <c r="E2534" s="133" t="s">
        <v>8484</v>
      </c>
      <c r="F2534" s="133" t="s">
        <v>8485</v>
      </c>
      <c r="G2534" s="585" t="s">
        <v>8486</v>
      </c>
      <c r="H2534" s="586" t="s">
        <v>359</v>
      </c>
      <c r="I2534" s="587" t="s">
        <v>359</v>
      </c>
      <c r="J2534" s="586"/>
      <c r="K2534" s="586" t="s">
        <v>360</v>
      </c>
      <c r="L2534" s="586" t="s">
        <v>361</v>
      </c>
      <c r="M2534" s="55" t="s">
        <v>383</v>
      </c>
    </row>
    <row r="2535" spans="1:13">
      <c r="A2535" s="401" t="s">
        <v>8263</v>
      </c>
      <c r="B2535" s="106" t="s">
        <v>327</v>
      </c>
      <c r="C2535" s="132" t="s">
        <v>327</v>
      </c>
      <c r="D2535" s="133" t="s">
        <v>8150</v>
      </c>
      <c r="E2535" s="133" t="s">
        <v>8151</v>
      </c>
      <c r="F2535" s="133" t="s">
        <v>8152</v>
      </c>
      <c r="G2535" s="108" t="s">
        <v>8153</v>
      </c>
      <c r="H2535" s="108" t="s">
        <v>402</v>
      </c>
      <c r="I2535" s="111" t="s">
        <v>402</v>
      </c>
      <c r="J2535" s="111" t="s">
        <v>402</v>
      </c>
      <c r="K2535" s="106" t="s">
        <v>403</v>
      </c>
      <c r="L2535" s="55" t="s">
        <v>404</v>
      </c>
      <c r="M2535" s="55" t="s">
        <v>383</v>
      </c>
    </row>
    <row r="2536" spans="1:13">
      <c r="A2536" s="510" t="s">
        <v>139</v>
      </c>
      <c r="B2536" s="106" t="s">
        <v>327</v>
      </c>
      <c r="C2536" s="106" t="s">
        <v>473</v>
      </c>
      <c r="D2536" s="107" t="s">
        <v>7005</v>
      </c>
      <c r="E2536" s="107" t="s">
        <v>7006</v>
      </c>
      <c r="F2536" s="107" t="s">
        <v>7007</v>
      </c>
      <c r="G2536" s="108" t="s">
        <v>7008</v>
      </c>
      <c r="H2536" s="108" t="s">
        <v>402</v>
      </c>
      <c r="I2536" s="111" t="s">
        <v>402</v>
      </c>
      <c r="J2536" s="111" t="s">
        <v>402</v>
      </c>
      <c r="K2536" s="106" t="s">
        <v>403</v>
      </c>
      <c r="L2536" s="55" t="s">
        <v>404</v>
      </c>
      <c r="M2536" s="55" t="s">
        <v>7634</v>
      </c>
    </row>
    <row r="2537" spans="1:13">
      <c r="A2537" s="510" t="s">
        <v>234</v>
      </c>
      <c r="B2537" s="586" t="s">
        <v>473</v>
      </c>
      <c r="C2537" s="586" t="s">
        <v>473</v>
      </c>
      <c r="D2537" s="586" t="s">
        <v>5769</v>
      </c>
      <c r="E2537" s="586" t="s">
        <v>5770</v>
      </c>
      <c r="F2537" s="586" t="s">
        <v>5771</v>
      </c>
      <c r="G2537" s="586"/>
      <c r="H2537" s="586" t="s">
        <v>359</v>
      </c>
      <c r="I2537" s="587" t="s">
        <v>359</v>
      </c>
      <c r="J2537" s="586"/>
      <c r="K2537" s="586" t="s">
        <v>392</v>
      </c>
      <c r="L2537" s="586" t="s">
        <v>361</v>
      </c>
      <c r="M2537" s="55" t="s">
        <v>7634</v>
      </c>
    </row>
    <row r="2538" spans="1:13">
      <c r="A2538" s="405" t="s">
        <v>234</v>
      </c>
      <c r="B2538" s="106" t="s">
        <v>327</v>
      </c>
      <c r="C2538" s="132" t="s">
        <v>473</v>
      </c>
      <c r="D2538" s="133"/>
      <c r="E2538" s="133"/>
      <c r="F2538" s="133"/>
      <c r="H2538" s="55"/>
      <c r="I2538" s="111"/>
      <c r="J2538" s="111"/>
      <c r="K2538" s="108"/>
      <c r="L2538" s="55"/>
      <c r="M2538" s="55" t="s">
        <v>7634</v>
      </c>
    </row>
    <row r="2539" spans="1:13">
      <c r="A2539" s="401" t="s">
        <v>7578</v>
      </c>
      <c r="B2539" s="106" t="s">
        <v>327</v>
      </c>
      <c r="C2539" s="106" t="s">
        <v>473</v>
      </c>
      <c r="D2539" s="109" t="s">
        <v>6330</v>
      </c>
      <c r="E2539" s="109" t="s">
        <v>9068</v>
      </c>
      <c r="F2539" s="109" t="s">
        <v>9069</v>
      </c>
      <c r="G2539" s="55" t="s">
        <v>383</v>
      </c>
      <c r="H2539" s="115" t="s">
        <v>402</v>
      </c>
      <c r="I2539" s="111" t="s">
        <v>402</v>
      </c>
      <c r="J2539" s="111" t="s">
        <v>402</v>
      </c>
      <c r="K2539" s="106" t="s">
        <v>403</v>
      </c>
      <c r="L2539" s="55" t="s">
        <v>404</v>
      </c>
      <c r="M2539" s="55" t="s">
        <v>383</v>
      </c>
    </row>
    <row r="2540" spans="1:13">
      <c r="A2540" s="405" t="s">
        <v>201</v>
      </c>
      <c r="B2540" s="106" t="s">
        <v>327</v>
      </c>
      <c r="C2540" s="132" t="s">
        <v>473</v>
      </c>
      <c r="D2540" s="133" t="s">
        <v>8025</v>
      </c>
      <c r="E2540" s="133" t="s">
        <v>8026</v>
      </c>
      <c r="F2540" s="133" t="s">
        <v>8027</v>
      </c>
      <c r="G2540" s="585" t="s">
        <v>8028</v>
      </c>
      <c r="H2540" s="115" t="s">
        <v>402</v>
      </c>
      <c r="I2540" s="111" t="s">
        <v>402</v>
      </c>
      <c r="J2540" s="111" t="s">
        <v>402</v>
      </c>
      <c r="K2540" s="106" t="s">
        <v>403</v>
      </c>
      <c r="L2540" s="55" t="s">
        <v>404</v>
      </c>
      <c r="M2540" s="55" t="s">
        <v>8024</v>
      </c>
    </row>
    <row r="2541" spans="1:13">
      <c r="A2541" s="405" t="s">
        <v>248</v>
      </c>
      <c r="B2541" s="106" t="s">
        <v>327</v>
      </c>
      <c r="C2541" s="132" t="s">
        <v>473</v>
      </c>
      <c r="D2541" s="133" t="s">
        <v>8006</v>
      </c>
      <c r="E2541" s="133" t="s">
        <v>8007</v>
      </c>
      <c r="F2541" s="133" t="s">
        <v>8008</v>
      </c>
      <c r="G2541" s="108" t="s">
        <v>8009</v>
      </c>
      <c r="H2541" s="108" t="s">
        <v>402</v>
      </c>
      <c r="I2541" s="111" t="s">
        <v>402</v>
      </c>
      <c r="J2541" s="111" t="s">
        <v>402</v>
      </c>
      <c r="K2541" s="106" t="s">
        <v>403</v>
      </c>
      <c r="L2541" s="55" t="s">
        <v>404</v>
      </c>
      <c r="M2541" s="55" t="s">
        <v>383</v>
      </c>
    </row>
    <row r="2542" spans="1:13">
      <c r="A2542" s="401" t="s">
        <v>7577</v>
      </c>
      <c r="B2542" s="106" t="s">
        <v>327</v>
      </c>
      <c r="C2542" s="106" t="s">
        <v>473</v>
      </c>
      <c r="D2542" s="109" t="s">
        <v>6684</v>
      </c>
      <c r="E2542" s="109" t="s">
        <v>6685</v>
      </c>
      <c r="F2542" s="109" t="s">
        <v>6686</v>
      </c>
      <c r="G2542" s="112" t="s">
        <v>6687</v>
      </c>
      <c r="H2542" s="115" t="s">
        <v>402</v>
      </c>
      <c r="I2542" s="111" t="s">
        <v>402</v>
      </c>
      <c r="J2542" s="111" t="s">
        <v>402</v>
      </c>
      <c r="K2542" s="106" t="s">
        <v>657</v>
      </c>
      <c r="L2542" s="55" t="s">
        <v>5188</v>
      </c>
      <c r="M2542" s="55" t="s">
        <v>383</v>
      </c>
    </row>
    <row r="2543" spans="1:13">
      <c r="A2543" s="405" t="s">
        <v>141</v>
      </c>
      <c r="B2543" s="106" t="s">
        <v>327</v>
      </c>
      <c r="C2543" s="132" t="s">
        <v>473</v>
      </c>
      <c r="D2543" s="133"/>
      <c r="E2543" s="133"/>
      <c r="F2543" s="133"/>
      <c r="H2543" s="55"/>
      <c r="I2543" s="111"/>
      <c r="J2543" s="111"/>
      <c r="K2543" s="108"/>
      <c r="L2543" s="55"/>
      <c r="M2543" s="55" t="s">
        <v>7634</v>
      </c>
    </row>
    <row r="2544" spans="1:13">
      <c r="A2544" s="401" t="s">
        <v>7014</v>
      </c>
      <c r="B2544" s="106" t="s">
        <v>327</v>
      </c>
      <c r="C2544" s="106" t="s">
        <v>473</v>
      </c>
      <c r="D2544" s="107" t="s">
        <v>7015</v>
      </c>
      <c r="E2544" s="107" t="s">
        <v>7016</v>
      </c>
      <c r="F2544" s="107" t="s">
        <v>7017</v>
      </c>
      <c r="G2544" s="589" t="s">
        <v>7018</v>
      </c>
      <c r="H2544" s="108" t="s">
        <v>402</v>
      </c>
      <c r="I2544" s="111" t="s">
        <v>402</v>
      </c>
      <c r="J2544" s="111" t="s">
        <v>402</v>
      </c>
      <c r="K2544" s="106" t="s">
        <v>403</v>
      </c>
      <c r="L2544" s="55" t="s">
        <v>404</v>
      </c>
      <c r="M2544" s="55" t="s">
        <v>7634</v>
      </c>
    </row>
    <row r="2545" spans="1:13">
      <c r="A2545" s="401" t="s">
        <v>8729</v>
      </c>
      <c r="B2545" s="106" t="s">
        <v>327</v>
      </c>
      <c r="C2545" s="106" t="s">
        <v>473</v>
      </c>
      <c r="D2545" s="133" t="s">
        <v>8730</v>
      </c>
      <c r="E2545" s="133" t="s">
        <v>8731</v>
      </c>
      <c r="F2545" s="133" t="s">
        <v>8732</v>
      </c>
      <c r="G2545" s="108" t="s">
        <v>8727</v>
      </c>
      <c r="H2545" s="108" t="s">
        <v>402</v>
      </c>
      <c r="I2545" s="111" t="s">
        <v>402</v>
      </c>
      <c r="J2545" s="111" t="s">
        <v>402</v>
      </c>
      <c r="K2545" s="106" t="s">
        <v>403</v>
      </c>
      <c r="L2545" s="55" t="s">
        <v>404</v>
      </c>
      <c r="M2545" s="55" t="s">
        <v>383</v>
      </c>
    </row>
    <row r="2546" spans="1:13">
      <c r="A2546" s="401" t="s">
        <v>6331</v>
      </c>
      <c r="B2546" s="106" t="s">
        <v>613</v>
      </c>
      <c r="C2546" s="106" t="s">
        <v>473</v>
      </c>
      <c r="D2546" s="107" t="s">
        <v>6332</v>
      </c>
      <c r="E2546" s="107" t="s">
        <v>6333</v>
      </c>
      <c r="F2546" s="107" t="s">
        <v>6334</v>
      </c>
      <c r="G2546" s="590" t="s">
        <v>6335</v>
      </c>
      <c r="H2546" s="115" t="s">
        <v>402</v>
      </c>
      <c r="I2546" s="111" t="s">
        <v>402</v>
      </c>
      <c r="J2546" s="111" t="s">
        <v>402</v>
      </c>
      <c r="K2546" s="106" t="s">
        <v>403</v>
      </c>
      <c r="L2546" s="55" t="s">
        <v>404</v>
      </c>
      <c r="M2546" s="55" t="s">
        <v>355</v>
      </c>
    </row>
    <row r="2547" spans="1:13">
      <c r="A2547" s="405" t="s">
        <v>9007</v>
      </c>
      <c r="B2547" s="522" t="s">
        <v>327</v>
      </c>
      <c r="C2547" s="106" t="s">
        <v>473</v>
      </c>
      <c r="D2547" s="133" t="s">
        <v>9008</v>
      </c>
      <c r="E2547" s="133" t="s">
        <v>9009</v>
      </c>
      <c r="F2547" s="133" t="s">
        <v>9010</v>
      </c>
      <c r="G2547" s="486" t="s">
        <v>9011</v>
      </c>
      <c r="H2547" s="115" t="s">
        <v>402</v>
      </c>
      <c r="I2547" s="111" t="s">
        <v>402</v>
      </c>
      <c r="J2547" s="111" t="s">
        <v>402</v>
      </c>
      <c r="K2547" s="115" t="s">
        <v>403</v>
      </c>
      <c r="L2547" s="55" t="s">
        <v>404</v>
      </c>
      <c r="M2547" s="55" t="s">
        <v>383</v>
      </c>
    </row>
    <row r="2548" spans="1:13">
      <c r="A2548" s="401" t="s">
        <v>7019</v>
      </c>
      <c r="B2548" s="106" t="s">
        <v>327</v>
      </c>
      <c r="C2548" s="106" t="s">
        <v>473</v>
      </c>
      <c r="D2548" s="107" t="s">
        <v>7020</v>
      </c>
      <c r="E2548" s="107" t="s">
        <v>7021</v>
      </c>
      <c r="F2548" s="107" t="s">
        <v>7022</v>
      </c>
      <c r="G2548" s="589" t="s">
        <v>7023</v>
      </c>
      <c r="H2548" s="108" t="s">
        <v>402</v>
      </c>
      <c r="I2548" s="111" t="s">
        <v>402</v>
      </c>
      <c r="J2548" s="111" t="s">
        <v>402</v>
      </c>
      <c r="K2548" s="106" t="s">
        <v>403</v>
      </c>
      <c r="L2548" s="55" t="s">
        <v>404</v>
      </c>
      <c r="M2548" s="55" t="s">
        <v>7634</v>
      </c>
    </row>
    <row r="2549" spans="1:13">
      <c r="A2549" s="401" t="s">
        <v>6336</v>
      </c>
      <c r="B2549" s="106" t="s">
        <v>327</v>
      </c>
      <c r="C2549" s="106" t="s">
        <v>473</v>
      </c>
      <c r="D2549" s="109"/>
      <c r="E2549" s="109" t="s">
        <v>355</v>
      </c>
      <c r="F2549" s="109" t="s">
        <v>355</v>
      </c>
      <c r="G2549" s="55" t="s">
        <v>355</v>
      </c>
      <c r="H2549" s="115" t="s">
        <v>402</v>
      </c>
      <c r="I2549" s="111" t="s">
        <v>402</v>
      </c>
      <c r="J2549" s="111" t="s">
        <v>402</v>
      </c>
      <c r="K2549" s="106"/>
      <c r="L2549" s="55"/>
      <c r="M2549" s="55" t="s">
        <v>7634</v>
      </c>
    </row>
    <row r="2550" spans="1:13">
      <c r="A2550" s="401" t="s">
        <v>7051</v>
      </c>
      <c r="B2550" s="106" t="s">
        <v>327</v>
      </c>
      <c r="C2550" s="106" t="s">
        <v>473</v>
      </c>
      <c r="D2550" s="107" t="s">
        <v>355</v>
      </c>
      <c r="E2550" s="107" t="s">
        <v>7052</v>
      </c>
      <c r="F2550" s="107" t="s">
        <v>7053</v>
      </c>
      <c r="G2550" s="589" t="s">
        <v>7054</v>
      </c>
      <c r="H2550" s="108" t="s">
        <v>402</v>
      </c>
      <c r="I2550" s="111" t="s">
        <v>402</v>
      </c>
      <c r="J2550" s="111" t="s">
        <v>402</v>
      </c>
      <c r="K2550" s="115" t="s">
        <v>403</v>
      </c>
      <c r="L2550" s="55" t="s">
        <v>404</v>
      </c>
      <c r="M2550" s="55" t="s">
        <v>7634</v>
      </c>
    </row>
    <row r="2551" spans="1:13">
      <c r="A2551" s="408" t="s">
        <v>6337</v>
      </c>
      <c r="B2551" s="106" t="s">
        <v>327</v>
      </c>
      <c r="C2551" s="106" t="s">
        <v>473</v>
      </c>
      <c r="D2551" s="107" t="s">
        <v>6338</v>
      </c>
      <c r="E2551" s="109" t="s">
        <v>355</v>
      </c>
      <c r="F2551" s="109" t="s">
        <v>355</v>
      </c>
      <c r="G2551" s="55" t="s">
        <v>355</v>
      </c>
      <c r="H2551" s="108" t="s">
        <v>402</v>
      </c>
      <c r="I2551" s="111" t="s">
        <v>402</v>
      </c>
      <c r="J2551" s="111" t="s">
        <v>402</v>
      </c>
      <c r="K2551" s="106" t="s">
        <v>403</v>
      </c>
      <c r="L2551" s="55" t="s">
        <v>404</v>
      </c>
      <c r="M2551" s="55" t="s">
        <v>7634</v>
      </c>
    </row>
    <row r="2552" spans="1:13">
      <c r="A2552" s="408" t="s">
        <v>6339</v>
      </c>
      <c r="B2552" s="106" t="s">
        <v>327</v>
      </c>
      <c r="C2552" s="106" t="s">
        <v>473</v>
      </c>
      <c r="D2552" s="107" t="s">
        <v>6340</v>
      </c>
      <c r="E2552" s="109" t="s">
        <v>355</v>
      </c>
      <c r="F2552" s="109" t="s">
        <v>355</v>
      </c>
      <c r="G2552" s="55" t="s">
        <v>355</v>
      </c>
      <c r="H2552" s="108" t="s">
        <v>402</v>
      </c>
      <c r="I2552" s="111" t="s">
        <v>402</v>
      </c>
      <c r="J2552" s="111" t="s">
        <v>402</v>
      </c>
      <c r="K2552" s="106" t="s">
        <v>403</v>
      </c>
      <c r="L2552" s="55" t="s">
        <v>404</v>
      </c>
      <c r="M2552" s="55" t="s">
        <v>7634</v>
      </c>
    </row>
    <row r="2553" spans="1:13">
      <c r="A2553" s="401" t="s">
        <v>8433</v>
      </c>
      <c r="B2553" s="106" t="s">
        <v>327</v>
      </c>
      <c r="C2553" s="132" t="s">
        <v>8434</v>
      </c>
      <c r="D2553" s="133" t="s">
        <v>8435</v>
      </c>
      <c r="E2553" s="133" t="s">
        <v>8436</v>
      </c>
      <c r="F2553" s="133" t="s">
        <v>8437</v>
      </c>
      <c r="G2553" s="601" t="s">
        <v>8438</v>
      </c>
      <c r="H2553" s="108" t="s">
        <v>402</v>
      </c>
      <c r="I2553" s="111" t="s">
        <v>402</v>
      </c>
      <c r="J2553" s="111" t="s">
        <v>402</v>
      </c>
      <c r="K2553" s="106" t="s">
        <v>403</v>
      </c>
      <c r="L2553" s="55" t="s">
        <v>404</v>
      </c>
      <c r="M2553" s="55" t="s">
        <v>383</v>
      </c>
    </row>
    <row r="2554" spans="1:13">
      <c r="A2554" s="401" t="s">
        <v>8949</v>
      </c>
      <c r="B2554" s="106" t="s">
        <v>327</v>
      </c>
      <c r="C2554" s="106" t="s">
        <v>473</v>
      </c>
      <c r="D2554" s="133" t="s">
        <v>8950</v>
      </c>
      <c r="E2554" s="133" t="s">
        <v>8951</v>
      </c>
      <c r="F2554" s="133" t="s">
        <v>8952</v>
      </c>
      <c r="G2554" s="601" t="s">
        <v>8953</v>
      </c>
      <c r="H2554" s="108" t="s">
        <v>402</v>
      </c>
      <c r="I2554" s="111" t="s">
        <v>402</v>
      </c>
      <c r="J2554" s="111" t="s">
        <v>402</v>
      </c>
      <c r="K2554" s="106" t="s">
        <v>403</v>
      </c>
      <c r="L2554" s="55" t="s">
        <v>404</v>
      </c>
      <c r="M2554" s="55" t="s">
        <v>383</v>
      </c>
    </row>
    <row r="2555" spans="1:13">
      <c r="A2555" s="401" t="s">
        <v>7949</v>
      </c>
      <c r="B2555" s="106" t="s">
        <v>327</v>
      </c>
      <c r="C2555" s="132" t="s">
        <v>473</v>
      </c>
      <c r="D2555" s="133" t="s">
        <v>7950</v>
      </c>
      <c r="E2555" s="133" t="s">
        <v>7951</v>
      </c>
      <c r="F2555" s="108" t="s">
        <v>7953</v>
      </c>
      <c r="G2555" s="601" t="s">
        <v>7954</v>
      </c>
      <c r="H2555" s="108" t="s">
        <v>402</v>
      </c>
      <c r="I2555" s="111" t="s">
        <v>402</v>
      </c>
      <c r="J2555" s="111" t="s">
        <v>402</v>
      </c>
      <c r="K2555" s="106" t="s">
        <v>403</v>
      </c>
      <c r="L2555" s="55" t="s">
        <v>5188</v>
      </c>
      <c r="M2555" s="55" t="s">
        <v>383</v>
      </c>
    </row>
    <row r="2556" spans="1:13">
      <c r="A2556" s="408" t="s">
        <v>6341</v>
      </c>
      <c r="B2556" s="106" t="s">
        <v>327</v>
      </c>
      <c r="C2556" s="106" t="s">
        <v>473</v>
      </c>
      <c r="D2556" s="107" t="s">
        <v>6342</v>
      </c>
      <c r="E2556" s="109" t="s">
        <v>355</v>
      </c>
      <c r="F2556" s="109" t="s">
        <v>355</v>
      </c>
      <c r="G2556" s="55" t="s">
        <v>355</v>
      </c>
      <c r="H2556" s="108" t="s">
        <v>402</v>
      </c>
      <c r="I2556" s="111" t="s">
        <v>402</v>
      </c>
      <c r="J2556" s="111" t="s">
        <v>402</v>
      </c>
      <c r="K2556" s="106" t="s">
        <v>403</v>
      </c>
      <c r="L2556" s="55" t="s">
        <v>404</v>
      </c>
      <c r="M2556" s="55" t="s">
        <v>7634</v>
      </c>
    </row>
    <row r="2557" spans="1:13">
      <c r="A2557" s="408" t="s">
        <v>6343</v>
      </c>
      <c r="B2557" s="106" t="s">
        <v>327</v>
      </c>
      <c r="C2557" s="106" t="s">
        <v>473</v>
      </c>
      <c r="D2557" s="107" t="s">
        <v>6344</v>
      </c>
      <c r="E2557" s="109" t="s">
        <v>355</v>
      </c>
      <c r="F2557" s="109" t="s">
        <v>355</v>
      </c>
      <c r="G2557" s="55" t="s">
        <v>355</v>
      </c>
      <c r="H2557" s="108" t="s">
        <v>402</v>
      </c>
      <c r="I2557" s="111" t="s">
        <v>402</v>
      </c>
      <c r="J2557" s="111" t="s">
        <v>402</v>
      </c>
      <c r="K2557" s="106" t="s">
        <v>403</v>
      </c>
      <c r="L2557" s="55" t="s">
        <v>404</v>
      </c>
      <c r="M2557" s="55" t="s">
        <v>7634</v>
      </c>
    </row>
    <row r="2558" spans="1:13">
      <c r="A2558" s="408" t="s">
        <v>6345</v>
      </c>
      <c r="B2558" s="106" t="s">
        <v>327</v>
      </c>
      <c r="C2558" s="106" t="s">
        <v>473</v>
      </c>
      <c r="D2558" s="107" t="s">
        <v>6346</v>
      </c>
      <c r="E2558" s="109" t="s">
        <v>355</v>
      </c>
      <c r="F2558" s="109" t="s">
        <v>355</v>
      </c>
      <c r="G2558" s="55" t="s">
        <v>355</v>
      </c>
      <c r="H2558" s="108" t="s">
        <v>402</v>
      </c>
      <c r="I2558" s="111" t="s">
        <v>402</v>
      </c>
      <c r="J2558" s="111" t="s">
        <v>402</v>
      </c>
      <c r="K2558" s="106" t="s">
        <v>403</v>
      </c>
      <c r="L2558" s="55" t="s">
        <v>404</v>
      </c>
      <c r="M2558" s="55" t="s">
        <v>7634</v>
      </c>
    </row>
    <row r="2559" spans="1:13">
      <c r="A2559" s="408" t="s">
        <v>6347</v>
      </c>
      <c r="B2559" s="106" t="s">
        <v>327</v>
      </c>
      <c r="C2559" s="106" t="s">
        <v>473</v>
      </c>
      <c r="D2559" s="107" t="s">
        <v>6348</v>
      </c>
      <c r="E2559" s="109" t="s">
        <v>355</v>
      </c>
      <c r="F2559" s="109" t="s">
        <v>355</v>
      </c>
      <c r="G2559" s="55" t="s">
        <v>355</v>
      </c>
      <c r="H2559" s="108" t="s">
        <v>402</v>
      </c>
      <c r="I2559" s="111" t="s">
        <v>402</v>
      </c>
      <c r="J2559" s="111" t="s">
        <v>402</v>
      </c>
      <c r="K2559" s="106" t="s">
        <v>403</v>
      </c>
      <c r="L2559" s="55" t="s">
        <v>404</v>
      </c>
      <c r="M2559" s="55" t="s">
        <v>7634</v>
      </c>
    </row>
    <row r="2560" spans="1:13">
      <c r="A2560" s="401" t="s">
        <v>6349</v>
      </c>
      <c r="B2560" s="106" t="s">
        <v>327</v>
      </c>
      <c r="C2560" s="106" t="s">
        <v>473</v>
      </c>
      <c r="D2560" s="109" t="s">
        <v>6350</v>
      </c>
      <c r="E2560" s="109" t="s">
        <v>6351</v>
      </c>
      <c r="F2560" s="109" t="s">
        <v>6352</v>
      </c>
      <c r="G2560" s="114" t="s">
        <v>383</v>
      </c>
      <c r="H2560" s="115" t="s">
        <v>402</v>
      </c>
      <c r="I2560" s="111" t="s">
        <v>402</v>
      </c>
      <c r="J2560" s="111" t="s">
        <v>402</v>
      </c>
      <c r="K2560" s="106" t="s">
        <v>403</v>
      </c>
      <c r="L2560" s="55" t="s">
        <v>404</v>
      </c>
      <c r="M2560" s="55" t="s">
        <v>1173</v>
      </c>
    </row>
    <row r="2561" spans="1:13">
      <c r="A2561" s="408" t="s">
        <v>6353</v>
      </c>
      <c r="B2561" s="106" t="s">
        <v>327</v>
      </c>
      <c r="C2561" s="106" t="s">
        <v>473</v>
      </c>
      <c r="D2561" s="107" t="s">
        <v>6354</v>
      </c>
      <c r="E2561" s="109" t="s">
        <v>355</v>
      </c>
      <c r="F2561" s="109" t="s">
        <v>355</v>
      </c>
      <c r="G2561" s="55" t="s">
        <v>355</v>
      </c>
      <c r="H2561" s="108" t="s">
        <v>402</v>
      </c>
      <c r="I2561" s="111" t="s">
        <v>402</v>
      </c>
      <c r="J2561" s="111" t="s">
        <v>402</v>
      </c>
      <c r="K2561" s="106" t="s">
        <v>403</v>
      </c>
      <c r="L2561" s="55" t="s">
        <v>404</v>
      </c>
      <c r="M2561" s="55" t="s">
        <v>7634</v>
      </c>
    </row>
    <row r="2562" spans="1:13">
      <c r="A2562" s="408" t="s">
        <v>6355</v>
      </c>
      <c r="B2562" s="106" t="s">
        <v>327</v>
      </c>
      <c r="C2562" s="106" t="s">
        <v>473</v>
      </c>
      <c r="D2562" s="107" t="s">
        <v>6356</v>
      </c>
      <c r="E2562" s="109" t="s">
        <v>355</v>
      </c>
      <c r="F2562" s="109" t="s">
        <v>355</v>
      </c>
      <c r="G2562" s="55" t="s">
        <v>355</v>
      </c>
      <c r="H2562" s="108" t="s">
        <v>402</v>
      </c>
      <c r="I2562" s="111" t="s">
        <v>402</v>
      </c>
      <c r="J2562" s="111" t="s">
        <v>402</v>
      </c>
      <c r="K2562" s="106" t="s">
        <v>403</v>
      </c>
      <c r="L2562" s="55" t="s">
        <v>404</v>
      </c>
      <c r="M2562" s="55" t="s">
        <v>7634</v>
      </c>
    </row>
    <row r="2563" spans="1:13">
      <c r="A2563" s="408" t="s">
        <v>6357</v>
      </c>
      <c r="B2563" s="106" t="s">
        <v>327</v>
      </c>
      <c r="C2563" s="106" t="s">
        <v>473</v>
      </c>
      <c r="D2563" s="107" t="s">
        <v>6358</v>
      </c>
      <c r="E2563" s="109" t="s">
        <v>355</v>
      </c>
      <c r="F2563" s="109" t="s">
        <v>355</v>
      </c>
      <c r="G2563" s="55" t="s">
        <v>355</v>
      </c>
      <c r="H2563" s="108" t="s">
        <v>402</v>
      </c>
      <c r="I2563" s="111" t="s">
        <v>402</v>
      </c>
      <c r="J2563" s="111" t="s">
        <v>402</v>
      </c>
      <c r="K2563" s="106" t="s">
        <v>403</v>
      </c>
      <c r="L2563" s="55" t="s">
        <v>404</v>
      </c>
      <c r="M2563" s="55" t="s">
        <v>7634</v>
      </c>
    </row>
    <row r="2564" spans="1:13">
      <c r="A2564" s="401" t="s">
        <v>8837</v>
      </c>
      <c r="B2564" s="106" t="s">
        <v>327</v>
      </c>
      <c r="C2564" s="106" t="s">
        <v>473</v>
      </c>
      <c r="D2564" s="133" t="s">
        <v>8838</v>
      </c>
      <c r="E2564" s="133" t="s">
        <v>8839</v>
      </c>
      <c r="F2564" s="133" t="s">
        <v>8840</v>
      </c>
      <c r="G2564" s="601" t="s">
        <v>8841</v>
      </c>
      <c r="H2564" s="108" t="s">
        <v>402</v>
      </c>
      <c r="I2564" s="111" t="s">
        <v>402</v>
      </c>
      <c r="J2564" s="111" t="s">
        <v>402</v>
      </c>
      <c r="K2564" s="106" t="s">
        <v>403</v>
      </c>
      <c r="L2564" s="55" t="s">
        <v>404</v>
      </c>
      <c r="M2564" s="55" t="s">
        <v>383</v>
      </c>
    </row>
    <row r="2565" spans="1:13">
      <c r="A2565" s="408" t="s">
        <v>6359</v>
      </c>
      <c r="B2565" s="106" t="s">
        <v>327</v>
      </c>
      <c r="C2565" s="106" t="s">
        <v>473</v>
      </c>
      <c r="D2565" s="107" t="s">
        <v>6360</v>
      </c>
      <c r="E2565" s="109" t="s">
        <v>355</v>
      </c>
      <c r="F2565" s="109" t="s">
        <v>355</v>
      </c>
      <c r="G2565" s="55" t="s">
        <v>355</v>
      </c>
      <c r="H2565" s="108" t="s">
        <v>402</v>
      </c>
      <c r="I2565" s="111" t="s">
        <v>402</v>
      </c>
      <c r="J2565" s="111" t="s">
        <v>402</v>
      </c>
      <c r="K2565" s="106" t="s">
        <v>403</v>
      </c>
      <c r="L2565" s="55" t="s">
        <v>404</v>
      </c>
      <c r="M2565" s="55" t="s">
        <v>7634</v>
      </c>
    </row>
    <row r="2566" spans="1:13">
      <c r="A2566" s="408" t="s">
        <v>6361</v>
      </c>
      <c r="B2566" s="106" t="s">
        <v>327</v>
      </c>
      <c r="C2566" s="106" t="s">
        <v>473</v>
      </c>
      <c r="D2566" s="107" t="s">
        <v>6362</v>
      </c>
      <c r="E2566" s="109" t="s">
        <v>355</v>
      </c>
      <c r="F2566" s="109" t="s">
        <v>355</v>
      </c>
      <c r="G2566" s="55" t="s">
        <v>355</v>
      </c>
      <c r="H2566" s="108" t="s">
        <v>402</v>
      </c>
      <c r="I2566" s="111" t="s">
        <v>402</v>
      </c>
      <c r="J2566" s="111" t="s">
        <v>402</v>
      </c>
      <c r="K2566" s="106" t="s">
        <v>403</v>
      </c>
      <c r="L2566" s="55" t="s">
        <v>404</v>
      </c>
      <c r="M2566" s="55" t="s">
        <v>7634</v>
      </c>
    </row>
    <row r="2567" spans="1:13">
      <c r="A2567" s="401" t="s">
        <v>8701</v>
      </c>
      <c r="B2567" s="106" t="s">
        <v>327</v>
      </c>
      <c r="C2567" s="106" t="s">
        <v>473</v>
      </c>
      <c r="D2567" s="133" t="s">
        <v>8702</v>
      </c>
      <c r="E2567" s="133" t="s">
        <v>8703</v>
      </c>
      <c r="F2567" s="133" t="s">
        <v>8704</v>
      </c>
      <c r="G2567" s="108" t="s">
        <v>8705</v>
      </c>
      <c r="H2567" s="108" t="s">
        <v>402</v>
      </c>
      <c r="I2567" s="111" t="s">
        <v>402</v>
      </c>
      <c r="J2567" s="111" t="s">
        <v>402</v>
      </c>
      <c r="K2567" s="106" t="s">
        <v>403</v>
      </c>
      <c r="L2567" s="55" t="s">
        <v>404</v>
      </c>
      <c r="M2567" s="55" t="s">
        <v>383</v>
      </c>
    </row>
    <row r="2568" spans="1:13">
      <c r="A2568" s="408" t="s">
        <v>6363</v>
      </c>
      <c r="B2568" s="106" t="s">
        <v>327</v>
      </c>
      <c r="C2568" s="106" t="s">
        <v>473</v>
      </c>
      <c r="D2568" s="107" t="s">
        <v>6364</v>
      </c>
      <c r="E2568" s="109" t="s">
        <v>355</v>
      </c>
      <c r="F2568" s="109" t="s">
        <v>355</v>
      </c>
      <c r="G2568" s="55" t="s">
        <v>355</v>
      </c>
      <c r="H2568" s="108" t="s">
        <v>402</v>
      </c>
      <c r="I2568" s="111" t="s">
        <v>402</v>
      </c>
      <c r="J2568" s="111" t="s">
        <v>402</v>
      </c>
      <c r="K2568" s="106" t="s">
        <v>403</v>
      </c>
      <c r="L2568" s="55" t="s">
        <v>404</v>
      </c>
      <c r="M2568" s="55" t="s">
        <v>7634</v>
      </c>
    </row>
    <row r="2569" spans="1:13">
      <c r="A2569" s="408" t="s">
        <v>6365</v>
      </c>
      <c r="B2569" s="106" t="s">
        <v>327</v>
      </c>
      <c r="C2569" s="106" t="s">
        <v>473</v>
      </c>
      <c r="D2569" s="107" t="s">
        <v>6366</v>
      </c>
      <c r="E2569" s="109" t="s">
        <v>355</v>
      </c>
      <c r="F2569" s="109" t="s">
        <v>355</v>
      </c>
      <c r="G2569" s="55" t="s">
        <v>355</v>
      </c>
      <c r="H2569" s="108" t="s">
        <v>402</v>
      </c>
      <c r="I2569" s="111" t="s">
        <v>402</v>
      </c>
      <c r="J2569" s="111" t="s">
        <v>402</v>
      </c>
      <c r="K2569" s="106" t="s">
        <v>403</v>
      </c>
      <c r="L2569" s="55" t="s">
        <v>404</v>
      </c>
      <c r="M2569" s="55" t="s">
        <v>7634</v>
      </c>
    </row>
    <row r="2570" spans="1:13">
      <c r="A2570" s="408" t="s">
        <v>6367</v>
      </c>
      <c r="B2570" s="106" t="s">
        <v>327</v>
      </c>
      <c r="C2570" s="106" t="s">
        <v>473</v>
      </c>
      <c r="D2570" s="107" t="s">
        <v>6368</v>
      </c>
      <c r="E2570" s="109" t="s">
        <v>355</v>
      </c>
      <c r="F2570" s="109" t="s">
        <v>355</v>
      </c>
      <c r="G2570" s="55" t="s">
        <v>355</v>
      </c>
      <c r="H2570" s="108" t="s">
        <v>402</v>
      </c>
      <c r="I2570" s="111" t="s">
        <v>402</v>
      </c>
      <c r="J2570" s="111" t="s">
        <v>402</v>
      </c>
      <c r="K2570" s="106" t="s">
        <v>403</v>
      </c>
      <c r="L2570" s="55" t="s">
        <v>404</v>
      </c>
      <c r="M2570" s="55" t="s">
        <v>7634</v>
      </c>
    </row>
    <row r="2571" spans="1:13">
      <c r="A2571" s="408" t="s">
        <v>6369</v>
      </c>
      <c r="B2571" s="106" t="s">
        <v>327</v>
      </c>
      <c r="C2571" s="106" t="s">
        <v>473</v>
      </c>
      <c r="D2571" s="107" t="s">
        <v>6370</v>
      </c>
      <c r="E2571" s="109" t="s">
        <v>355</v>
      </c>
      <c r="F2571" s="109" t="s">
        <v>355</v>
      </c>
      <c r="G2571" s="55" t="s">
        <v>355</v>
      </c>
      <c r="H2571" s="108" t="s">
        <v>402</v>
      </c>
      <c r="I2571" s="111" t="s">
        <v>402</v>
      </c>
      <c r="J2571" s="111" t="s">
        <v>402</v>
      </c>
      <c r="K2571" s="106" t="s">
        <v>403</v>
      </c>
      <c r="L2571" s="55" t="s">
        <v>404</v>
      </c>
      <c r="M2571" s="55" t="s">
        <v>7634</v>
      </c>
    </row>
    <row r="2572" spans="1:13">
      <c r="A2572" s="408" t="s">
        <v>6371</v>
      </c>
      <c r="B2572" s="106" t="s">
        <v>327</v>
      </c>
      <c r="C2572" s="106" t="s">
        <v>473</v>
      </c>
      <c r="D2572" s="107" t="s">
        <v>6372</v>
      </c>
      <c r="E2572" s="109" t="s">
        <v>355</v>
      </c>
      <c r="F2572" s="109" t="s">
        <v>355</v>
      </c>
      <c r="G2572" s="55" t="s">
        <v>355</v>
      </c>
      <c r="H2572" s="108" t="s">
        <v>402</v>
      </c>
      <c r="I2572" s="111" t="s">
        <v>402</v>
      </c>
      <c r="J2572" s="111" t="s">
        <v>402</v>
      </c>
      <c r="K2572" s="106" t="s">
        <v>403</v>
      </c>
      <c r="L2572" s="55" t="s">
        <v>404</v>
      </c>
      <c r="M2572" s="55" t="s">
        <v>7634</v>
      </c>
    </row>
    <row r="2573" spans="1:13">
      <c r="A2573" s="408" t="s">
        <v>6373</v>
      </c>
      <c r="B2573" s="106" t="s">
        <v>327</v>
      </c>
      <c r="C2573" s="106" t="s">
        <v>473</v>
      </c>
      <c r="D2573" s="107" t="s">
        <v>6374</v>
      </c>
      <c r="E2573" s="109" t="s">
        <v>355</v>
      </c>
      <c r="F2573" s="109" t="s">
        <v>355</v>
      </c>
      <c r="G2573" s="55" t="s">
        <v>355</v>
      </c>
      <c r="H2573" s="108" t="s">
        <v>402</v>
      </c>
      <c r="I2573" s="111" t="s">
        <v>402</v>
      </c>
      <c r="J2573" s="111" t="s">
        <v>402</v>
      </c>
      <c r="K2573" s="106" t="s">
        <v>403</v>
      </c>
      <c r="L2573" s="55" t="s">
        <v>404</v>
      </c>
      <c r="M2573" s="55" t="s">
        <v>7634</v>
      </c>
    </row>
    <row r="2574" spans="1:13">
      <c r="A2574" s="408" t="s">
        <v>6375</v>
      </c>
      <c r="B2574" s="106" t="s">
        <v>327</v>
      </c>
      <c r="C2574" s="106" t="s">
        <v>473</v>
      </c>
      <c r="D2574" s="107" t="s">
        <v>6376</v>
      </c>
      <c r="E2574" s="109" t="s">
        <v>355</v>
      </c>
      <c r="F2574" s="109" t="s">
        <v>355</v>
      </c>
      <c r="G2574" s="55" t="s">
        <v>355</v>
      </c>
      <c r="H2574" s="108" t="s">
        <v>402</v>
      </c>
      <c r="I2574" s="111" t="s">
        <v>402</v>
      </c>
      <c r="J2574" s="111" t="s">
        <v>402</v>
      </c>
      <c r="K2574" s="106" t="s">
        <v>403</v>
      </c>
      <c r="L2574" s="55" t="s">
        <v>404</v>
      </c>
      <c r="M2574" s="55" t="s">
        <v>7634</v>
      </c>
    </row>
    <row r="2575" spans="1:13">
      <c r="A2575" s="408" t="s">
        <v>6377</v>
      </c>
      <c r="B2575" s="106" t="s">
        <v>327</v>
      </c>
      <c r="C2575" s="106" t="s">
        <v>473</v>
      </c>
      <c r="D2575" s="107" t="s">
        <v>6376</v>
      </c>
      <c r="E2575" s="109" t="s">
        <v>355</v>
      </c>
      <c r="F2575" s="109" t="s">
        <v>355</v>
      </c>
      <c r="G2575" s="55" t="s">
        <v>355</v>
      </c>
      <c r="H2575" s="108" t="s">
        <v>402</v>
      </c>
      <c r="I2575" s="111" t="s">
        <v>402</v>
      </c>
      <c r="J2575" s="111" t="s">
        <v>402</v>
      </c>
      <c r="K2575" s="106" t="s">
        <v>403</v>
      </c>
      <c r="L2575" s="55" t="s">
        <v>404</v>
      </c>
      <c r="M2575" s="55" t="s">
        <v>7634</v>
      </c>
    </row>
    <row r="2576" spans="1:13">
      <c r="A2576" s="408" t="s">
        <v>6378</v>
      </c>
      <c r="B2576" s="106" t="s">
        <v>327</v>
      </c>
      <c r="C2576" s="106" t="s">
        <v>473</v>
      </c>
      <c r="D2576" s="107" t="s">
        <v>6368</v>
      </c>
      <c r="E2576" s="109" t="s">
        <v>355</v>
      </c>
      <c r="F2576" s="109" t="s">
        <v>355</v>
      </c>
      <c r="G2576" s="55" t="s">
        <v>355</v>
      </c>
      <c r="H2576" s="108" t="s">
        <v>402</v>
      </c>
      <c r="I2576" s="111" t="s">
        <v>402</v>
      </c>
      <c r="J2576" s="111" t="s">
        <v>402</v>
      </c>
      <c r="K2576" s="106" t="s">
        <v>403</v>
      </c>
      <c r="L2576" s="55" t="s">
        <v>404</v>
      </c>
      <c r="M2576" s="55" t="s">
        <v>7634</v>
      </c>
    </row>
    <row r="2577" spans="1:13">
      <c r="A2577" s="408" t="s">
        <v>6379</v>
      </c>
      <c r="B2577" s="106" t="s">
        <v>327</v>
      </c>
      <c r="C2577" s="106" t="s">
        <v>473</v>
      </c>
      <c r="D2577" s="107" t="s">
        <v>6380</v>
      </c>
      <c r="E2577" s="109" t="s">
        <v>355</v>
      </c>
      <c r="F2577" s="109" t="s">
        <v>355</v>
      </c>
      <c r="G2577" s="55" t="s">
        <v>355</v>
      </c>
      <c r="H2577" s="108" t="s">
        <v>402</v>
      </c>
      <c r="I2577" s="111" t="s">
        <v>402</v>
      </c>
      <c r="J2577" s="111" t="s">
        <v>402</v>
      </c>
      <c r="K2577" s="106" t="s">
        <v>403</v>
      </c>
      <c r="L2577" s="55" t="s">
        <v>404</v>
      </c>
      <c r="M2577" s="55" t="s">
        <v>7634</v>
      </c>
    </row>
    <row r="2578" spans="1:13">
      <c r="A2578" s="408" t="s">
        <v>6381</v>
      </c>
      <c r="B2578" s="106" t="s">
        <v>327</v>
      </c>
      <c r="C2578" s="106" t="s">
        <v>473</v>
      </c>
      <c r="D2578" s="107" t="s">
        <v>6382</v>
      </c>
      <c r="E2578" s="109" t="s">
        <v>355</v>
      </c>
      <c r="F2578" s="109" t="s">
        <v>355</v>
      </c>
      <c r="G2578" s="55" t="s">
        <v>355</v>
      </c>
      <c r="H2578" s="108" t="s">
        <v>402</v>
      </c>
      <c r="I2578" s="111" t="s">
        <v>402</v>
      </c>
      <c r="J2578" s="111" t="s">
        <v>402</v>
      </c>
      <c r="K2578" s="106" t="s">
        <v>403</v>
      </c>
      <c r="L2578" s="55" t="s">
        <v>404</v>
      </c>
      <c r="M2578" s="55" t="s">
        <v>7634</v>
      </c>
    </row>
    <row r="2579" spans="1:13">
      <c r="A2579" s="408" t="s">
        <v>6383</v>
      </c>
      <c r="B2579" s="106" t="s">
        <v>327</v>
      </c>
      <c r="C2579" s="106" t="s">
        <v>473</v>
      </c>
      <c r="D2579" s="107" t="s">
        <v>6384</v>
      </c>
      <c r="E2579" s="109" t="s">
        <v>355</v>
      </c>
      <c r="F2579" s="109" t="s">
        <v>355</v>
      </c>
      <c r="G2579" s="55" t="s">
        <v>355</v>
      </c>
      <c r="H2579" s="108" t="s">
        <v>402</v>
      </c>
      <c r="I2579" s="111" t="s">
        <v>402</v>
      </c>
      <c r="J2579" s="111" t="s">
        <v>402</v>
      </c>
      <c r="K2579" s="106" t="s">
        <v>403</v>
      </c>
      <c r="L2579" s="55" t="s">
        <v>404</v>
      </c>
      <c r="M2579" s="55" t="s">
        <v>7634</v>
      </c>
    </row>
    <row r="2580" spans="1:13">
      <c r="A2580" s="408" t="s">
        <v>6385</v>
      </c>
      <c r="B2580" s="106" t="s">
        <v>327</v>
      </c>
      <c r="C2580" s="106" t="s">
        <v>473</v>
      </c>
      <c r="D2580" s="107" t="s">
        <v>6386</v>
      </c>
      <c r="E2580" s="109" t="s">
        <v>355</v>
      </c>
      <c r="F2580" s="109" t="s">
        <v>355</v>
      </c>
      <c r="G2580" s="55" t="s">
        <v>355</v>
      </c>
      <c r="H2580" s="108" t="s">
        <v>402</v>
      </c>
      <c r="I2580" s="111" t="s">
        <v>402</v>
      </c>
      <c r="J2580" s="111" t="s">
        <v>402</v>
      </c>
      <c r="K2580" s="106" t="s">
        <v>403</v>
      </c>
      <c r="L2580" s="55" t="s">
        <v>404</v>
      </c>
      <c r="M2580" s="55" t="s">
        <v>7634</v>
      </c>
    </row>
    <row r="2581" spans="1:13">
      <c r="A2581" s="408" t="s">
        <v>6387</v>
      </c>
      <c r="B2581" s="106" t="s">
        <v>327</v>
      </c>
      <c r="C2581" s="106" t="s">
        <v>473</v>
      </c>
      <c r="D2581" s="107" t="s">
        <v>6388</v>
      </c>
      <c r="E2581" s="109" t="s">
        <v>355</v>
      </c>
      <c r="F2581" s="109" t="s">
        <v>355</v>
      </c>
      <c r="G2581" s="55" t="s">
        <v>355</v>
      </c>
      <c r="H2581" s="108" t="s">
        <v>402</v>
      </c>
      <c r="I2581" s="111" t="s">
        <v>402</v>
      </c>
      <c r="J2581" s="111" t="s">
        <v>402</v>
      </c>
      <c r="K2581" s="106" t="s">
        <v>403</v>
      </c>
      <c r="L2581" s="55" t="s">
        <v>404</v>
      </c>
      <c r="M2581" s="55" t="s">
        <v>7634</v>
      </c>
    </row>
    <row r="2582" spans="1:13">
      <c r="A2582" s="408" t="s">
        <v>6389</v>
      </c>
      <c r="B2582" s="106" t="s">
        <v>327</v>
      </c>
      <c r="C2582" s="106" t="s">
        <v>473</v>
      </c>
      <c r="D2582" s="107" t="s">
        <v>6390</v>
      </c>
      <c r="E2582" s="109" t="s">
        <v>355</v>
      </c>
      <c r="F2582" s="109" t="s">
        <v>355</v>
      </c>
      <c r="G2582" s="55" t="s">
        <v>355</v>
      </c>
      <c r="H2582" s="108" t="s">
        <v>402</v>
      </c>
      <c r="I2582" s="111" t="s">
        <v>402</v>
      </c>
      <c r="J2582" s="111" t="s">
        <v>402</v>
      </c>
      <c r="K2582" s="106" t="s">
        <v>403</v>
      </c>
      <c r="L2582" s="55" t="s">
        <v>404</v>
      </c>
      <c r="M2582" s="55" t="s">
        <v>7634</v>
      </c>
    </row>
    <row r="2583" spans="1:13">
      <c r="A2583" s="578" t="s">
        <v>6391</v>
      </c>
      <c r="B2583" s="586" t="s">
        <v>473</v>
      </c>
      <c r="C2583" s="586" t="s">
        <v>473</v>
      </c>
      <c r="D2583" s="586" t="s">
        <v>6392</v>
      </c>
      <c r="E2583" s="109" t="s">
        <v>355</v>
      </c>
      <c r="F2583" s="109" t="s">
        <v>355</v>
      </c>
      <c r="G2583" s="55" t="s">
        <v>355</v>
      </c>
      <c r="H2583" s="586" t="s">
        <v>359</v>
      </c>
      <c r="I2583" s="587" t="s">
        <v>359</v>
      </c>
      <c r="J2583" s="586"/>
      <c r="K2583" s="586" t="s">
        <v>360</v>
      </c>
      <c r="L2583" s="586" t="s">
        <v>361</v>
      </c>
      <c r="M2583" s="55" t="s">
        <v>7634</v>
      </c>
    </row>
    <row r="2584" spans="1:13">
      <c r="A2584" s="578" t="s">
        <v>6393</v>
      </c>
      <c r="B2584" s="586" t="s">
        <v>473</v>
      </c>
      <c r="C2584" s="586" t="s">
        <v>473</v>
      </c>
      <c r="D2584" s="586" t="s">
        <v>6394</v>
      </c>
      <c r="E2584" s="586" t="s">
        <v>6395</v>
      </c>
      <c r="F2584" s="586" t="s">
        <v>6396</v>
      </c>
      <c r="G2584" s="586" t="s">
        <v>6397</v>
      </c>
      <c r="H2584" s="586" t="s">
        <v>359</v>
      </c>
      <c r="I2584" s="587" t="s">
        <v>359</v>
      </c>
      <c r="J2584" s="586"/>
      <c r="K2584" s="586" t="s">
        <v>360</v>
      </c>
      <c r="L2584" s="586" t="s">
        <v>361</v>
      </c>
      <c r="M2584" s="55" t="s">
        <v>7634</v>
      </c>
    </row>
    <row r="2585" spans="1:13">
      <c r="A2585" s="408" t="s">
        <v>6398</v>
      </c>
      <c r="B2585" s="106" t="s">
        <v>327</v>
      </c>
      <c r="C2585" s="106" t="s">
        <v>473</v>
      </c>
      <c r="D2585" s="107" t="s">
        <v>6399</v>
      </c>
      <c r="E2585" s="109" t="s">
        <v>355</v>
      </c>
      <c r="F2585" s="109" t="s">
        <v>355</v>
      </c>
      <c r="G2585" s="55" t="s">
        <v>355</v>
      </c>
      <c r="H2585" s="108" t="s">
        <v>402</v>
      </c>
      <c r="I2585" s="111" t="s">
        <v>402</v>
      </c>
      <c r="J2585" s="111" t="s">
        <v>402</v>
      </c>
      <c r="K2585" s="106" t="s">
        <v>403</v>
      </c>
      <c r="L2585" s="55" t="s">
        <v>404</v>
      </c>
      <c r="M2585" s="55" t="s">
        <v>7634</v>
      </c>
    </row>
    <row r="2586" spans="1:13">
      <c r="A2586" s="408" t="s">
        <v>6400</v>
      </c>
      <c r="B2586" s="106" t="s">
        <v>327</v>
      </c>
      <c r="C2586" s="106" t="s">
        <v>473</v>
      </c>
      <c r="D2586" s="107" t="s">
        <v>6401</v>
      </c>
      <c r="E2586" s="109" t="s">
        <v>355</v>
      </c>
      <c r="F2586" s="109" t="s">
        <v>355</v>
      </c>
      <c r="G2586" s="55" t="s">
        <v>355</v>
      </c>
      <c r="H2586" s="108" t="s">
        <v>402</v>
      </c>
      <c r="I2586" s="111" t="s">
        <v>402</v>
      </c>
      <c r="J2586" s="111" t="s">
        <v>402</v>
      </c>
      <c r="K2586" s="106" t="s">
        <v>403</v>
      </c>
      <c r="L2586" s="55" t="s">
        <v>404</v>
      </c>
      <c r="M2586" s="55" t="s">
        <v>7634</v>
      </c>
    </row>
    <row r="2587" spans="1:13">
      <c r="A2587" s="403" t="s">
        <v>7038</v>
      </c>
      <c r="B2587" s="127" t="s">
        <v>327</v>
      </c>
      <c r="C2587" s="106" t="s">
        <v>473</v>
      </c>
      <c r="D2587" s="107" t="s">
        <v>7039</v>
      </c>
      <c r="E2587" s="107" t="s">
        <v>7040</v>
      </c>
      <c r="F2587" s="107" t="s">
        <v>7041</v>
      </c>
      <c r="G2587" s="589" t="s">
        <v>7042</v>
      </c>
      <c r="H2587" s="108" t="s">
        <v>402</v>
      </c>
      <c r="I2587" s="111" t="s">
        <v>402</v>
      </c>
      <c r="J2587" s="111" t="s">
        <v>402</v>
      </c>
      <c r="K2587" s="115" t="s">
        <v>403</v>
      </c>
      <c r="L2587" s="55" t="s">
        <v>404</v>
      </c>
      <c r="M2587" s="55" t="s">
        <v>7634</v>
      </c>
    </row>
    <row r="2588" spans="1:13">
      <c r="A2588" s="401" t="s">
        <v>6402</v>
      </c>
      <c r="B2588" s="106" t="s">
        <v>327</v>
      </c>
      <c r="C2588" s="106" t="s">
        <v>473</v>
      </c>
      <c r="D2588" s="109" t="s">
        <v>6403</v>
      </c>
      <c r="E2588" s="109" t="s">
        <v>6404</v>
      </c>
      <c r="F2588" s="109" t="s">
        <v>6405</v>
      </c>
      <c r="G2588" s="112" t="s">
        <v>6406</v>
      </c>
      <c r="H2588" s="115" t="s">
        <v>402</v>
      </c>
      <c r="I2588" s="111" t="s">
        <v>402</v>
      </c>
      <c r="J2588" s="111" t="s">
        <v>402</v>
      </c>
      <c r="K2588" s="115" t="s">
        <v>403</v>
      </c>
      <c r="L2588" s="55" t="s">
        <v>404</v>
      </c>
      <c r="M2588" s="113" t="s">
        <v>383</v>
      </c>
    </row>
    <row r="2589" spans="1:13">
      <c r="A2589" s="408" t="s">
        <v>6407</v>
      </c>
      <c r="B2589" s="106" t="s">
        <v>327</v>
      </c>
      <c r="C2589" s="106" t="s">
        <v>473</v>
      </c>
      <c r="D2589" s="107" t="s">
        <v>6408</v>
      </c>
      <c r="E2589" s="109" t="s">
        <v>355</v>
      </c>
      <c r="F2589" s="109" t="s">
        <v>355</v>
      </c>
      <c r="G2589" s="55" t="s">
        <v>355</v>
      </c>
      <c r="H2589" s="108" t="s">
        <v>402</v>
      </c>
      <c r="I2589" s="111" t="s">
        <v>402</v>
      </c>
      <c r="J2589" s="111" t="s">
        <v>402</v>
      </c>
      <c r="K2589" s="106" t="s">
        <v>403</v>
      </c>
      <c r="L2589" s="55" t="s">
        <v>404</v>
      </c>
      <c r="M2589" s="55" t="s">
        <v>7634</v>
      </c>
    </row>
    <row r="2590" spans="1:13">
      <c r="A2590" s="408" t="s">
        <v>6409</v>
      </c>
      <c r="B2590" s="106" t="s">
        <v>327</v>
      </c>
      <c r="C2590" s="106" t="s">
        <v>473</v>
      </c>
      <c r="D2590" s="107" t="s">
        <v>6408</v>
      </c>
      <c r="E2590" s="109" t="s">
        <v>355</v>
      </c>
      <c r="F2590" s="109" t="s">
        <v>355</v>
      </c>
      <c r="G2590" s="55" t="s">
        <v>355</v>
      </c>
      <c r="H2590" s="108" t="s">
        <v>402</v>
      </c>
      <c r="I2590" s="111" t="s">
        <v>402</v>
      </c>
      <c r="J2590" s="111" t="s">
        <v>402</v>
      </c>
      <c r="K2590" s="106" t="s">
        <v>403</v>
      </c>
      <c r="L2590" s="55" t="s">
        <v>404</v>
      </c>
      <c r="M2590" s="55" t="s">
        <v>7634</v>
      </c>
    </row>
    <row r="2591" spans="1:13">
      <c r="A2591" s="408" t="s">
        <v>6410</v>
      </c>
      <c r="B2591" s="106" t="s">
        <v>327</v>
      </c>
      <c r="C2591" s="106" t="s">
        <v>473</v>
      </c>
      <c r="D2591" s="107" t="s">
        <v>6411</v>
      </c>
      <c r="E2591" s="109" t="s">
        <v>355</v>
      </c>
      <c r="F2591" s="109" t="s">
        <v>355</v>
      </c>
      <c r="G2591" s="55" t="s">
        <v>355</v>
      </c>
      <c r="H2591" s="108" t="s">
        <v>402</v>
      </c>
      <c r="I2591" s="111" t="s">
        <v>402</v>
      </c>
      <c r="J2591" s="111" t="s">
        <v>402</v>
      </c>
      <c r="K2591" s="106" t="s">
        <v>403</v>
      </c>
      <c r="L2591" s="55" t="s">
        <v>404</v>
      </c>
      <c r="M2591" s="55" t="s">
        <v>7634</v>
      </c>
    </row>
    <row r="2592" spans="1:13">
      <c r="A2592" s="408" t="s">
        <v>6412</v>
      </c>
      <c r="B2592" s="106" t="s">
        <v>327</v>
      </c>
      <c r="C2592" s="106" t="s">
        <v>473</v>
      </c>
      <c r="D2592" s="107" t="s">
        <v>6413</v>
      </c>
      <c r="E2592" s="109" t="s">
        <v>355</v>
      </c>
      <c r="F2592" s="109" t="s">
        <v>355</v>
      </c>
      <c r="G2592" s="55" t="s">
        <v>355</v>
      </c>
      <c r="H2592" s="108" t="s">
        <v>402</v>
      </c>
      <c r="I2592" s="111" t="s">
        <v>402</v>
      </c>
      <c r="J2592" s="111" t="s">
        <v>402</v>
      </c>
      <c r="K2592" s="106" t="s">
        <v>403</v>
      </c>
      <c r="L2592" s="55" t="s">
        <v>404</v>
      </c>
      <c r="M2592" s="55" t="s">
        <v>7634</v>
      </c>
    </row>
    <row r="2593" spans="1:13">
      <c r="A2593" s="408" t="s">
        <v>6414</v>
      </c>
      <c r="B2593" s="106" t="s">
        <v>327</v>
      </c>
      <c r="C2593" s="106" t="s">
        <v>473</v>
      </c>
      <c r="D2593" s="107" t="s">
        <v>6415</v>
      </c>
      <c r="E2593" s="109" t="s">
        <v>355</v>
      </c>
      <c r="F2593" s="109" t="s">
        <v>355</v>
      </c>
      <c r="G2593" s="55" t="s">
        <v>355</v>
      </c>
      <c r="H2593" s="108" t="s">
        <v>402</v>
      </c>
      <c r="I2593" s="111" t="s">
        <v>402</v>
      </c>
      <c r="J2593" s="111" t="s">
        <v>402</v>
      </c>
      <c r="K2593" s="106" t="s">
        <v>403</v>
      </c>
      <c r="L2593" s="55" t="s">
        <v>404</v>
      </c>
      <c r="M2593" s="55" t="s">
        <v>7634</v>
      </c>
    </row>
    <row r="2594" spans="1:13">
      <c r="A2594" s="408" t="s">
        <v>6416</v>
      </c>
      <c r="B2594" s="106" t="s">
        <v>327</v>
      </c>
      <c r="C2594" s="106" t="s">
        <v>473</v>
      </c>
      <c r="D2594" s="107" t="s">
        <v>6417</v>
      </c>
      <c r="E2594" s="109" t="s">
        <v>355</v>
      </c>
      <c r="F2594" s="109" t="s">
        <v>355</v>
      </c>
      <c r="G2594" s="55" t="s">
        <v>355</v>
      </c>
      <c r="H2594" s="108" t="s">
        <v>402</v>
      </c>
      <c r="I2594" s="111" t="s">
        <v>402</v>
      </c>
      <c r="J2594" s="111" t="s">
        <v>402</v>
      </c>
      <c r="K2594" s="106" t="s">
        <v>403</v>
      </c>
      <c r="L2594" s="55" t="s">
        <v>404</v>
      </c>
      <c r="M2594" s="55" t="s">
        <v>7634</v>
      </c>
    </row>
    <row r="2595" spans="1:13">
      <c r="A2595" s="408" t="s">
        <v>6418</v>
      </c>
      <c r="B2595" s="106" t="s">
        <v>327</v>
      </c>
      <c r="C2595" s="106" t="s">
        <v>473</v>
      </c>
      <c r="D2595" s="107" t="s">
        <v>6419</v>
      </c>
      <c r="E2595" s="109" t="s">
        <v>355</v>
      </c>
      <c r="F2595" s="109" t="s">
        <v>355</v>
      </c>
      <c r="G2595" s="55" t="s">
        <v>355</v>
      </c>
      <c r="H2595" s="108" t="s">
        <v>402</v>
      </c>
      <c r="I2595" s="111" t="s">
        <v>402</v>
      </c>
      <c r="J2595" s="111" t="s">
        <v>402</v>
      </c>
      <c r="K2595" s="106" t="s">
        <v>403</v>
      </c>
      <c r="L2595" s="55" t="s">
        <v>404</v>
      </c>
      <c r="M2595" s="55" t="s">
        <v>7634</v>
      </c>
    </row>
    <row r="2596" spans="1:13">
      <c r="A2596" s="408" t="s">
        <v>6420</v>
      </c>
      <c r="B2596" s="106" t="s">
        <v>327</v>
      </c>
      <c r="C2596" s="106" t="s">
        <v>473</v>
      </c>
      <c r="D2596" s="107" t="s">
        <v>6421</v>
      </c>
      <c r="E2596" s="109" t="s">
        <v>355</v>
      </c>
      <c r="F2596" s="109" t="s">
        <v>355</v>
      </c>
      <c r="G2596" s="55" t="s">
        <v>355</v>
      </c>
      <c r="H2596" s="108" t="s">
        <v>402</v>
      </c>
      <c r="I2596" s="111" t="s">
        <v>402</v>
      </c>
      <c r="J2596" s="111" t="s">
        <v>402</v>
      </c>
      <c r="K2596" s="106" t="s">
        <v>403</v>
      </c>
      <c r="L2596" s="55" t="s">
        <v>404</v>
      </c>
      <c r="M2596" s="55" t="s">
        <v>7634</v>
      </c>
    </row>
    <row r="2597" spans="1:13">
      <c r="A2597" s="408" t="s">
        <v>6422</v>
      </c>
      <c r="B2597" s="106" t="s">
        <v>327</v>
      </c>
      <c r="C2597" s="106" t="s">
        <v>473</v>
      </c>
      <c r="D2597" s="107" t="s">
        <v>6423</v>
      </c>
      <c r="E2597" s="109" t="s">
        <v>355</v>
      </c>
      <c r="F2597" s="109" t="s">
        <v>355</v>
      </c>
      <c r="G2597" s="55" t="s">
        <v>355</v>
      </c>
      <c r="H2597" s="108" t="s">
        <v>402</v>
      </c>
      <c r="I2597" s="111" t="s">
        <v>402</v>
      </c>
      <c r="J2597" s="111" t="s">
        <v>402</v>
      </c>
      <c r="K2597" s="106" t="s">
        <v>403</v>
      </c>
      <c r="L2597" s="55" t="s">
        <v>404</v>
      </c>
      <c r="M2597" s="55" t="s">
        <v>7634</v>
      </c>
    </row>
    <row r="2598" spans="1:13">
      <c r="A2598" s="408" t="s">
        <v>6424</v>
      </c>
      <c r="B2598" s="106" t="s">
        <v>327</v>
      </c>
      <c r="C2598" s="106" t="s">
        <v>473</v>
      </c>
      <c r="D2598" s="107" t="s">
        <v>6425</v>
      </c>
      <c r="E2598" s="109" t="s">
        <v>355</v>
      </c>
      <c r="F2598" s="109" t="s">
        <v>355</v>
      </c>
      <c r="G2598" s="55" t="s">
        <v>355</v>
      </c>
      <c r="H2598" s="108" t="s">
        <v>402</v>
      </c>
      <c r="I2598" s="111" t="s">
        <v>402</v>
      </c>
      <c r="J2598" s="111" t="s">
        <v>402</v>
      </c>
      <c r="K2598" s="106" t="s">
        <v>403</v>
      </c>
      <c r="L2598" s="55" t="s">
        <v>404</v>
      </c>
      <c r="M2598" s="55" t="s">
        <v>7634</v>
      </c>
    </row>
    <row r="2599" spans="1:13">
      <c r="A2599" s="408" t="s">
        <v>6426</v>
      </c>
      <c r="B2599" s="106" t="s">
        <v>327</v>
      </c>
      <c r="C2599" s="106" t="s">
        <v>473</v>
      </c>
      <c r="D2599" s="107" t="s">
        <v>6425</v>
      </c>
      <c r="E2599" s="109" t="s">
        <v>355</v>
      </c>
      <c r="F2599" s="109" t="s">
        <v>355</v>
      </c>
      <c r="G2599" s="55" t="s">
        <v>355</v>
      </c>
      <c r="H2599" s="108" t="s">
        <v>402</v>
      </c>
      <c r="I2599" s="111" t="s">
        <v>402</v>
      </c>
      <c r="J2599" s="111" t="s">
        <v>402</v>
      </c>
      <c r="K2599" s="106" t="s">
        <v>403</v>
      </c>
      <c r="L2599" s="55" t="s">
        <v>404</v>
      </c>
      <c r="M2599" s="55" t="s">
        <v>7634</v>
      </c>
    </row>
    <row r="2600" spans="1:13">
      <c r="A2600" s="401" t="s">
        <v>6427</v>
      </c>
      <c r="B2600" s="106" t="s">
        <v>984</v>
      </c>
      <c r="C2600" s="106" t="s">
        <v>473</v>
      </c>
      <c r="D2600" s="107" t="s">
        <v>6428</v>
      </c>
      <c r="E2600" s="107" t="s">
        <v>6429</v>
      </c>
      <c r="F2600" s="107" t="s">
        <v>6430</v>
      </c>
      <c r="G2600" s="57" t="s">
        <v>6431</v>
      </c>
      <c r="H2600" s="108" t="s">
        <v>402</v>
      </c>
      <c r="I2600" s="111" t="s">
        <v>402</v>
      </c>
      <c r="J2600" s="111" t="s">
        <v>402</v>
      </c>
      <c r="K2600" s="115" t="s">
        <v>403</v>
      </c>
      <c r="L2600" s="55" t="s">
        <v>404</v>
      </c>
      <c r="M2600" s="55" t="s">
        <v>355</v>
      </c>
    </row>
    <row r="2601" spans="1:13">
      <c r="A2601" s="408" t="s">
        <v>6432</v>
      </c>
      <c r="B2601" s="106" t="s">
        <v>327</v>
      </c>
      <c r="C2601" s="106" t="s">
        <v>473</v>
      </c>
      <c r="D2601" s="107" t="s">
        <v>6433</v>
      </c>
      <c r="E2601" s="109" t="s">
        <v>355</v>
      </c>
      <c r="F2601" s="109" t="s">
        <v>355</v>
      </c>
      <c r="G2601" s="55" t="s">
        <v>355</v>
      </c>
      <c r="H2601" s="108" t="s">
        <v>402</v>
      </c>
      <c r="I2601" s="111" t="s">
        <v>402</v>
      </c>
      <c r="J2601" s="111" t="s">
        <v>402</v>
      </c>
      <c r="K2601" s="106" t="s">
        <v>403</v>
      </c>
      <c r="L2601" s="55" t="s">
        <v>404</v>
      </c>
      <c r="M2601" s="55" t="s">
        <v>7634</v>
      </c>
    </row>
    <row r="2602" spans="1:13">
      <c r="A2602" s="408" t="s">
        <v>6434</v>
      </c>
      <c r="B2602" s="106" t="s">
        <v>327</v>
      </c>
      <c r="C2602" s="106" t="s">
        <v>473</v>
      </c>
      <c r="D2602" s="107" t="s">
        <v>6435</v>
      </c>
      <c r="E2602" s="109" t="s">
        <v>355</v>
      </c>
      <c r="F2602" s="109" t="s">
        <v>355</v>
      </c>
      <c r="G2602" s="55" t="s">
        <v>355</v>
      </c>
      <c r="H2602" s="108" t="s">
        <v>402</v>
      </c>
      <c r="I2602" s="111" t="s">
        <v>402</v>
      </c>
      <c r="J2602" s="111" t="s">
        <v>402</v>
      </c>
      <c r="K2602" s="106" t="s">
        <v>403</v>
      </c>
      <c r="L2602" s="55" t="s">
        <v>404</v>
      </c>
      <c r="M2602" s="55" t="s">
        <v>7634</v>
      </c>
    </row>
    <row r="2603" spans="1:13">
      <c r="A2603" s="408" t="s">
        <v>6436</v>
      </c>
      <c r="B2603" s="106" t="s">
        <v>327</v>
      </c>
      <c r="C2603" s="106" t="s">
        <v>473</v>
      </c>
      <c r="D2603" s="107" t="s">
        <v>6437</v>
      </c>
      <c r="E2603" s="109" t="s">
        <v>355</v>
      </c>
      <c r="F2603" s="109" t="s">
        <v>355</v>
      </c>
      <c r="G2603" s="55" t="s">
        <v>355</v>
      </c>
      <c r="H2603" s="108" t="s">
        <v>402</v>
      </c>
      <c r="I2603" s="111" t="s">
        <v>402</v>
      </c>
      <c r="J2603" s="111" t="s">
        <v>402</v>
      </c>
      <c r="K2603" s="106" t="s">
        <v>403</v>
      </c>
      <c r="L2603" s="55" t="s">
        <v>404</v>
      </c>
      <c r="M2603" s="55" t="s">
        <v>7634</v>
      </c>
    </row>
    <row r="2604" spans="1:13">
      <c r="A2604" s="408" t="s">
        <v>6438</v>
      </c>
      <c r="B2604" s="106" t="s">
        <v>327</v>
      </c>
      <c r="C2604" s="106" t="s">
        <v>473</v>
      </c>
      <c r="D2604" s="107" t="s">
        <v>6439</v>
      </c>
      <c r="E2604" s="109" t="s">
        <v>355</v>
      </c>
      <c r="F2604" s="109" t="s">
        <v>355</v>
      </c>
      <c r="G2604" s="55" t="s">
        <v>355</v>
      </c>
      <c r="H2604" s="108" t="s">
        <v>402</v>
      </c>
      <c r="I2604" s="111" t="s">
        <v>402</v>
      </c>
      <c r="J2604" s="111" t="s">
        <v>402</v>
      </c>
      <c r="K2604" s="106" t="s">
        <v>403</v>
      </c>
      <c r="L2604" s="55" t="s">
        <v>404</v>
      </c>
      <c r="M2604" s="55" t="s">
        <v>7634</v>
      </c>
    </row>
    <row r="2605" spans="1:13">
      <c r="A2605" s="408" t="s">
        <v>6440</v>
      </c>
      <c r="B2605" s="106" t="s">
        <v>327</v>
      </c>
      <c r="C2605" s="106" t="s">
        <v>473</v>
      </c>
      <c r="D2605" s="107" t="s">
        <v>6441</v>
      </c>
      <c r="E2605" s="109" t="s">
        <v>355</v>
      </c>
      <c r="F2605" s="109" t="s">
        <v>355</v>
      </c>
      <c r="G2605" s="55" t="s">
        <v>355</v>
      </c>
      <c r="H2605" s="108" t="s">
        <v>402</v>
      </c>
      <c r="I2605" s="111" t="s">
        <v>402</v>
      </c>
      <c r="J2605" s="111" t="s">
        <v>402</v>
      </c>
      <c r="K2605" s="106" t="s">
        <v>403</v>
      </c>
      <c r="L2605" s="55" t="s">
        <v>404</v>
      </c>
      <c r="M2605" s="55" t="s">
        <v>7634</v>
      </c>
    </row>
    <row r="2606" spans="1:13">
      <c r="A2606" s="408" t="s">
        <v>6442</v>
      </c>
      <c r="B2606" s="106" t="s">
        <v>327</v>
      </c>
      <c r="C2606" s="106" t="s">
        <v>473</v>
      </c>
      <c r="D2606" s="107" t="s">
        <v>6443</v>
      </c>
      <c r="E2606" s="109" t="s">
        <v>355</v>
      </c>
      <c r="F2606" s="109" t="s">
        <v>355</v>
      </c>
      <c r="G2606" s="55" t="s">
        <v>355</v>
      </c>
      <c r="H2606" s="108" t="s">
        <v>402</v>
      </c>
      <c r="I2606" s="111" t="s">
        <v>402</v>
      </c>
      <c r="J2606" s="111" t="s">
        <v>402</v>
      </c>
      <c r="K2606" s="106" t="s">
        <v>403</v>
      </c>
      <c r="L2606" s="55" t="s">
        <v>404</v>
      </c>
      <c r="M2606" s="55" t="s">
        <v>7634</v>
      </c>
    </row>
    <row r="2607" spans="1:13">
      <c r="A2607" s="408" t="s">
        <v>6444</v>
      </c>
      <c r="B2607" s="106" t="s">
        <v>327</v>
      </c>
      <c r="C2607" s="106" t="s">
        <v>473</v>
      </c>
      <c r="D2607" s="107" t="s">
        <v>6445</v>
      </c>
      <c r="E2607" s="109" t="s">
        <v>355</v>
      </c>
      <c r="F2607" s="109" t="s">
        <v>355</v>
      </c>
      <c r="G2607" s="55" t="s">
        <v>355</v>
      </c>
      <c r="H2607" s="108" t="s">
        <v>402</v>
      </c>
      <c r="I2607" s="111" t="s">
        <v>402</v>
      </c>
      <c r="J2607" s="111" t="s">
        <v>402</v>
      </c>
      <c r="K2607" s="106" t="s">
        <v>403</v>
      </c>
      <c r="L2607" s="55" t="s">
        <v>404</v>
      </c>
      <c r="M2607" s="55" t="s">
        <v>7634</v>
      </c>
    </row>
    <row r="2608" spans="1:13">
      <c r="A2608" s="408" t="s">
        <v>6446</v>
      </c>
      <c r="B2608" s="106" t="s">
        <v>327</v>
      </c>
      <c r="C2608" s="106" t="s">
        <v>473</v>
      </c>
      <c r="D2608" s="107" t="s">
        <v>6447</v>
      </c>
      <c r="E2608" s="109" t="s">
        <v>355</v>
      </c>
      <c r="F2608" s="109" t="s">
        <v>355</v>
      </c>
      <c r="G2608" s="55" t="s">
        <v>355</v>
      </c>
      <c r="H2608" s="108" t="s">
        <v>402</v>
      </c>
      <c r="I2608" s="111" t="s">
        <v>402</v>
      </c>
      <c r="J2608" s="111" t="s">
        <v>402</v>
      </c>
      <c r="K2608" s="106" t="s">
        <v>403</v>
      </c>
      <c r="L2608" s="55" t="s">
        <v>404</v>
      </c>
      <c r="M2608" s="55" t="s">
        <v>7634</v>
      </c>
    </row>
    <row r="2609" spans="1:13">
      <c r="A2609" s="408" t="s">
        <v>6448</v>
      </c>
      <c r="B2609" s="106" t="s">
        <v>327</v>
      </c>
      <c r="C2609" s="106" t="s">
        <v>473</v>
      </c>
      <c r="D2609" s="107" t="s">
        <v>6449</v>
      </c>
      <c r="E2609" s="109" t="s">
        <v>355</v>
      </c>
      <c r="F2609" s="109" t="s">
        <v>355</v>
      </c>
      <c r="G2609" s="55" t="s">
        <v>355</v>
      </c>
      <c r="H2609" s="108" t="s">
        <v>402</v>
      </c>
      <c r="I2609" s="111" t="s">
        <v>402</v>
      </c>
      <c r="J2609" s="111" t="s">
        <v>402</v>
      </c>
      <c r="K2609" s="106" t="s">
        <v>403</v>
      </c>
      <c r="L2609" s="55" t="s">
        <v>404</v>
      </c>
      <c r="M2609" s="55" t="s">
        <v>7634</v>
      </c>
    </row>
    <row r="2610" spans="1:13">
      <c r="A2610" s="578" t="s">
        <v>6450</v>
      </c>
      <c r="B2610" s="586" t="s">
        <v>473</v>
      </c>
      <c r="C2610" s="586" t="s">
        <v>473</v>
      </c>
      <c r="D2610" s="586" t="s">
        <v>6451</v>
      </c>
      <c r="E2610" s="586" t="s">
        <v>6452</v>
      </c>
      <c r="F2610" s="586" t="s">
        <v>6453</v>
      </c>
      <c r="G2610" s="586" t="s">
        <v>377</v>
      </c>
      <c r="H2610" s="586" t="s">
        <v>359</v>
      </c>
      <c r="I2610" s="587" t="s">
        <v>359</v>
      </c>
      <c r="J2610" s="586"/>
      <c r="K2610" s="586"/>
      <c r="L2610" s="586"/>
      <c r="M2610" s="55" t="s">
        <v>7634</v>
      </c>
    </row>
    <row r="2611" spans="1:13">
      <c r="A2611" s="401" t="s">
        <v>6454</v>
      </c>
      <c r="B2611" s="106" t="s">
        <v>327</v>
      </c>
      <c r="C2611" s="106" t="s">
        <v>473</v>
      </c>
      <c r="D2611" s="109" t="s">
        <v>383</v>
      </c>
      <c r="E2611" s="109" t="s">
        <v>383</v>
      </c>
      <c r="F2611" s="109" t="s">
        <v>383</v>
      </c>
      <c r="G2611" s="112" t="s">
        <v>6455</v>
      </c>
      <c r="H2611" s="115" t="s">
        <v>402</v>
      </c>
      <c r="I2611" s="111" t="s">
        <v>402</v>
      </c>
      <c r="J2611" s="111" t="s">
        <v>402</v>
      </c>
      <c r="K2611" s="106" t="s">
        <v>1254</v>
      </c>
      <c r="L2611" s="55" t="s">
        <v>404</v>
      </c>
      <c r="M2611" s="55" t="s">
        <v>383</v>
      </c>
    </row>
    <row r="2612" spans="1:13">
      <c r="A2612" s="408" t="s">
        <v>6456</v>
      </c>
      <c r="B2612" s="106" t="s">
        <v>327</v>
      </c>
      <c r="C2612" s="106" t="s">
        <v>473</v>
      </c>
      <c r="D2612" s="107" t="s">
        <v>6457</v>
      </c>
      <c r="E2612" s="109" t="s">
        <v>355</v>
      </c>
      <c r="F2612" s="109" t="s">
        <v>355</v>
      </c>
      <c r="G2612" s="55" t="s">
        <v>355</v>
      </c>
      <c r="H2612" s="108" t="s">
        <v>402</v>
      </c>
      <c r="I2612" s="111" t="s">
        <v>402</v>
      </c>
      <c r="J2612" s="111" t="s">
        <v>402</v>
      </c>
      <c r="K2612" s="106" t="s">
        <v>403</v>
      </c>
      <c r="L2612" s="55" t="s">
        <v>404</v>
      </c>
      <c r="M2612" s="55" t="s">
        <v>7634</v>
      </c>
    </row>
    <row r="2613" spans="1:13">
      <c r="A2613" s="408" t="s">
        <v>6458</v>
      </c>
      <c r="B2613" s="106" t="s">
        <v>327</v>
      </c>
      <c r="C2613" s="106" t="s">
        <v>473</v>
      </c>
      <c r="D2613" s="107" t="s">
        <v>6459</v>
      </c>
      <c r="E2613" s="107" t="s">
        <v>6460</v>
      </c>
      <c r="F2613" s="107" t="s">
        <v>6461</v>
      </c>
      <c r="G2613" s="114" t="s">
        <v>355</v>
      </c>
      <c r="H2613" s="108" t="s">
        <v>402</v>
      </c>
      <c r="I2613" s="111" t="s">
        <v>402</v>
      </c>
      <c r="J2613" s="111" t="s">
        <v>402</v>
      </c>
      <c r="K2613" s="106" t="s">
        <v>403</v>
      </c>
      <c r="L2613" s="55" t="s">
        <v>404</v>
      </c>
      <c r="M2613" s="55" t="s">
        <v>7634</v>
      </c>
    </row>
    <row r="2614" spans="1:13">
      <c r="A2614" s="408" t="s">
        <v>6462</v>
      </c>
      <c r="B2614" s="106" t="s">
        <v>327</v>
      </c>
      <c r="C2614" s="106" t="s">
        <v>473</v>
      </c>
      <c r="D2614" s="107" t="s">
        <v>6463</v>
      </c>
      <c r="E2614" s="109" t="s">
        <v>355</v>
      </c>
      <c r="F2614" s="109" t="s">
        <v>355</v>
      </c>
      <c r="G2614" s="55" t="s">
        <v>355</v>
      </c>
      <c r="H2614" s="108" t="s">
        <v>402</v>
      </c>
      <c r="I2614" s="111" t="s">
        <v>402</v>
      </c>
      <c r="J2614" s="111" t="s">
        <v>402</v>
      </c>
      <c r="K2614" s="106" t="s">
        <v>403</v>
      </c>
      <c r="L2614" s="55" t="s">
        <v>404</v>
      </c>
      <c r="M2614" s="55" t="s">
        <v>7634</v>
      </c>
    </row>
    <row r="2615" spans="1:13">
      <c r="A2615" s="408" t="s">
        <v>6464</v>
      </c>
      <c r="B2615" s="106" t="s">
        <v>327</v>
      </c>
      <c r="C2615" s="106" t="s">
        <v>473</v>
      </c>
      <c r="D2615" s="107" t="s">
        <v>6465</v>
      </c>
      <c r="E2615" s="109" t="s">
        <v>355</v>
      </c>
      <c r="F2615" s="109" t="s">
        <v>355</v>
      </c>
      <c r="G2615" s="55" t="s">
        <v>355</v>
      </c>
      <c r="H2615" s="108" t="s">
        <v>402</v>
      </c>
      <c r="I2615" s="111" t="s">
        <v>402</v>
      </c>
      <c r="J2615" s="111" t="s">
        <v>402</v>
      </c>
      <c r="K2615" s="106" t="s">
        <v>403</v>
      </c>
      <c r="L2615" s="55" t="s">
        <v>404</v>
      </c>
      <c r="M2615" s="55" t="s">
        <v>7634</v>
      </c>
    </row>
    <row r="2616" spans="1:13">
      <c r="A2616" s="408" t="s">
        <v>6466</v>
      </c>
      <c r="B2616" s="106" t="s">
        <v>327</v>
      </c>
      <c r="C2616" s="106" t="s">
        <v>473</v>
      </c>
      <c r="D2616" s="107" t="s">
        <v>6467</v>
      </c>
      <c r="E2616" s="109" t="s">
        <v>6468</v>
      </c>
      <c r="F2616" s="109" t="s">
        <v>6469</v>
      </c>
      <c r="G2616" s="55" t="s">
        <v>355</v>
      </c>
      <c r="H2616" s="108" t="s">
        <v>402</v>
      </c>
      <c r="I2616" s="111" t="s">
        <v>402</v>
      </c>
      <c r="J2616" s="111" t="s">
        <v>402</v>
      </c>
      <c r="K2616" s="106" t="s">
        <v>403</v>
      </c>
      <c r="L2616" s="55" t="s">
        <v>404</v>
      </c>
      <c r="M2616" s="55" t="s">
        <v>7634</v>
      </c>
    </row>
    <row r="2617" spans="1:13">
      <c r="A2617" s="401" t="s">
        <v>6470</v>
      </c>
      <c r="B2617" s="106" t="s">
        <v>327</v>
      </c>
      <c r="C2617" s="106" t="s">
        <v>473</v>
      </c>
      <c r="D2617" s="109" t="s">
        <v>6471</v>
      </c>
      <c r="E2617" s="109" t="s">
        <v>6472</v>
      </c>
      <c r="F2617" s="109" t="s">
        <v>6473</v>
      </c>
      <c r="G2617" s="590" t="s">
        <v>6474</v>
      </c>
      <c r="H2617" s="115" t="s">
        <v>402</v>
      </c>
      <c r="I2617" s="111" t="s">
        <v>402</v>
      </c>
      <c r="J2617" s="111" t="s">
        <v>402</v>
      </c>
      <c r="K2617" s="106" t="s">
        <v>403</v>
      </c>
      <c r="L2617" s="55" t="s">
        <v>404</v>
      </c>
      <c r="M2617" s="113" t="s">
        <v>1173</v>
      </c>
    </row>
    <row r="2618" spans="1:13">
      <c r="A2618" s="408" t="s">
        <v>6475</v>
      </c>
      <c r="B2618" s="106" t="s">
        <v>327</v>
      </c>
      <c r="C2618" s="106" t="s">
        <v>473</v>
      </c>
      <c r="D2618" s="107" t="s">
        <v>6476</v>
      </c>
      <c r="E2618" s="109" t="s">
        <v>355</v>
      </c>
      <c r="F2618" s="109" t="s">
        <v>355</v>
      </c>
      <c r="G2618" s="55" t="s">
        <v>355</v>
      </c>
      <c r="H2618" s="108" t="s">
        <v>402</v>
      </c>
      <c r="I2618" s="111" t="s">
        <v>402</v>
      </c>
      <c r="J2618" s="111" t="s">
        <v>402</v>
      </c>
      <c r="K2618" s="106" t="s">
        <v>403</v>
      </c>
      <c r="L2618" s="55" t="s">
        <v>404</v>
      </c>
      <c r="M2618" s="55" t="s">
        <v>7634</v>
      </c>
    </row>
    <row r="2619" spans="1:13">
      <c r="A2619" s="408" t="s">
        <v>6477</v>
      </c>
      <c r="B2619" s="106" t="s">
        <v>327</v>
      </c>
      <c r="C2619" s="106" t="s">
        <v>473</v>
      </c>
      <c r="D2619" s="107" t="s">
        <v>6478</v>
      </c>
      <c r="E2619" s="109" t="s">
        <v>355</v>
      </c>
      <c r="F2619" s="109" t="s">
        <v>355</v>
      </c>
      <c r="G2619" s="55" t="s">
        <v>355</v>
      </c>
      <c r="H2619" s="108" t="s">
        <v>402</v>
      </c>
      <c r="I2619" s="111" t="s">
        <v>402</v>
      </c>
      <c r="J2619" s="111" t="s">
        <v>402</v>
      </c>
      <c r="K2619" s="106" t="s">
        <v>403</v>
      </c>
      <c r="L2619" s="55" t="s">
        <v>404</v>
      </c>
      <c r="M2619" s="55" t="s">
        <v>7634</v>
      </c>
    </row>
    <row r="2620" spans="1:13">
      <c r="A2620" s="408" t="s">
        <v>6479</v>
      </c>
      <c r="B2620" s="106" t="s">
        <v>327</v>
      </c>
      <c r="C2620" s="106" t="s">
        <v>473</v>
      </c>
      <c r="D2620" s="107" t="s">
        <v>6480</v>
      </c>
      <c r="E2620" s="109" t="s">
        <v>355</v>
      </c>
      <c r="F2620" s="109" t="s">
        <v>355</v>
      </c>
      <c r="G2620" s="55" t="s">
        <v>355</v>
      </c>
      <c r="H2620" s="108" t="s">
        <v>402</v>
      </c>
      <c r="I2620" s="111" t="s">
        <v>402</v>
      </c>
      <c r="J2620" s="111" t="s">
        <v>402</v>
      </c>
      <c r="K2620" s="106" t="s">
        <v>403</v>
      </c>
      <c r="L2620" s="55" t="s">
        <v>404</v>
      </c>
      <c r="M2620" s="55" t="s">
        <v>7634</v>
      </c>
    </row>
    <row r="2621" spans="1:13">
      <c r="A2621" s="408" t="s">
        <v>6481</v>
      </c>
      <c r="B2621" s="106" t="s">
        <v>327</v>
      </c>
      <c r="C2621" s="106" t="s">
        <v>473</v>
      </c>
      <c r="D2621" s="107" t="s">
        <v>6482</v>
      </c>
      <c r="E2621" s="109" t="s">
        <v>355</v>
      </c>
      <c r="F2621" s="109" t="s">
        <v>355</v>
      </c>
      <c r="G2621" s="55" t="s">
        <v>355</v>
      </c>
      <c r="H2621" s="108" t="s">
        <v>402</v>
      </c>
      <c r="I2621" s="111" t="s">
        <v>402</v>
      </c>
      <c r="J2621" s="111" t="s">
        <v>402</v>
      </c>
      <c r="K2621" s="106" t="s">
        <v>403</v>
      </c>
      <c r="L2621" s="55" t="s">
        <v>404</v>
      </c>
      <c r="M2621" s="55" t="s">
        <v>7634</v>
      </c>
    </row>
    <row r="2622" spans="1:13">
      <c r="A2622" s="401" t="s">
        <v>6483</v>
      </c>
      <c r="B2622" s="106" t="s">
        <v>984</v>
      </c>
      <c r="C2622" s="106" t="s">
        <v>473</v>
      </c>
      <c r="D2622" s="107" t="s">
        <v>6484</v>
      </c>
      <c r="E2622" s="107" t="s">
        <v>6485</v>
      </c>
      <c r="F2622" s="107" t="s">
        <v>6486</v>
      </c>
      <c r="G2622" s="114" t="s">
        <v>355</v>
      </c>
      <c r="H2622" s="115" t="s">
        <v>402</v>
      </c>
      <c r="I2622" s="111" t="s">
        <v>402</v>
      </c>
      <c r="J2622" s="111" t="s">
        <v>402</v>
      </c>
      <c r="K2622" s="106" t="s">
        <v>403</v>
      </c>
      <c r="L2622" s="55" t="s">
        <v>404</v>
      </c>
      <c r="M2622" s="113" t="s">
        <v>383</v>
      </c>
    </row>
    <row r="2623" spans="1:13">
      <c r="A2623" s="401" t="s">
        <v>6487</v>
      </c>
      <c r="B2623" s="106" t="s">
        <v>327</v>
      </c>
      <c r="C2623" s="106" t="s">
        <v>473</v>
      </c>
      <c r="D2623" s="107" t="s">
        <v>6488</v>
      </c>
      <c r="E2623" s="107" t="s">
        <v>6487</v>
      </c>
      <c r="F2623" s="107" t="s">
        <v>6489</v>
      </c>
      <c r="G2623" s="108" t="s">
        <v>355</v>
      </c>
      <c r="H2623" s="54" t="s">
        <v>358</v>
      </c>
      <c r="I2623" s="583" t="s">
        <v>359</v>
      </c>
      <c r="J2623" s="582" t="s">
        <v>359</v>
      </c>
      <c r="K2623" s="584" t="s">
        <v>360</v>
      </c>
      <c r="L2623" s="54" t="s">
        <v>361</v>
      </c>
      <c r="M2623" s="55" t="s">
        <v>7634</v>
      </c>
    </row>
    <row r="2624" spans="1:13">
      <c r="A2624" s="408" t="s">
        <v>6490</v>
      </c>
      <c r="B2624" s="106" t="s">
        <v>327</v>
      </c>
      <c r="C2624" s="106" t="s">
        <v>473</v>
      </c>
      <c r="D2624" s="107" t="s">
        <v>6491</v>
      </c>
      <c r="E2624" s="109" t="s">
        <v>355</v>
      </c>
      <c r="F2624" s="109" t="s">
        <v>355</v>
      </c>
      <c r="G2624" s="55" t="s">
        <v>355</v>
      </c>
      <c r="H2624" s="108" t="s">
        <v>402</v>
      </c>
      <c r="I2624" s="111" t="s">
        <v>402</v>
      </c>
      <c r="J2624" s="111" t="s">
        <v>402</v>
      </c>
      <c r="K2624" s="106" t="s">
        <v>403</v>
      </c>
      <c r="L2624" s="55" t="s">
        <v>404</v>
      </c>
      <c r="M2624" s="55" t="s">
        <v>7634</v>
      </c>
    </row>
    <row r="2625" spans="1:13">
      <c r="A2625" s="408" t="s">
        <v>6492</v>
      </c>
      <c r="B2625" s="106" t="s">
        <v>327</v>
      </c>
      <c r="C2625" s="106" t="s">
        <v>473</v>
      </c>
      <c r="D2625" s="107" t="s">
        <v>6493</v>
      </c>
      <c r="E2625" s="109" t="s">
        <v>355</v>
      </c>
      <c r="F2625" s="109" t="s">
        <v>355</v>
      </c>
      <c r="G2625" s="55" t="s">
        <v>355</v>
      </c>
      <c r="H2625" s="108" t="s">
        <v>402</v>
      </c>
      <c r="I2625" s="111" t="s">
        <v>402</v>
      </c>
      <c r="J2625" s="111" t="s">
        <v>402</v>
      </c>
      <c r="K2625" s="106" t="s">
        <v>403</v>
      </c>
      <c r="L2625" s="55" t="s">
        <v>404</v>
      </c>
      <c r="M2625" s="55" t="s">
        <v>7634</v>
      </c>
    </row>
    <row r="2626" spans="1:13">
      <c r="A2626" s="408" t="s">
        <v>6494</v>
      </c>
      <c r="B2626" s="106" t="s">
        <v>327</v>
      </c>
      <c r="C2626" s="106" t="s">
        <v>473</v>
      </c>
      <c r="D2626" s="107" t="s">
        <v>6495</v>
      </c>
      <c r="E2626" s="109" t="s">
        <v>355</v>
      </c>
      <c r="F2626" s="109" t="s">
        <v>355</v>
      </c>
      <c r="G2626" s="55" t="s">
        <v>355</v>
      </c>
      <c r="H2626" s="108" t="s">
        <v>402</v>
      </c>
      <c r="I2626" s="111" t="s">
        <v>402</v>
      </c>
      <c r="J2626" s="111" t="s">
        <v>402</v>
      </c>
      <c r="K2626" s="106" t="s">
        <v>403</v>
      </c>
      <c r="L2626" s="55" t="s">
        <v>404</v>
      </c>
      <c r="M2626" s="55" t="s">
        <v>7634</v>
      </c>
    </row>
    <row r="2627" spans="1:13">
      <c r="A2627" s="408" t="s">
        <v>6496</v>
      </c>
      <c r="B2627" s="106" t="s">
        <v>327</v>
      </c>
      <c r="C2627" s="106" t="s">
        <v>473</v>
      </c>
      <c r="D2627" s="107" t="s">
        <v>6497</v>
      </c>
      <c r="E2627" s="109" t="s">
        <v>355</v>
      </c>
      <c r="F2627" s="109" t="s">
        <v>355</v>
      </c>
      <c r="G2627" s="55" t="s">
        <v>355</v>
      </c>
      <c r="H2627" s="108" t="s">
        <v>402</v>
      </c>
      <c r="I2627" s="111" t="s">
        <v>402</v>
      </c>
      <c r="J2627" s="111" t="s">
        <v>402</v>
      </c>
      <c r="K2627" s="106" t="s">
        <v>403</v>
      </c>
      <c r="L2627" s="55" t="s">
        <v>404</v>
      </c>
      <c r="M2627" s="55" t="s">
        <v>7634</v>
      </c>
    </row>
    <row r="2628" spans="1:13">
      <c r="A2628" s="408" t="s">
        <v>6498</v>
      </c>
      <c r="B2628" s="106" t="s">
        <v>327</v>
      </c>
      <c r="C2628" s="106" t="s">
        <v>473</v>
      </c>
      <c r="D2628" s="107" t="s">
        <v>6499</v>
      </c>
      <c r="E2628" s="109" t="s">
        <v>355</v>
      </c>
      <c r="F2628" s="109" t="s">
        <v>355</v>
      </c>
      <c r="G2628" s="55" t="s">
        <v>355</v>
      </c>
      <c r="H2628" s="108" t="s">
        <v>402</v>
      </c>
      <c r="I2628" s="111" t="s">
        <v>402</v>
      </c>
      <c r="J2628" s="111" t="s">
        <v>402</v>
      </c>
      <c r="K2628" s="106" t="s">
        <v>403</v>
      </c>
      <c r="L2628" s="55" t="s">
        <v>404</v>
      </c>
      <c r="M2628" s="55" t="s">
        <v>7634</v>
      </c>
    </row>
    <row r="2629" spans="1:13">
      <c r="A2629" s="408" t="s">
        <v>6500</v>
      </c>
      <c r="B2629" s="106" t="s">
        <v>327</v>
      </c>
      <c r="C2629" s="106" t="s">
        <v>473</v>
      </c>
      <c r="D2629" s="107" t="s">
        <v>6501</v>
      </c>
      <c r="E2629" s="109" t="s">
        <v>355</v>
      </c>
      <c r="F2629" s="109" t="s">
        <v>355</v>
      </c>
      <c r="G2629" s="55" t="s">
        <v>355</v>
      </c>
      <c r="H2629" s="108" t="s">
        <v>402</v>
      </c>
      <c r="I2629" s="111" t="s">
        <v>402</v>
      </c>
      <c r="J2629" s="111" t="s">
        <v>402</v>
      </c>
      <c r="K2629" s="106" t="s">
        <v>403</v>
      </c>
      <c r="L2629" s="55" t="s">
        <v>404</v>
      </c>
      <c r="M2629" s="55" t="s">
        <v>7634</v>
      </c>
    </row>
    <row r="2630" spans="1:13">
      <c r="A2630" s="408" t="s">
        <v>6502</v>
      </c>
      <c r="B2630" s="106" t="s">
        <v>327</v>
      </c>
      <c r="C2630" s="106" t="s">
        <v>473</v>
      </c>
      <c r="D2630" s="107" t="s">
        <v>6503</v>
      </c>
      <c r="E2630" s="109" t="s">
        <v>355</v>
      </c>
      <c r="F2630" s="109" t="s">
        <v>355</v>
      </c>
      <c r="G2630" s="55" t="s">
        <v>355</v>
      </c>
      <c r="H2630" s="108" t="s">
        <v>402</v>
      </c>
      <c r="I2630" s="111" t="s">
        <v>402</v>
      </c>
      <c r="J2630" s="111" t="s">
        <v>402</v>
      </c>
      <c r="K2630" s="106" t="s">
        <v>403</v>
      </c>
      <c r="L2630" s="55" t="s">
        <v>404</v>
      </c>
      <c r="M2630" s="55" t="s">
        <v>7634</v>
      </c>
    </row>
    <row r="2631" spans="1:13">
      <c r="A2631" s="408" t="s">
        <v>6504</v>
      </c>
      <c r="B2631" s="106" t="s">
        <v>327</v>
      </c>
      <c r="C2631" s="106" t="s">
        <v>473</v>
      </c>
      <c r="D2631" s="107" t="s">
        <v>6505</v>
      </c>
      <c r="E2631" s="109" t="s">
        <v>355</v>
      </c>
      <c r="F2631" s="109" t="s">
        <v>355</v>
      </c>
      <c r="G2631" s="55" t="s">
        <v>355</v>
      </c>
      <c r="H2631" s="108" t="s">
        <v>402</v>
      </c>
      <c r="I2631" s="111" t="s">
        <v>402</v>
      </c>
      <c r="J2631" s="111" t="s">
        <v>402</v>
      </c>
      <c r="K2631" s="106" t="s">
        <v>403</v>
      </c>
      <c r="L2631" s="55" t="s">
        <v>404</v>
      </c>
      <c r="M2631" s="55" t="s">
        <v>7634</v>
      </c>
    </row>
    <row r="2632" spans="1:13">
      <c r="A2632" s="408" t="s">
        <v>6506</v>
      </c>
      <c r="B2632" s="106" t="s">
        <v>327</v>
      </c>
      <c r="C2632" s="106" t="s">
        <v>473</v>
      </c>
      <c r="D2632" s="107" t="s">
        <v>6507</v>
      </c>
      <c r="E2632" s="109" t="s">
        <v>355</v>
      </c>
      <c r="F2632" s="109" t="s">
        <v>355</v>
      </c>
      <c r="G2632" s="55" t="s">
        <v>355</v>
      </c>
      <c r="H2632" s="108" t="s">
        <v>402</v>
      </c>
      <c r="I2632" s="111" t="s">
        <v>402</v>
      </c>
      <c r="J2632" s="111" t="s">
        <v>402</v>
      </c>
      <c r="K2632" s="106" t="s">
        <v>403</v>
      </c>
      <c r="L2632" s="55" t="s">
        <v>404</v>
      </c>
      <c r="M2632" s="55" t="s">
        <v>7634</v>
      </c>
    </row>
    <row r="2633" spans="1:13">
      <c r="A2633" s="408" t="s">
        <v>6508</v>
      </c>
      <c r="B2633" s="106" t="s">
        <v>327</v>
      </c>
      <c r="C2633" s="106" t="s">
        <v>473</v>
      </c>
      <c r="D2633" s="107" t="s">
        <v>6507</v>
      </c>
      <c r="E2633" s="109" t="s">
        <v>355</v>
      </c>
      <c r="F2633" s="109" t="s">
        <v>355</v>
      </c>
      <c r="G2633" s="55" t="s">
        <v>355</v>
      </c>
      <c r="H2633" s="108" t="s">
        <v>402</v>
      </c>
      <c r="I2633" s="111" t="s">
        <v>402</v>
      </c>
      <c r="J2633" s="111" t="s">
        <v>402</v>
      </c>
      <c r="K2633" s="106" t="s">
        <v>403</v>
      </c>
      <c r="L2633" s="55" t="s">
        <v>404</v>
      </c>
      <c r="M2633" s="55" t="s">
        <v>7634</v>
      </c>
    </row>
    <row r="2634" spans="1:13">
      <c r="A2634" s="408" t="s">
        <v>6509</v>
      </c>
      <c r="B2634" s="106" t="s">
        <v>327</v>
      </c>
      <c r="C2634" s="106" t="s">
        <v>473</v>
      </c>
      <c r="D2634" s="107" t="s">
        <v>6510</v>
      </c>
      <c r="E2634" s="109" t="s">
        <v>355</v>
      </c>
      <c r="F2634" s="109" t="s">
        <v>355</v>
      </c>
      <c r="G2634" s="55" t="s">
        <v>355</v>
      </c>
      <c r="H2634" s="108" t="s">
        <v>402</v>
      </c>
      <c r="I2634" s="111" t="s">
        <v>402</v>
      </c>
      <c r="J2634" s="111" t="s">
        <v>402</v>
      </c>
      <c r="K2634" s="106" t="s">
        <v>403</v>
      </c>
      <c r="L2634" s="55" t="s">
        <v>404</v>
      </c>
      <c r="M2634" s="55" t="s">
        <v>7634</v>
      </c>
    </row>
    <row r="2635" spans="1:13">
      <c r="A2635" s="408" t="s">
        <v>6511</v>
      </c>
      <c r="B2635" s="106" t="s">
        <v>327</v>
      </c>
      <c r="C2635" s="106" t="s">
        <v>473</v>
      </c>
      <c r="D2635" s="107" t="s">
        <v>6512</v>
      </c>
      <c r="E2635" s="109" t="s">
        <v>355</v>
      </c>
      <c r="F2635" s="109" t="s">
        <v>355</v>
      </c>
      <c r="G2635" s="55" t="s">
        <v>355</v>
      </c>
      <c r="H2635" s="108" t="s">
        <v>402</v>
      </c>
      <c r="I2635" s="111" t="s">
        <v>402</v>
      </c>
      <c r="J2635" s="111" t="s">
        <v>402</v>
      </c>
      <c r="K2635" s="106" t="s">
        <v>403</v>
      </c>
      <c r="L2635" s="55" t="s">
        <v>404</v>
      </c>
      <c r="M2635" s="55" t="s">
        <v>7634</v>
      </c>
    </row>
    <row r="2636" spans="1:13">
      <c r="A2636" s="408" t="s">
        <v>6513</v>
      </c>
      <c r="B2636" s="106" t="s">
        <v>327</v>
      </c>
      <c r="C2636" s="106" t="s">
        <v>473</v>
      </c>
      <c r="D2636" s="107" t="s">
        <v>6514</v>
      </c>
      <c r="E2636" s="109" t="s">
        <v>355</v>
      </c>
      <c r="F2636" s="109" t="s">
        <v>355</v>
      </c>
      <c r="G2636" s="55" t="s">
        <v>355</v>
      </c>
      <c r="H2636" s="108" t="s">
        <v>402</v>
      </c>
      <c r="I2636" s="111" t="s">
        <v>402</v>
      </c>
      <c r="J2636" s="111" t="s">
        <v>402</v>
      </c>
      <c r="K2636" s="106" t="s">
        <v>403</v>
      </c>
      <c r="L2636" s="55" t="s">
        <v>404</v>
      </c>
      <c r="M2636" s="55" t="s">
        <v>7634</v>
      </c>
    </row>
    <row r="2637" spans="1:13">
      <c r="A2637" s="578" t="s">
        <v>6515</v>
      </c>
      <c r="B2637" s="586" t="s">
        <v>473</v>
      </c>
      <c r="C2637" s="586" t="s">
        <v>473</v>
      </c>
      <c r="D2637" s="586"/>
      <c r="E2637" s="109" t="s">
        <v>355</v>
      </c>
      <c r="F2637" s="109" t="s">
        <v>355</v>
      </c>
      <c r="G2637" s="55" t="s">
        <v>355</v>
      </c>
      <c r="H2637" s="586" t="s">
        <v>359</v>
      </c>
      <c r="I2637" s="587" t="s">
        <v>359</v>
      </c>
      <c r="J2637" s="586"/>
      <c r="K2637" s="586"/>
      <c r="L2637" s="586"/>
      <c r="M2637" s="55" t="s">
        <v>7634</v>
      </c>
    </row>
    <row r="2638" spans="1:13">
      <c r="A2638" s="401" t="s">
        <v>6516</v>
      </c>
      <c r="B2638" s="106" t="s">
        <v>613</v>
      </c>
      <c r="C2638" s="106" t="s">
        <v>473</v>
      </c>
      <c r="D2638" s="107" t="s">
        <v>6516</v>
      </c>
      <c r="E2638" s="107" t="s">
        <v>6517</v>
      </c>
      <c r="F2638" s="107" t="s">
        <v>6518</v>
      </c>
      <c r="G2638" s="590" t="s">
        <v>6519</v>
      </c>
      <c r="H2638" s="115" t="s">
        <v>402</v>
      </c>
      <c r="I2638" s="111" t="s">
        <v>402</v>
      </c>
      <c r="J2638" s="111" t="s">
        <v>402</v>
      </c>
      <c r="K2638" s="106" t="s">
        <v>403</v>
      </c>
      <c r="L2638" s="55" t="s">
        <v>404</v>
      </c>
      <c r="M2638" s="55" t="s">
        <v>355</v>
      </c>
    </row>
    <row r="2639" spans="1:13">
      <c r="A2639" s="401" t="s">
        <v>6520</v>
      </c>
      <c r="B2639" s="106" t="s">
        <v>327</v>
      </c>
      <c r="C2639" s="106" t="s">
        <v>473</v>
      </c>
      <c r="D2639" s="107" t="s">
        <v>6520</v>
      </c>
      <c r="E2639" s="107" t="s">
        <v>355</v>
      </c>
      <c r="F2639" s="107" t="s">
        <v>355</v>
      </c>
      <c r="G2639" s="57" t="s">
        <v>6521</v>
      </c>
      <c r="H2639" s="108" t="s">
        <v>402</v>
      </c>
      <c r="I2639" s="111" t="s">
        <v>402</v>
      </c>
      <c r="J2639" s="111" t="s">
        <v>402</v>
      </c>
      <c r="K2639" s="106" t="s">
        <v>403</v>
      </c>
      <c r="L2639" s="55" t="s">
        <v>404</v>
      </c>
      <c r="M2639" s="55" t="s">
        <v>355</v>
      </c>
    </row>
    <row r="2640" spans="1:13">
      <c r="A2640" s="408" t="s">
        <v>6522</v>
      </c>
      <c r="B2640" s="106" t="s">
        <v>327</v>
      </c>
      <c r="C2640" s="106" t="s">
        <v>473</v>
      </c>
      <c r="D2640" s="107" t="s">
        <v>6523</v>
      </c>
      <c r="E2640" s="109" t="s">
        <v>355</v>
      </c>
      <c r="F2640" s="109" t="s">
        <v>355</v>
      </c>
      <c r="G2640" s="55" t="s">
        <v>355</v>
      </c>
      <c r="H2640" s="108" t="s">
        <v>402</v>
      </c>
      <c r="I2640" s="111" t="s">
        <v>402</v>
      </c>
      <c r="J2640" s="111" t="s">
        <v>402</v>
      </c>
      <c r="K2640" s="106" t="s">
        <v>403</v>
      </c>
      <c r="L2640" s="55" t="s">
        <v>404</v>
      </c>
      <c r="M2640" s="55" t="s">
        <v>7634</v>
      </c>
    </row>
    <row r="2641" spans="1:13">
      <c r="A2641" s="401" t="s">
        <v>6524</v>
      </c>
      <c r="B2641" s="106" t="s">
        <v>327</v>
      </c>
      <c r="C2641" s="106" t="s">
        <v>473</v>
      </c>
      <c r="D2641" s="109" t="s">
        <v>6525</v>
      </c>
      <c r="E2641" s="109" t="s">
        <v>6526</v>
      </c>
      <c r="F2641" s="109" t="s">
        <v>383</v>
      </c>
      <c r="G2641" s="112" t="s">
        <v>6527</v>
      </c>
      <c r="H2641" s="115" t="s">
        <v>402</v>
      </c>
      <c r="I2641" s="111" t="s">
        <v>402</v>
      </c>
      <c r="J2641" s="111" t="s">
        <v>402</v>
      </c>
      <c r="K2641" s="106" t="s">
        <v>1254</v>
      </c>
      <c r="L2641" s="55" t="s">
        <v>404</v>
      </c>
      <c r="M2641" s="55" t="s">
        <v>383</v>
      </c>
    </row>
    <row r="2642" spans="1:13">
      <c r="A2642" s="401" t="s">
        <v>6528</v>
      </c>
      <c r="B2642" s="106" t="s">
        <v>327</v>
      </c>
      <c r="C2642" s="106" t="s">
        <v>473</v>
      </c>
      <c r="D2642" s="109" t="s">
        <v>6529</v>
      </c>
      <c r="E2642" s="109" t="s">
        <v>2303</v>
      </c>
      <c r="F2642" s="109" t="s">
        <v>6530</v>
      </c>
      <c r="G2642" s="117" t="s">
        <v>383</v>
      </c>
      <c r="H2642" s="115" t="s">
        <v>402</v>
      </c>
      <c r="I2642" s="111" t="s">
        <v>402</v>
      </c>
      <c r="J2642" s="111" t="s">
        <v>402</v>
      </c>
      <c r="K2642" s="115" t="s">
        <v>403</v>
      </c>
      <c r="L2642" s="55" t="s">
        <v>404</v>
      </c>
      <c r="M2642" s="113" t="s">
        <v>1173</v>
      </c>
    </row>
    <row r="2643" spans="1:13">
      <c r="A2643" s="408" t="s">
        <v>6531</v>
      </c>
      <c r="B2643" s="106" t="s">
        <v>327</v>
      </c>
      <c r="C2643" s="106" t="s">
        <v>473</v>
      </c>
      <c r="D2643" s="107" t="s">
        <v>6532</v>
      </c>
      <c r="E2643" s="109" t="s">
        <v>355</v>
      </c>
      <c r="F2643" s="109" t="s">
        <v>355</v>
      </c>
      <c r="G2643" s="55" t="s">
        <v>355</v>
      </c>
      <c r="H2643" s="108" t="s">
        <v>402</v>
      </c>
      <c r="I2643" s="111" t="s">
        <v>402</v>
      </c>
      <c r="J2643" s="111" t="s">
        <v>402</v>
      </c>
      <c r="K2643" s="106" t="s">
        <v>403</v>
      </c>
      <c r="L2643" s="55" t="s">
        <v>404</v>
      </c>
      <c r="M2643" s="55" t="s">
        <v>7634</v>
      </c>
    </row>
    <row r="2644" spans="1:13">
      <c r="A2644" s="408" t="s">
        <v>6533</v>
      </c>
      <c r="B2644" s="106" t="s">
        <v>327</v>
      </c>
      <c r="C2644" s="106" t="s">
        <v>473</v>
      </c>
      <c r="D2644" s="107" t="s">
        <v>6534</v>
      </c>
      <c r="E2644" s="109" t="s">
        <v>355</v>
      </c>
      <c r="F2644" s="109" t="s">
        <v>355</v>
      </c>
      <c r="G2644" s="55" t="s">
        <v>355</v>
      </c>
      <c r="H2644" s="108" t="s">
        <v>402</v>
      </c>
      <c r="I2644" s="111" t="s">
        <v>402</v>
      </c>
      <c r="J2644" s="111" t="s">
        <v>402</v>
      </c>
      <c r="K2644" s="106" t="s">
        <v>403</v>
      </c>
      <c r="L2644" s="55" t="s">
        <v>404</v>
      </c>
      <c r="M2644" s="55" t="s">
        <v>7634</v>
      </c>
    </row>
    <row r="2645" spans="1:13">
      <c r="A2645" s="408" t="s">
        <v>6535</v>
      </c>
      <c r="B2645" s="106" t="s">
        <v>327</v>
      </c>
      <c r="C2645" s="106" t="s">
        <v>473</v>
      </c>
      <c r="D2645" s="107" t="s">
        <v>6536</v>
      </c>
      <c r="E2645" s="109" t="s">
        <v>355</v>
      </c>
      <c r="F2645" s="109" t="s">
        <v>355</v>
      </c>
      <c r="G2645" s="55" t="s">
        <v>355</v>
      </c>
      <c r="H2645" s="108" t="s">
        <v>402</v>
      </c>
      <c r="I2645" s="111" t="s">
        <v>402</v>
      </c>
      <c r="J2645" s="111" t="s">
        <v>402</v>
      </c>
      <c r="K2645" s="106" t="s">
        <v>403</v>
      </c>
      <c r="L2645" s="55" t="s">
        <v>404</v>
      </c>
      <c r="M2645" s="55" t="s">
        <v>7634</v>
      </c>
    </row>
    <row r="2646" spans="1:13">
      <c r="A2646" s="408" t="s">
        <v>6537</v>
      </c>
      <c r="B2646" s="106" t="s">
        <v>327</v>
      </c>
      <c r="C2646" s="106" t="s">
        <v>473</v>
      </c>
      <c r="D2646" s="107" t="s">
        <v>6538</v>
      </c>
      <c r="E2646" s="109" t="s">
        <v>355</v>
      </c>
      <c r="F2646" s="109" t="s">
        <v>355</v>
      </c>
      <c r="G2646" s="55" t="s">
        <v>355</v>
      </c>
      <c r="H2646" s="108" t="s">
        <v>402</v>
      </c>
      <c r="I2646" s="111" t="s">
        <v>402</v>
      </c>
      <c r="J2646" s="111" t="s">
        <v>402</v>
      </c>
      <c r="K2646" s="106" t="s">
        <v>403</v>
      </c>
      <c r="L2646" s="55" t="s">
        <v>404</v>
      </c>
      <c r="M2646" s="55" t="s">
        <v>7634</v>
      </c>
    </row>
    <row r="2647" spans="1:13">
      <c r="A2647" s="408" t="s">
        <v>6539</v>
      </c>
      <c r="B2647" s="106" t="s">
        <v>327</v>
      </c>
      <c r="C2647" s="106" t="s">
        <v>473</v>
      </c>
      <c r="D2647" s="107" t="s">
        <v>6538</v>
      </c>
      <c r="E2647" s="109" t="s">
        <v>355</v>
      </c>
      <c r="F2647" s="109" t="s">
        <v>355</v>
      </c>
      <c r="G2647" s="55" t="s">
        <v>355</v>
      </c>
      <c r="H2647" s="108" t="s">
        <v>402</v>
      </c>
      <c r="I2647" s="111" t="s">
        <v>402</v>
      </c>
      <c r="J2647" s="111" t="s">
        <v>402</v>
      </c>
      <c r="K2647" s="106" t="s">
        <v>403</v>
      </c>
      <c r="L2647" s="55" t="s">
        <v>404</v>
      </c>
      <c r="M2647" s="55" t="s">
        <v>7634</v>
      </c>
    </row>
    <row r="2648" spans="1:13">
      <c r="A2648" s="408" t="s">
        <v>6540</v>
      </c>
      <c r="B2648" s="106" t="s">
        <v>327</v>
      </c>
      <c r="C2648" s="106" t="s">
        <v>473</v>
      </c>
      <c r="D2648" s="107" t="s">
        <v>6538</v>
      </c>
      <c r="E2648" s="109" t="s">
        <v>355</v>
      </c>
      <c r="F2648" s="109" t="s">
        <v>355</v>
      </c>
      <c r="G2648" s="55" t="s">
        <v>355</v>
      </c>
      <c r="H2648" s="108" t="s">
        <v>402</v>
      </c>
      <c r="I2648" s="111" t="s">
        <v>402</v>
      </c>
      <c r="J2648" s="111" t="s">
        <v>402</v>
      </c>
      <c r="K2648" s="106" t="s">
        <v>403</v>
      </c>
      <c r="L2648" s="55" t="s">
        <v>404</v>
      </c>
      <c r="M2648" s="55" t="s">
        <v>7634</v>
      </c>
    </row>
    <row r="2649" spans="1:13">
      <c r="A2649" s="408" t="s">
        <v>6541</v>
      </c>
      <c r="B2649" s="106" t="s">
        <v>327</v>
      </c>
      <c r="C2649" s="106" t="s">
        <v>473</v>
      </c>
      <c r="D2649" s="107" t="s">
        <v>6538</v>
      </c>
      <c r="E2649" s="109" t="s">
        <v>355</v>
      </c>
      <c r="F2649" s="109" t="s">
        <v>355</v>
      </c>
      <c r="G2649" s="55" t="s">
        <v>355</v>
      </c>
      <c r="H2649" s="108" t="s">
        <v>402</v>
      </c>
      <c r="I2649" s="111" t="s">
        <v>402</v>
      </c>
      <c r="J2649" s="111" t="s">
        <v>402</v>
      </c>
      <c r="K2649" s="106" t="s">
        <v>403</v>
      </c>
      <c r="L2649" s="55" t="s">
        <v>404</v>
      </c>
      <c r="M2649" s="55" t="s">
        <v>7634</v>
      </c>
    </row>
    <row r="2650" spans="1:13">
      <c r="A2650" s="401" t="s">
        <v>6542</v>
      </c>
      <c r="B2650" s="106" t="s">
        <v>327</v>
      </c>
      <c r="C2650" s="106" t="s">
        <v>473</v>
      </c>
      <c r="D2650" s="109" t="s">
        <v>6543</v>
      </c>
      <c r="E2650" s="109" t="s">
        <v>6544</v>
      </c>
      <c r="F2650" s="109" t="s">
        <v>6545</v>
      </c>
      <c r="G2650" s="114" t="s">
        <v>383</v>
      </c>
      <c r="H2650" s="115" t="s">
        <v>402</v>
      </c>
      <c r="I2650" s="111" t="s">
        <v>402</v>
      </c>
      <c r="J2650" s="111" t="s">
        <v>402</v>
      </c>
      <c r="K2650" s="106" t="s">
        <v>403</v>
      </c>
      <c r="L2650" s="55" t="s">
        <v>1200</v>
      </c>
      <c r="M2650" s="113" t="s">
        <v>1173</v>
      </c>
    </row>
    <row r="2651" spans="1:13">
      <c r="A2651" s="408" t="s">
        <v>6546</v>
      </c>
      <c r="B2651" s="106" t="s">
        <v>327</v>
      </c>
      <c r="C2651" s="106" t="s">
        <v>473</v>
      </c>
      <c r="D2651" s="107" t="s">
        <v>6547</v>
      </c>
      <c r="E2651" s="109" t="s">
        <v>355</v>
      </c>
      <c r="F2651" s="109" t="s">
        <v>355</v>
      </c>
      <c r="G2651" s="55" t="s">
        <v>355</v>
      </c>
      <c r="H2651" s="108" t="s">
        <v>402</v>
      </c>
      <c r="I2651" s="111" t="s">
        <v>402</v>
      </c>
      <c r="J2651" s="111" t="s">
        <v>402</v>
      </c>
      <c r="K2651" s="106" t="s">
        <v>403</v>
      </c>
      <c r="L2651" s="55" t="s">
        <v>404</v>
      </c>
      <c r="M2651" s="55" t="s">
        <v>7634</v>
      </c>
    </row>
    <row r="2652" spans="1:13">
      <c r="A2652" s="408" t="s">
        <v>6548</v>
      </c>
      <c r="B2652" s="106" t="s">
        <v>327</v>
      </c>
      <c r="C2652" s="106" t="s">
        <v>473</v>
      </c>
      <c r="D2652" s="107" t="s">
        <v>6549</v>
      </c>
      <c r="E2652" s="109" t="s">
        <v>355</v>
      </c>
      <c r="F2652" s="109" t="s">
        <v>355</v>
      </c>
      <c r="G2652" s="55" t="s">
        <v>355</v>
      </c>
      <c r="H2652" s="108" t="s">
        <v>402</v>
      </c>
      <c r="I2652" s="111" t="s">
        <v>402</v>
      </c>
      <c r="J2652" s="111" t="s">
        <v>402</v>
      </c>
      <c r="K2652" s="106" t="s">
        <v>403</v>
      </c>
      <c r="L2652" s="55" t="s">
        <v>404</v>
      </c>
      <c r="M2652" s="55" t="s">
        <v>7634</v>
      </c>
    </row>
    <row r="2653" spans="1:13">
      <c r="A2653" s="408" t="s">
        <v>6550</v>
      </c>
      <c r="B2653" s="106" t="s">
        <v>327</v>
      </c>
      <c r="C2653" s="106" t="s">
        <v>473</v>
      </c>
      <c r="D2653" s="107" t="s">
        <v>6551</v>
      </c>
      <c r="E2653" s="109" t="s">
        <v>355</v>
      </c>
      <c r="F2653" s="109" t="s">
        <v>355</v>
      </c>
      <c r="G2653" s="55" t="s">
        <v>355</v>
      </c>
      <c r="H2653" s="108" t="s">
        <v>402</v>
      </c>
      <c r="I2653" s="111" t="s">
        <v>402</v>
      </c>
      <c r="J2653" s="111" t="s">
        <v>402</v>
      </c>
      <c r="K2653" s="106" t="s">
        <v>403</v>
      </c>
      <c r="L2653" s="55" t="s">
        <v>404</v>
      </c>
      <c r="M2653" s="55" t="s">
        <v>7634</v>
      </c>
    </row>
    <row r="2654" spans="1:13">
      <c r="A2654" s="408" t="s">
        <v>6552</v>
      </c>
      <c r="B2654" s="106" t="s">
        <v>327</v>
      </c>
      <c r="C2654" s="106" t="s">
        <v>473</v>
      </c>
      <c r="D2654" s="107" t="s">
        <v>6553</v>
      </c>
      <c r="E2654" s="109" t="s">
        <v>355</v>
      </c>
      <c r="F2654" s="109" t="s">
        <v>355</v>
      </c>
      <c r="G2654" s="55" t="s">
        <v>355</v>
      </c>
      <c r="H2654" s="108" t="s">
        <v>402</v>
      </c>
      <c r="I2654" s="111" t="s">
        <v>402</v>
      </c>
      <c r="J2654" s="111" t="s">
        <v>402</v>
      </c>
      <c r="K2654" s="106" t="s">
        <v>403</v>
      </c>
      <c r="L2654" s="55" t="s">
        <v>404</v>
      </c>
      <c r="M2654" s="55" t="s">
        <v>7634</v>
      </c>
    </row>
    <row r="2655" spans="1:13">
      <c r="A2655" s="408" t="s">
        <v>6554</v>
      </c>
      <c r="B2655" s="106" t="s">
        <v>327</v>
      </c>
      <c r="C2655" s="106" t="s">
        <v>473</v>
      </c>
      <c r="D2655" s="107" t="s">
        <v>6555</v>
      </c>
      <c r="E2655" s="109" t="s">
        <v>355</v>
      </c>
      <c r="F2655" s="109" t="s">
        <v>355</v>
      </c>
      <c r="G2655" s="55" t="s">
        <v>355</v>
      </c>
      <c r="H2655" s="108" t="s">
        <v>402</v>
      </c>
      <c r="I2655" s="111" t="s">
        <v>402</v>
      </c>
      <c r="J2655" s="111" t="s">
        <v>402</v>
      </c>
      <c r="K2655" s="106" t="s">
        <v>403</v>
      </c>
      <c r="L2655" s="55" t="s">
        <v>404</v>
      </c>
      <c r="M2655" s="55" t="s">
        <v>7634</v>
      </c>
    </row>
    <row r="2656" spans="1:13">
      <c r="A2656" s="408" t="s">
        <v>6556</v>
      </c>
      <c r="B2656" s="106" t="s">
        <v>327</v>
      </c>
      <c r="C2656" s="106" t="s">
        <v>473</v>
      </c>
      <c r="D2656" s="107" t="s">
        <v>6557</v>
      </c>
      <c r="E2656" s="109" t="s">
        <v>355</v>
      </c>
      <c r="F2656" s="109" t="s">
        <v>355</v>
      </c>
      <c r="G2656" s="55" t="s">
        <v>355</v>
      </c>
      <c r="H2656" s="108" t="s">
        <v>402</v>
      </c>
      <c r="I2656" s="111" t="s">
        <v>402</v>
      </c>
      <c r="J2656" s="111" t="s">
        <v>402</v>
      </c>
      <c r="K2656" s="106" t="s">
        <v>403</v>
      </c>
      <c r="L2656" s="55" t="s">
        <v>404</v>
      </c>
      <c r="M2656" s="55" t="s">
        <v>7634</v>
      </c>
    </row>
    <row r="2657" spans="1:13">
      <c r="A2657" s="401" t="s">
        <v>8579</v>
      </c>
      <c r="B2657" s="106" t="s">
        <v>327</v>
      </c>
      <c r="C2657" s="132" t="s">
        <v>8580</v>
      </c>
      <c r="D2657" s="133" t="s">
        <v>8581</v>
      </c>
      <c r="E2657" s="133" t="s">
        <v>8582</v>
      </c>
      <c r="F2657" s="133" t="s">
        <v>8583</v>
      </c>
      <c r="G2657" s="601" t="s">
        <v>8584</v>
      </c>
      <c r="H2657" s="108" t="s">
        <v>402</v>
      </c>
      <c r="I2657" s="111" t="s">
        <v>402</v>
      </c>
      <c r="J2657" s="111" t="s">
        <v>402</v>
      </c>
      <c r="K2657" s="106" t="s">
        <v>403</v>
      </c>
      <c r="L2657" s="55" t="s">
        <v>404</v>
      </c>
      <c r="M2657" s="55" t="s">
        <v>383</v>
      </c>
    </row>
    <row r="2658" spans="1:13">
      <c r="A2658" s="578" t="s">
        <v>6558</v>
      </c>
      <c r="B2658" s="586" t="s">
        <v>473</v>
      </c>
      <c r="C2658" s="586" t="s">
        <v>473</v>
      </c>
      <c r="D2658" s="586" t="s">
        <v>6559</v>
      </c>
      <c r="E2658" s="586" t="s">
        <v>6560</v>
      </c>
      <c r="F2658" s="586" t="s">
        <v>6561</v>
      </c>
      <c r="G2658" s="586" t="s">
        <v>377</v>
      </c>
      <c r="H2658" s="586" t="s">
        <v>359</v>
      </c>
      <c r="I2658" s="587" t="s">
        <v>359</v>
      </c>
      <c r="J2658" s="586"/>
      <c r="K2658" s="586" t="s">
        <v>360</v>
      </c>
      <c r="L2658" s="586" t="s">
        <v>361</v>
      </c>
      <c r="M2658" s="55" t="s">
        <v>7634</v>
      </c>
    </row>
    <row r="2659" spans="1:13">
      <c r="A2659" s="408" t="s">
        <v>6562</v>
      </c>
      <c r="B2659" s="106" t="s">
        <v>327</v>
      </c>
      <c r="C2659" s="106" t="s">
        <v>473</v>
      </c>
      <c r="D2659" s="107" t="s">
        <v>6563</v>
      </c>
      <c r="E2659" s="109" t="s">
        <v>355</v>
      </c>
      <c r="F2659" s="109" t="s">
        <v>355</v>
      </c>
      <c r="G2659" s="55" t="s">
        <v>355</v>
      </c>
      <c r="H2659" s="108" t="s">
        <v>402</v>
      </c>
      <c r="I2659" s="111" t="s">
        <v>402</v>
      </c>
      <c r="J2659" s="111" t="s">
        <v>402</v>
      </c>
      <c r="K2659" s="106" t="s">
        <v>403</v>
      </c>
      <c r="L2659" s="55" t="s">
        <v>404</v>
      </c>
      <c r="M2659" s="55" t="s">
        <v>7634</v>
      </c>
    </row>
    <row r="2660" spans="1:13">
      <c r="A2660" s="408" t="s">
        <v>6564</v>
      </c>
      <c r="B2660" s="106" t="s">
        <v>327</v>
      </c>
      <c r="C2660" s="106" t="s">
        <v>473</v>
      </c>
      <c r="D2660" s="107" t="s">
        <v>6565</v>
      </c>
      <c r="E2660" s="109" t="s">
        <v>355</v>
      </c>
      <c r="F2660" s="109" t="s">
        <v>355</v>
      </c>
      <c r="G2660" s="55" t="s">
        <v>355</v>
      </c>
      <c r="H2660" s="108" t="s">
        <v>402</v>
      </c>
      <c r="I2660" s="111" t="s">
        <v>402</v>
      </c>
      <c r="J2660" s="111" t="s">
        <v>402</v>
      </c>
      <c r="K2660" s="106" t="s">
        <v>403</v>
      </c>
      <c r="L2660" s="55" t="s">
        <v>404</v>
      </c>
      <c r="M2660" s="55" t="s">
        <v>7634</v>
      </c>
    </row>
    <row r="2661" spans="1:13">
      <c r="A2661" s="408" t="s">
        <v>6566</v>
      </c>
      <c r="B2661" s="106" t="s">
        <v>327</v>
      </c>
      <c r="C2661" s="106" t="s">
        <v>473</v>
      </c>
      <c r="D2661" s="107" t="s">
        <v>6567</v>
      </c>
      <c r="E2661" s="109" t="s">
        <v>355</v>
      </c>
      <c r="F2661" s="109" t="s">
        <v>355</v>
      </c>
      <c r="G2661" s="55" t="s">
        <v>355</v>
      </c>
      <c r="H2661" s="108" t="s">
        <v>402</v>
      </c>
      <c r="I2661" s="111" t="s">
        <v>402</v>
      </c>
      <c r="J2661" s="111" t="s">
        <v>402</v>
      </c>
      <c r="K2661" s="106" t="s">
        <v>403</v>
      </c>
      <c r="L2661" s="55" t="s">
        <v>404</v>
      </c>
      <c r="M2661" s="55" t="s">
        <v>7634</v>
      </c>
    </row>
    <row r="2662" spans="1:13">
      <c r="A2662" s="401" t="s">
        <v>6568</v>
      </c>
      <c r="B2662" s="106" t="s">
        <v>327</v>
      </c>
      <c r="C2662" s="106" t="s">
        <v>473</v>
      </c>
      <c r="D2662" s="109" t="s">
        <v>6569</v>
      </c>
      <c r="E2662" s="109" t="s">
        <v>6570</v>
      </c>
      <c r="F2662" s="109" t="s">
        <v>6571</v>
      </c>
      <c r="G2662" s="117" t="s">
        <v>383</v>
      </c>
      <c r="H2662" s="115" t="s">
        <v>402</v>
      </c>
      <c r="I2662" s="111" t="s">
        <v>402</v>
      </c>
      <c r="J2662" s="111" t="s">
        <v>402</v>
      </c>
      <c r="K2662" s="115" t="s">
        <v>403</v>
      </c>
      <c r="L2662" s="55" t="s">
        <v>404</v>
      </c>
      <c r="M2662" s="113" t="s">
        <v>1173</v>
      </c>
    </row>
    <row r="2663" spans="1:13">
      <c r="A2663" s="408" t="s">
        <v>6572</v>
      </c>
      <c r="B2663" s="106" t="s">
        <v>327</v>
      </c>
      <c r="C2663" s="106" t="s">
        <v>473</v>
      </c>
      <c r="D2663" s="107" t="s">
        <v>6573</v>
      </c>
      <c r="E2663" s="109" t="s">
        <v>355</v>
      </c>
      <c r="F2663" s="109" t="s">
        <v>355</v>
      </c>
      <c r="G2663" s="55" t="s">
        <v>355</v>
      </c>
      <c r="H2663" s="108" t="s">
        <v>402</v>
      </c>
      <c r="I2663" s="111" t="s">
        <v>402</v>
      </c>
      <c r="J2663" s="111" t="s">
        <v>402</v>
      </c>
      <c r="K2663" s="106" t="s">
        <v>403</v>
      </c>
      <c r="L2663" s="55" t="s">
        <v>404</v>
      </c>
      <c r="M2663" s="55" t="s">
        <v>7634</v>
      </c>
    </row>
    <row r="2664" spans="1:13">
      <c r="A2664" s="401" t="s">
        <v>6574</v>
      </c>
      <c r="B2664" s="106" t="s">
        <v>327</v>
      </c>
      <c r="C2664" s="106" t="s">
        <v>473</v>
      </c>
      <c r="D2664" s="109" t="s">
        <v>6575</v>
      </c>
      <c r="E2664" s="110" t="s">
        <v>383</v>
      </c>
      <c r="F2664" s="110" t="s">
        <v>6576</v>
      </c>
      <c r="G2664" s="112" t="s">
        <v>6577</v>
      </c>
      <c r="H2664" s="115" t="s">
        <v>402</v>
      </c>
      <c r="I2664" s="111" t="s">
        <v>402</v>
      </c>
      <c r="J2664" s="111" t="s">
        <v>402</v>
      </c>
      <c r="K2664" s="106" t="s">
        <v>403</v>
      </c>
      <c r="L2664" s="55" t="s">
        <v>404</v>
      </c>
      <c r="M2664" s="55" t="s">
        <v>6578</v>
      </c>
    </row>
    <row r="2665" spans="1:13">
      <c r="A2665" s="408" t="s">
        <v>6579</v>
      </c>
      <c r="B2665" s="106" t="s">
        <v>327</v>
      </c>
      <c r="C2665" s="106" t="s">
        <v>473</v>
      </c>
      <c r="D2665" s="107" t="s">
        <v>6573</v>
      </c>
      <c r="E2665" s="109" t="s">
        <v>355</v>
      </c>
      <c r="F2665" s="109" t="s">
        <v>355</v>
      </c>
      <c r="G2665" s="55" t="s">
        <v>355</v>
      </c>
      <c r="H2665" s="108" t="s">
        <v>402</v>
      </c>
      <c r="I2665" s="111" t="s">
        <v>402</v>
      </c>
      <c r="J2665" s="111" t="s">
        <v>402</v>
      </c>
      <c r="K2665" s="106" t="s">
        <v>403</v>
      </c>
      <c r="L2665" s="55" t="s">
        <v>404</v>
      </c>
      <c r="M2665" s="55" t="s">
        <v>7634</v>
      </c>
    </row>
    <row r="2666" spans="1:13">
      <c r="A2666" s="401" t="s">
        <v>6580</v>
      </c>
      <c r="B2666" s="106" t="s">
        <v>327</v>
      </c>
      <c r="C2666" s="106" t="s">
        <v>473</v>
      </c>
      <c r="D2666" s="109" t="s">
        <v>6581</v>
      </c>
      <c r="E2666" s="109" t="s">
        <v>6582</v>
      </c>
      <c r="F2666" s="109" t="s">
        <v>6583</v>
      </c>
      <c r="G2666" s="117" t="s">
        <v>383</v>
      </c>
      <c r="H2666" s="115" t="s">
        <v>402</v>
      </c>
      <c r="I2666" s="111" t="s">
        <v>402</v>
      </c>
      <c r="J2666" s="111" t="s">
        <v>402</v>
      </c>
      <c r="K2666" s="106" t="s">
        <v>403</v>
      </c>
      <c r="L2666" s="55" t="s">
        <v>404</v>
      </c>
      <c r="M2666" s="55" t="s">
        <v>1173</v>
      </c>
    </row>
    <row r="2667" spans="1:13">
      <c r="A2667" s="408" t="s">
        <v>6584</v>
      </c>
      <c r="B2667" s="106" t="s">
        <v>327</v>
      </c>
      <c r="C2667" s="106" t="s">
        <v>473</v>
      </c>
      <c r="D2667" s="107" t="s">
        <v>6585</v>
      </c>
      <c r="E2667" s="109" t="s">
        <v>355</v>
      </c>
      <c r="F2667" s="109" t="s">
        <v>355</v>
      </c>
      <c r="G2667" s="55" t="s">
        <v>355</v>
      </c>
      <c r="H2667" s="108" t="s">
        <v>402</v>
      </c>
      <c r="I2667" s="111" t="s">
        <v>402</v>
      </c>
      <c r="J2667" s="111" t="s">
        <v>402</v>
      </c>
      <c r="K2667" s="106" t="s">
        <v>403</v>
      </c>
      <c r="L2667" s="55" t="s">
        <v>404</v>
      </c>
      <c r="M2667" s="55" t="s">
        <v>7634</v>
      </c>
    </row>
    <row r="2668" spans="1:13">
      <c r="A2668" s="408" t="s">
        <v>6586</v>
      </c>
      <c r="B2668" s="106" t="s">
        <v>327</v>
      </c>
      <c r="C2668" s="106" t="s">
        <v>473</v>
      </c>
      <c r="D2668" s="107" t="s">
        <v>6587</v>
      </c>
      <c r="E2668" s="109" t="s">
        <v>355</v>
      </c>
      <c r="F2668" s="109" t="s">
        <v>355</v>
      </c>
      <c r="G2668" s="55" t="s">
        <v>355</v>
      </c>
      <c r="H2668" s="108" t="s">
        <v>402</v>
      </c>
      <c r="I2668" s="111" t="s">
        <v>402</v>
      </c>
      <c r="J2668" s="111" t="s">
        <v>402</v>
      </c>
      <c r="K2668" s="106" t="s">
        <v>403</v>
      </c>
      <c r="L2668" s="55" t="s">
        <v>404</v>
      </c>
      <c r="M2668" s="55" t="s">
        <v>7634</v>
      </c>
    </row>
    <row r="2669" spans="1:13">
      <c r="A2669" s="408" t="s">
        <v>6588</v>
      </c>
      <c r="B2669" s="106" t="s">
        <v>327</v>
      </c>
      <c r="C2669" s="106" t="s">
        <v>473</v>
      </c>
      <c r="D2669" s="107" t="s">
        <v>6589</v>
      </c>
      <c r="E2669" s="109" t="s">
        <v>355</v>
      </c>
      <c r="F2669" s="109" t="s">
        <v>355</v>
      </c>
      <c r="G2669" s="55" t="s">
        <v>355</v>
      </c>
      <c r="H2669" s="108" t="s">
        <v>402</v>
      </c>
      <c r="I2669" s="111" t="s">
        <v>402</v>
      </c>
      <c r="J2669" s="111" t="s">
        <v>402</v>
      </c>
      <c r="K2669" s="106" t="s">
        <v>403</v>
      </c>
      <c r="L2669" s="55" t="s">
        <v>404</v>
      </c>
      <c r="M2669" s="55" t="s">
        <v>7634</v>
      </c>
    </row>
    <row r="2670" spans="1:13">
      <c r="A2670" s="408" t="s">
        <v>6590</v>
      </c>
      <c r="B2670" s="106" t="s">
        <v>327</v>
      </c>
      <c r="C2670" s="106" t="s">
        <v>473</v>
      </c>
      <c r="D2670" s="107" t="s">
        <v>6591</v>
      </c>
      <c r="E2670" s="109" t="s">
        <v>355</v>
      </c>
      <c r="F2670" s="109" t="s">
        <v>355</v>
      </c>
      <c r="G2670" s="55" t="s">
        <v>355</v>
      </c>
      <c r="H2670" s="108" t="s">
        <v>402</v>
      </c>
      <c r="I2670" s="111" t="s">
        <v>402</v>
      </c>
      <c r="J2670" s="111" t="s">
        <v>402</v>
      </c>
      <c r="K2670" s="106" t="s">
        <v>403</v>
      </c>
      <c r="L2670" s="55" t="s">
        <v>404</v>
      </c>
      <c r="M2670" s="55" t="s">
        <v>7634</v>
      </c>
    </row>
    <row r="2671" spans="1:13">
      <c r="A2671" s="401" t="s">
        <v>6592</v>
      </c>
      <c r="B2671" s="106" t="s">
        <v>327</v>
      </c>
      <c r="C2671" s="106" t="s">
        <v>473</v>
      </c>
      <c r="D2671" s="109" t="s">
        <v>6593</v>
      </c>
      <c r="E2671" s="109" t="s">
        <v>6594</v>
      </c>
      <c r="F2671" s="109" t="s">
        <v>6595</v>
      </c>
      <c r="G2671" s="114" t="s">
        <v>383</v>
      </c>
      <c r="H2671" s="115" t="s">
        <v>402</v>
      </c>
      <c r="I2671" s="111" t="s">
        <v>402</v>
      </c>
      <c r="J2671" s="111" t="s">
        <v>402</v>
      </c>
      <c r="K2671" s="106" t="s">
        <v>403</v>
      </c>
      <c r="L2671" s="55" t="s">
        <v>404</v>
      </c>
      <c r="M2671" s="113" t="s">
        <v>383</v>
      </c>
    </row>
    <row r="2672" spans="1:13">
      <c r="A2672" s="401" t="s">
        <v>6596</v>
      </c>
      <c r="B2672" s="106" t="s">
        <v>327</v>
      </c>
      <c r="C2672" s="106" t="s">
        <v>473</v>
      </c>
      <c r="D2672" s="109" t="s">
        <v>6597</v>
      </c>
      <c r="E2672" s="109" t="s">
        <v>6598</v>
      </c>
      <c r="F2672" s="110" t="s">
        <v>6599</v>
      </c>
      <c r="G2672" s="112" t="s">
        <v>6600</v>
      </c>
      <c r="H2672" s="115" t="s">
        <v>402</v>
      </c>
      <c r="I2672" s="111" t="s">
        <v>402</v>
      </c>
      <c r="J2672" s="111" t="s">
        <v>402</v>
      </c>
      <c r="K2672" s="108" t="s">
        <v>592</v>
      </c>
      <c r="L2672" s="55" t="s">
        <v>404</v>
      </c>
      <c r="M2672" s="55" t="s">
        <v>383</v>
      </c>
    </row>
    <row r="2673" spans="1:13">
      <c r="A2673" s="401" t="s">
        <v>6601</v>
      </c>
      <c r="B2673" s="106" t="s">
        <v>327</v>
      </c>
      <c r="C2673" s="106" t="s">
        <v>473</v>
      </c>
      <c r="D2673" s="109" t="s">
        <v>6602</v>
      </c>
      <c r="E2673" s="109" t="s">
        <v>6603</v>
      </c>
      <c r="F2673" s="109" t="s">
        <v>6604</v>
      </c>
      <c r="G2673" s="112" t="s">
        <v>6605</v>
      </c>
      <c r="H2673" s="115" t="s">
        <v>402</v>
      </c>
      <c r="I2673" s="111" t="s">
        <v>402</v>
      </c>
      <c r="J2673" s="111" t="s">
        <v>402</v>
      </c>
      <c r="K2673" s="106" t="s">
        <v>1254</v>
      </c>
      <c r="L2673" s="55" t="s">
        <v>404</v>
      </c>
      <c r="M2673" s="113" t="s">
        <v>383</v>
      </c>
    </row>
    <row r="2674" spans="1:13">
      <c r="A2674" s="405" t="s">
        <v>268</v>
      </c>
      <c r="B2674" s="106" t="s">
        <v>327</v>
      </c>
      <c r="C2674" s="132" t="s">
        <v>473</v>
      </c>
      <c r="D2674" s="133"/>
      <c r="E2674" s="133"/>
      <c r="F2674" s="133"/>
      <c r="H2674" s="55"/>
      <c r="I2674" s="111"/>
      <c r="J2674" s="111"/>
      <c r="K2674" s="108"/>
      <c r="L2674" s="55"/>
      <c r="M2674" s="55" t="s">
        <v>7634</v>
      </c>
    </row>
    <row r="2675" spans="1:13">
      <c r="A2675" s="578" t="s">
        <v>6606</v>
      </c>
      <c r="B2675" s="586" t="s">
        <v>473</v>
      </c>
      <c r="C2675" s="586" t="s">
        <v>473</v>
      </c>
      <c r="D2675" s="586" t="s">
        <v>6607</v>
      </c>
      <c r="E2675" s="586" t="s">
        <v>6608</v>
      </c>
      <c r="F2675" s="586" t="s">
        <v>6609</v>
      </c>
      <c r="G2675" s="586"/>
      <c r="H2675" s="586" t="s">
        <v>359</v>
      </c>
      <c r="I2675" s="587" t="s">
        <v>359</v>
      </c>
      <c r="J2675" s="586"/>
      <c r="K2675" s="586" t="s">
        <v>360</v>
      </c>
      <c r="L2675" s="586" t="s">
        <v>361</v>
      </c>
      <c r="M2675" s="55" t="s">
        <v>7634</v>
      </c>
    </row>
    <row r="2676" spans="1:13">
      <c r="A2676" s="401" t="s">
        <v>8597</v>
      </c>
      <c r="B2676" s="106" t="s">
        <v>327</v>
      </c>
      <c r="C2676" s="132" t="s">
        <v>8594</v>
      </c>
      <c r="D2676" s="133" t="s">
        <v>8595</v>
      </c>
      <c r="E2676" s="133" t="s">
        <v>8743</v>
      </c>
      <c r="F2676" s="133" t="s">
        <v>8744</v>
      </c>
      <c r="G2676" s="601" t="s">
        <v>8745</v>
      </c>
      <c r="H2676" s="108" t="s">
        <v>402</v>
      </c>
      <c r="I2676" s="111" t="s">
        <v>402</v>
      </c>
      <c r="J2676" s="111" t="s">
        <v>402</v>
      </c>
      <c r="K2676" s="106" t="s">
        <v>403</v>
      </c>
      <c r="L2676" s="55" t="s">
        <v>404</v>
      </c>
      <c r="M2676" s="55" t="s">
        <v>383</v>
      </c>
    </row>
    <row r="2677" spans="1:13">
      <c r="A2677" s="401" t="s">
        <v>6610</v>
      </c>
      <c r="B2677" s="106" t="s">
        <v>327</v>
      </c>
      <c r="C2677" s="106" t="s">
        <v>473</v>
      </c>
      <c r="D2677" s="107" t="s">
        <v>6611</v>
      </c>
      <c r="E2677" s="107" t="s">
        <v>6612</v>
      </c>
      <c r="F2677" s="107" t="s">
        <v>6613</v>
      </c>
      <c r="G2677" s="589" t="s">
        <v>6614</v>
      </c>
      <c r="H2677" s="54" t="s">
        <v>359</v>
      </c>
      <c r="I2677" s="583" t="s">
        <v>359</v>
      </c>
      <c r="J2677" s="582" t="s">
        <v>359</v>
      </c>
      <c r="K2677" s="584" t="s">
        <v>360</v>
      </c>
      <c r="L2677" s="54" t="s">
        <v>361</v>
      </c>
      <c r="M2677" s="55" t="s">
        <v>7634</v>
      </c>
    </row>
    <row r="2678" spans="1:13">
      <c r="A2678" s="405" t="s">
        <v>132</v>
      </c>
      <c r="B2678" s="106" t="s">
        <v>327</v>
      </c>
      <c r="C2678" s="132" t="s">
        <v>473</v>
      </c>
      <c r="D2678" s="133" t="s">
        <v>8294</v>
      </c>
      <c r="E2678" s="133" t="s">
        <v>8295</v>
      </c>
      <c r="F2678" s="133" t="s">
        <v>8296</v>
      </c>
      <c r="G2678" s="585" t="s">
        <v>8297</v>
      </c>
      <c r="H2678" s="54" t="s">
        <v>359</v>
      </c>
      <c r="I2678" s="583" t="s">
        <v>359</v>
      </c>
      <c r="J2678" s="582" t="s">
        <v>359</v>
      </c>
      <c r="K2678" s="584" t="s">
        <v>360</v>
      </c>
      <c r="L2678" s="54" t="s">
        <v>361</v>
      </c>
      <c r="M2678" s="55" t="s">
        <v>383</v>
      </c>
    </row>
    <row r="2679" spans="1:13">
      <c r="A2679" s="510" t="s">
        <v>167</v>
      </c>
      <c r="B2679" s="106" t="s">
        <v>984</v>
      </c>
      <c r="C2679" s="106" t="s">
        <v>473</v>
      </c>
      <c r="D2679" s="109" t="s">
        <v>9177</v>
      </c>
      <c r="E2679" s="109" t="s">
        <v>9178</v>
      </c>
      <c r="F2679" s="109" t="s">
        <v>9179</v>
      </c>
      <c r="G2679" s="615" t="s">
        <v>9180</v>
      </c>
      <c r="H2679" s="115" t="s">
        <v>402</v>
      </c>
      <c r="I2679" s="111" t="s">
        <v>402</v>
      </c>
      <c r="J2679" s="111" t="s">
        <v>402</v>
      </c>
      <c r="K2679" s="115" t="s">
        <v>403</v>
      </c>
      <c r="L2679" s="55" t="s">
        <v>404</v>
      </c>
      <c r="M2679" s="55" t="s">
        <v>7634</v>
      </c>
    </row>
    <row r="2680" spans="1:13">
      <c r="A2680" s="401" t="s">
        <v>6615</v>
      </c>
      <c r="B2680" s="106" t="s">
        <v>327</v>
      </c>
      <c r="C2680" s="106" t="s">
        <v>473</v>
      </c>
      <c r="D2680" s="110" t="s">
        <v>383</v>
      </c>
      <c r="E2680" s="109" t="s">
        <v>6616</v>
      </c>
      <c r="F2680" s="109" t="s">
        <v>6617</v>
      </c>
      <c r="G2680" s="112" t="s">
        <v>6618</v>
      </c>
      <c r="H2680" s="115" t="s">
        <v>402</v>
      </c>
      <c r="I2680" s="111" t="s">
        <v>402</v>
      </c>
      <c r="J2680" s="111" t="s">
        <v>402</v>
      </c>
      <c r="K2680" s="115" t="s">
        <v>403</v>
      </c>
      <c r="L2680" s="55" t="s">
        <v>404</v>
      </c>
      <c r="M2680" s="113" t="s">
        <v>1173</v>
      </c>
    </row>
    <row r="2681" spans="1:13">
      <c r="A2681" s="578" t="s">
        <v>6619</v>
      </c>
      <c r="B2681" s="586" t="s">
        <v>473</v>
      </c>
      <c r="C2681" s="586" t="s">
        <v>473</v>
      </c>
      <c r="D2681" s="586" t="s">
        <v>377</v>
      </c>
      <c r="E2681" s="586" t="s">
        <v>377</v>
      </c>
      <c r="F2681" s="586" t="s">
        <v>377</v>
      </c>
      <c r="G2681" s="586" t="s">
        <v>377</v>
      </c>
      <c r="H2681" s="586" t="s">
        <v>359</v>
      </c>
      <c r="I2681" s="587" t="s">
        <v>359</v>
      </c>
      <c r="J2681" s="586"/>
      <c r="K2681" s="586" t="s">
        <v>360</v>
      </c>
      <c r="L2681" s="586" t="s">
        <v>361</v>
      </c>
      <c r="M2681" s="586" t="s">
        <v>377</v>
      </c>
    </row>
    <row r="2682" spans="1:13">
      <c r="A2682" s="408" t="s">
        <v>6620</v>
      </c>
      <c r="B2682" s="106" t="s">
        <v>327</v>
      </c>
      <c r="C2682" s="106" t="s">
        <v>473</v>
      </c>
      <c r="D2682" s="107" t="s">
        <v>6621</v>
      </c>
      <c r="E2682" s="109" t="s">
        <v>355</v>
      </c>
      <c r="F2682" s="109" t="s">
        <v>355</v>
      </c>
      <c r="G2682" s="55" t="s">
        <v>355</v>
      </c>
      <c r="H2682" s="108" t="s">
        <v>402</v>
      </c>
      <c r="I2682" s="111" t="s">
        <v>402</v>
      </c>
      <c r="J2682" s="111" t="s">
        <v>402</v>
      </c>
      <c r="K2682" s="106" t="s">
        <v>403</v>
      </c>
      <c r="L2682" s="55" t="s">
        <v>404</v>
      </c>
      <c r="M2682" s="55" t="s">
        <v>7634</v>
      </c>
    </row>
    <row r="2683" spans="1:13">
      <c r="A2683" s="408" t="s">
        <v>6622</v>
      </c>
      <c r="B2683" s="106" t="s">
        <v>327</v>
      </c>
      <c r="C2683" s="106" t="s">
        <v>473</v>
      </c>
      <c r="D2683" s="107" t="s">
        <v>6623</v>
      </c>
      <c r="E2683" s="109" t="s">
        <v>355</v>
      </c>
      <c r="F2683" s="109" t="s">
        <v>355</v>
      </c>
      <c r="G2683" s="55" t="s">
        <v>355</v>
      </c>
      <c r="H2683" s="108" t="s">
        <v>402</v>
      </c>
      <c r="I2683" s="111" t="s">
        <v>402</v>
      </c>
      <c r="J2683" s="111" t="s">
        <v>402</v>
      </c>
      <c r="K2683" s="106" t="s">
        <v>403</v>
      </c>
      <c r="L2683" s="55" t="s">
        <v>404</v>
      </c>
      <c r="M2683" s="55" t="s">
        <v>7634</v>
      </c>
    </row>
    <row r="2684" spans="1:13">
      <c r="A2684" s="408" t="s">
        <v>6624</v>
      </c>
      <c r="B2684" s="106" t="s">
        <v>327</v>
      </c>
      <c r="C2684" s="106" t="s">
        <v>473</v>
      </c>
      <c r="D2684" s="107" t="s">
        <v>6625</v>
      </c>
      <c r="E2684" s="109" t="s">
        <v>355</v>
      </c>
      <c r="F2684" s="109" t="s">
        <v>355</v>
      </c>
      <c r="G2684" s="55" t="s">
        <v>355</v>
      </c>
      <c r="H2684" s="108" t="s">
        <v>402</v>
      </c>
      <c r="I2684" s="111" t="s">
        <v>402</v>
      </c>
      <c r="J2684" s="111" t="s">
        <v>402</v>
      </c>
      <c r="K2684" s="106" t="s">
        <v>403</v>
      </c>
      <c r="L2684" s="55" t="s">
        <v>404</v>
      </c>
      <c r="M2684" s="55" t="s">
        <v>7634</v>
      </c>
    </row>
    <row r="2685" spans="1:13">
      <c r="A2685" s="408" t="s">
        <v>6626</v>
      </c>
      <c r="B2685" s="106" t="s">
        <v>327</v>
      </c>
      <c r="C2685" s="106" t="s">
        <v>473</v>
      </c>
      <c r="D2685" s="107" t="s">
        <v>6627</v>
      </c>
      <c r="E2685" s="109" t="s">
        <v>355</v>
      </c>
      <c r="F2685" s="109" t="s">
        <v>355</v>
      </c>
      <c r="G2685" s="55" t="s">
        <v>355</v>
      </c>
      <c r="H2685" s="108" t="s">
        <v>402</v>
      </c>
      <c r="I2685" s="111" t="s">
        <v>402</v>
      </c>
      <c r="J2685" s="111" t="s">
        <v>402</v>
      </c>
      <c r="K2685" s="106" t="s">
        <v>403</v>
      </c>
      <c r="L2685" s="55" t="s">
        <v>404</v>
      </c>
      <c r="M2685" s="55" t="s">
        <v>7634</v>
      </c>
    </row>
    <row r="2686" spans="1:13">
      <c r="A2686" s="408" t="s">
        <v>6628</v>
      </c>
      <c r="B2686" s="106" t="s">
        <v>327</v>
      </c>
      <c r="C2686" s="106" t="s">
        <v>473</v>
      </c>
      <c r="D2686" s="107" t="s">
        <v>6629</v>
      </c>
      <c r="E2686" s="109" t="s">
        <v>355</v>
      </c>
      <c r="F2686" s="109" t="s">
        <v>355</v>
      </c>
      <c r="G2686" s="55" t="s">
        <v>355</v>
      </c>
      <c r="H2686" s="108" t="s">
        <v>402</v>
      </c>
      <c r="I2686" s="111" t="s">
        <v>402</v>
      </c>
      <c r="J2686" s="111" t="s">
        <v>402</v>
      </c>
      <c r="K2686" s="106" t="s">
        <v>403</v>
      </c>
      <c r="L2686" s="55" t="s">
        <v>404</v>
      </c>
      <c r="M2686" s="55" t="s">
        <v>7634</v>
      </c>
    </row>
    <row r="2687" spans="1:13">
      <c r="A2687" s="578" t="s">
        <v>6630</v>
      </c>
      <c r="B2687" s="586" t="s">
        <v>473</v>
      </c>
      <c r="C2687" s="586" t="s">
        <v>473</v>
      </c>
      <c r="D2687" s="586" t="s">
        <v>6631</v>
      </c>
      <c r="E2687" s="586" t="s">
        <v>6632</v>
      </c>
      <c r="F2687" s="586" t="s">
        <v>6633</v>
      </c>
      <c r="G2687" s="586" t="s">
        <v>377</v>
      </c>
      <c r="H2687" s="586" t="s">
        <v>359</v>
      </c>
      <c r="I2687" s="587" t="s">
        <v>359</v>
      </c>
      <c r="J2687" s="586"/>
      <c r="K2687" s="586" t="s">
        <v>360</v>
      </c>
      <c r="L2687" s="586" t="s">
        <v>361</v>
      </c>
      <c r="M2687" s="55" t="s">
        <v>7634</v>
      </c>
    </row>
    <row r="2688" spans="1:13">
      <c r="A2688" s="408" t="s">
        <v>6634</v>
      </c>
      <c r="B2688" s="106" t="s">
        <v>327</v>
      </c>
      <c r="C2688" s="106" t="s">
        <v>473</v>
      </c>
      <c r="D2688" s="107" t="s">
        <v>6635</v>
      </c>
      <c r="E2688" s="109" t="s">
        <v>355</v>
      </c>
      <c r="F2688" s="109" t="s">
        <v>355</v>
      </c>
      <c r="G2688" s="55" t="s">
        <v>355</v>
      </c>
      <c r="H2688" s="108" t="s">
        <v>402</v>
      </c>
      <c r="I2688" s="111" t="s">
        <v>402</v>
      </c>
      <c r="J2688" s="111" t="s">
        <v>402</v>
      </c>
      <c r="K2688" s="106" t="s">
        <v>403</v>
      </c>
      <c r="L2688" s="55" t="s">
        <v>404</v>
      </c>
      <c r="M2688" s="55" t="s">
        <v>7634</v>
      </c>
    </row>
    <row r="2689" spans="1:13">
      <c r="A2689" s="408" t="s">
        <v>6636</v>
      </c>
      <c r="B2689" s="106" t="s">
        <v>327</v>
      </c>
      <c r="C2689" s="106" t="s">
        <v>473</v>
      </c>
      <c r="D2689" s="107" t="s">
        <v>6635</v>
      </c>
      <c r="E2689" s="109" t="s">
        <v>355</v>
      </c>
      <c r="F2689" s="109" t="s">
        <v>355</v>
      </c>
      <c r="G2689" s="55" t="s">
        <v>355</v>
      </c>
      <c r="H2689" s="108" t="s">
        <v>402</v>
      </c>
      <c r="I2689" s="111" t="s">
        <v>402</v>
      </c>
      <c r="J2689" s="111" t="s">
        <v>402</v>
      </c>
      <c r="K2689" s="106" t="s">
        <v>403</v>
      </c>
      <c r="L2689" s="55" t="s">
        <v>404</v>
      </c>
      <c r="M2689" s="55" t="s">
        <v>7634</v>
      </c>
    </row>
    <row r="2690" spans="1:13">
      <c r="A2690" s="408" t="s">
        <v>6637</v>
      </c>
      <c r="B2690" s="106" t="s">
        <v>327</v>
      </c>
      <c r="C2690" s="106" t="s">
        <v>473</v>
      </c>
      <c r="D2690" s="107" t="s">
        <v>6638</v>
      </c>
      <c r="E2690" s="109" t="s">
        <v>355</v>
      </c>
      <c r="F2690" s="109" t="s">
        <v>355</v>
      </c>
      <c r="G2690" s="55" t="s">
        <v>355</v>
      </c>
      <c r="H2690" s="108" t="s">
        <v>402</v>
      </c>
      <c r="I2690" s="111" t="s">
        <v>402</v>
      </c>
      <c r="J2690" s="111" t="s">
        <v>402</v>
      </c>
      <c r="K2690" s="106" t="s">
        <v>403</v>
      </c>
      <c r="L2690" s="55" t="s">
        <v>404</v>
      </c>
      <c r="M2690" s="55" t="s">
        <v>7634</v>
      </c>
    </row>
    <row r="2691" spans="1:13">
      <c r="A2691" s="401" t="s">
        <v>8601</v>
      </c>
      <c r="B2691" s="106" t="s">
        <v>327</v>
      </c>
      <c r="C2691" s="132" t="s">
        <v>327</v>
      </c>
      <c r="D2691" s="133" t="s">
        <v>8602</v>
      </c>
      <c r="E2691" s="133" t="s">
        <v>8603</v>
      </c>
      <c r="F2691" s="133" t="s">
        <v>8604</v>
      </c>
      <c r="G2691" s="601" t="s">
        <v>8605</v>
      </c>
      <c r="H2691" s="108" t="s">
        <v>402</v>
      </c>
      <c r="I2691" s="111" t="s">
        <v>402</v>
      </c>
      <c r="J2691" s="111" t="s">
        <v>402</v>
      </c>
      <c r="K2691" s="106" t="s">
        <v>403</v>
      </c>
      <c r="L2691" s="55" t="s">
        <v>404</v>
      </c>
      <c r="M2691" s="55" t="s">
        <v>383</v>
      </c>
    </row>
    <row r="2692" spans="1:13">
      <c r="A2692" s="401" t="s">
        <v>6639</v>
      </c>
      <c r="B2692" s="106" t="s">
        <v>327</v>
      </c>
      <c r="C2692" s="106" t="s">
        <v>473</v>
      </c>
      <c r="D2692" s="107" t="s">
        <v>6640</v>
      </c>
      <c r="E2692" s="107" t="s">
        <v>6641</v>
      </c>
      <c r="F2692" s="107" t="s">
        <v>6642</v>
      </c>
      <c r="G2692" s="114" t="s">
        <v>6643</v>
      </c>
      <c r="H2692" s="115" t="s">
        <v>402</v>
      </c>
      <c r="I2692" s="119" t="s">
        <v>629</v>
      </c>
      <c r="J2692" s="108" t="s">
        <v>629</v>
      </c>
      <c r="K2692" s="108" t="s">
        <v>369</v>
      </c>
      <c r="L2692" s="108" t="s">
        <v>369</v>
      </c>
      <c r="M2692" s="55" t="s">
        <v>355</v>
      </c>
    </row>
    <row r="2693" spans="1:13">
      <c r="A2693" s="401" t="s">
        <v>6644</v>
      </c>
      <c r="B2693" s="106" t="s">
        <v>327</v>
      </c>
      <c r="C2693" s="106" t="s">
        <v>473</v>
      </c>
      <c r="D2693" s="109"/>
      <c r="E2693" s="109" t="s">
        <v>355</v>
      </c>
      <c r="F2693" s="109" t="s">
        <v>355</v>
      </c>
      <c r="G2693" s="55" t="s">
        <v>355</v>
      </c>
      <c r="H2693" s="115" t="s">
        <v>402</v>
      </c>
      <c r="I2693" s="111" t="s">
        <v>402</v>
      </c>
      <c r="J2693" s="111" t="s">
        <v>402</v>
      </c>
      <c r="K2693" s="106"/>
      <c r="L2693" s="55"/>
      <c r="M2693" s="55" t="s">
        <v>7634</v>
      </c>
    </row>
    <row r="2694" spans="1:13">
      <c r="A2694" s="401" t="s">
        <v>8472</v>
      </c>
      <c r="B2694" s="106" t="s">
        <v>327</v>
      </c>
      <c r="C2694" s="132" t="s">
        <v>8469</v>
      </c>
      <c r="D2694" s="133" t="s">
        <v>8474</v>
      </c>
      <c r="E2694" s="133" t="s">
        <v>8475</v>
      </c>
      <c r="F2694" s="441" t="s">
        <v>8476</v>
      </c>
      <c r="G2694" s="601" t="s">
        <v>8477</v>
      </c>
      <c r="H2694" s="108" t="s">
        <v>402</v>
      </c>
      <c r="I2694" s="111" t="s">
        <v>402</v>
      </c>
      <c r="J2694" s="111" t="s">
        <v>402</v>
      </c>
      <c r="K2694" s="106" t="s">
        <v>403</v>
      </c>
      <c r="L2694" s="55" t="s">
        <v>404</v>
      </c>
      <c r="M2694" s="55" t="s">
        <v>383</v>
      </c>
    </row>
    <row r="2695" spans="1:13">
      <c r="A2695" s="401" t="s">
        <v>8470</v>
      </c>
      <c r="B2695" s="106" t="s">
        <v>327</v>
      </c>
      <c r="C2695" s="132" t="s">
        <v>8469</v>
      </c>
      <c r="D2695" s="133" t="s">
        <v>8473</v>
      </c>
      <c r="E2695" s="133" t="s">
        <v>8475</v>
      </c>
      <c r="F2695" s="441" t="s">
        <v>8476</v>
      </c>
      <c r="G2695" s="601" t="s">
        <v>8477</v>
      </c>
      <c r="H2695" s="108" t="s">
        <v>402</v>
      </c>
      <c r="I2695" s="111" t="s">
        <v>402</v>
      </c>
      <c r="J2695" s="111" t="s">
        <v>402</v>
      </c>
      <c r="K2695" s="106" t="s">
        <v>403</v>
      </c>
      <c r="L2695" s="55" t="s">
        <v>404</v>
      </c>
      <c r="M2695" s="55" t="s">
        <v>383</v>
      </c>
    </row>
    <row r="2696" spans="1:13">
      <c r="A2696" s="401" t="s">
        <v>8712</v>
      </c>
      <c r="B2696" s="106" t="s">
        <v>327</v>
      </c>
      <c r="C2696" s="106" t="s">
        <v>473</v>
      </c>
      <c r="D2696" s="133" t="s">
        <v>8713</v>
      </c>
      <c r="E2696" s="133" t="s">
        <v>8714</v>
      </c>
      <c r="F2696" s="133" t="s">
        <v>8715</v>
      </c>
      <c r="G2696" s="601" t="s">
        <v>8716</v>
      </c>
      <c r="H2696" s="108" t="s">
        <v>402</v>
      </c>
      <c r="I2696" s="111" t="s">
        <v>402</v>
      </c>
      <c r="J2696" s="111" t="s">
        <v>402</v>
      </c>
      <c r="K2696" s="106" t="s">
        <v>403</v>
      </c>
      <c r="L2696" s="55" t="s">
        <v>404</v>
      </c>
      <c r="M2696" s="55" t="s">
        <v>383</v>
      </c>
    </row>
    <row r="2697" spans="1:13">
      <c r="A2697" s="408" t="s">
        <v>6645</v>
      </c>
      <c r="B2697" s="106" t="s">
        <v>327</v>
      </c>
      <c r="C2697" s="106" t="s">
        <v>473</v>
      </c>
      <c r="D2697" s="107" t="s">
        <v>6646</v>
      </c>
      <c r="E2697" s="109" t="s">
        <v>355</v>
      </c>
      <c r="F2697" s="109" t="s">
        <v>355</v>
      </c>
      <c r="G2697" s="55" t="s">
        <v>355</v>
      </c>
      <c r="H2697" s="108" t="s">
        <v>402</v>
      </c>
      <c r="I2697" s="111" t="s">
        <v>402</v>
      </c>
      <c r="J2697" s="111" t="s">
        <v>402</v>
      </c>
      <c r="K2697" s="106" t="s">
        <v>403</v>
      </c>
      <c r="L2697" s="55" t="s">
        <v>404</v>
      </c>
      <c r="M2697" s="55" t="s">
        <v>7634</v>
      </c>
    </row>
    <row r="2698" spans="1:13">
      <c r="A2698" s="401" t="s">
        <v>6647</v>
      </c>
      <c r="B2698" s="106" t="s">
        <v>327</v>
      </c>
      <c r="C2698" s="106" t="s">
        <v>473</v>
      </c>
      <c r="D2698" s="109" t="s">
        <v>383</v>
      </c>
      <c r="E2698" s="109" t="s">
        <v>6648</v>
      </c>
      <c r="F2698" s="60" t="s">
        <v>6649</v>
      </c>
      <c r="G2698" s="112" t="s">
        <v>6650</v>
      </c>
      <c r="H2698" s="115" t="s">
        <v>402</v>
      </c>
      <c r="I2698" s="111" t="s">
        <v>402</v>
      </c>
      <c r="J2698" s="111" t="s">
        <v>402</v>
      </c>
      <c r="K2698" s="106" t="s">
        <v>403</v>
      </c>
      <c r="L2698" s="55" t="s">
        <v>404</v>
      </c>
      <c r="M2698" s="55" t="s">
        <v>7634</v>
      </c>
    </row>
    <row r="2699" spans="1:13">
      <c r="A2699" s="53" t="s">
        <v>6651</v>
      </c>
      <c r="B2699" s="54" t="s">
        <v>473</v>
      </c>
      <c r="C2699" s="54" t="s">
        <v>473</v>
      </c>
      <c r="D2699" s="54" t="s">
        <v>6652</v>
      </c>
      <c r="E2699" s="54" t="s">
        <v>6653</v>
      </c>
      <c r="F2699" s="581" t="s">
        <v>6654</v>
      </c>
      <c r="G2699" s="108" t="s">
        <v>377</v>
      </c>
      <c r="H2699" s="54" t="s">
        <v>359</v>
      </c>
      <c r="I2699" s="583" t="s">
        <v>359</v>
      </c>
      <c r="J2699" s="582" t="s">
        <v>359</v>
      </c>
      <c r="K2699" s="584" t="s">
        <v>360</v>
      </c>
      <c r="L2699" s="54" t="s">
        <v>361</v>
      </c>
      <c r="M2699" s="55" t="s">
        <v>7634</v>
      </c>
    </row>
    <row r="2700" spans="1:13">
      <c r="A2700" s="401" t="s">
        <v>6655</v>
      </c>
      <c r="B2700" s="106" t="s">
        <v>327</v>
      </c>
      <c r="C2700" s="106" t="s">
        <v>473</v>
      </c>
      <c r="D2700" s="109" t="s">
        <v>6656</v>
      </c>
      <c r="E2700" s="109" t="s">
        <v>6657</v>
      </c>
      <c r="F2700" s="110" t="s">
        <v>6658</v>
      </c>
      <c r="G2700" s="112" t="s">
        <v>6659</v>
      </c>
      <c r="H2700" s="115" t="s">
        <v>402</v>
      </c>
      <c r="I2700" s="111" t="s">
        <v>402</v>
      </c>
      <c r="J2700" s="111" t="s">
        <v>402</v>
      </c>
      <c r="K2700" s="108" t="s">
        <v>1254</v>
      </c>
      <c r="L2700" s="55" t="s">
        <v>404</v>
      </c>
      <c r="M2700" s="55" t="s">
        <v>383</v>
      </c>
    </row>
    <row r="2701" spans="1:13">
      <c r="A2701" s="401" t="s">
        <v>6660</v>
      </c>
      <c r="B2701" s="106" t="s">
        <v>327</v>
      </c>
      <c r="C2701" s="106" t="s">
        <v>473</v>
      </c>
      <c r="D2701" s="109" t="s">
        <v>6661</v>
      </c>
      <c r="E2701" s="109" t="s">
        <v>6662</v>
      </c>
      <c r="F2701" s="109" t="s">
        <v>6663</v>
      </c>
      <c r="G2701" s="112" t="s">
        <v>6664</v>
      </c>
      <c r="H2701" s="115" t="s">
        <v>402</v>
      </c>
      <c r="I2701" s="111" t="s">
        <v>402</v>
      </c>
      <c r="J2701" s="111" t="s">
        <v>402</v>
      </c>
      <c r="K2701" s="106" t="s">
        <v>403</v>
      </c>
      <c r="L2701" s="55" t="s">
        <v>404</v>
      </c>
      <c r="M2701" s="55" t="s">
        <v>383</v>
      </c>
    </row>
    <row r="2702" spans="1:13">
      <c r="A2702" s="578" t="s">
        <v>6665</v>
      </c>
      <c r="B2702" s="586" t="s">
        <v>473</v>
      </c>
      <c r="C2702" s="586" t="s">
        <v>473</v>
      </c>
      <c r="D2702" s="586" t="s">
        <v>6666</v>
      </c>
      <c r="E2702" s="586" t="s">
        <v>6667</v>
      </c>
      <c r="F2702" s="586" t="s">
        <v>6668</v>
      </c>
      <c r="G2702" s="586" t="s">
        <v>6669</v>
      </c>
      <c r="H2702" s="586" t="s">
        <v>359</v>
      </c>
      <c r="I2702" s="587" t="s">
        <v>359</v>
      </c>
      <c r="J2702" s="586"/>
      <c r="K2702" s="586" t="s">
        <v>360</v>
      </c>
      <c r="L2702" s="586" t="s">
        <v>361</v>
      </c>
      <c r="M2702" s="55" t="s">
        <v>7634</v>
      </c>
    </row>
    <row r="2703" spans="1:13">
      <c r="A2703" s="408" t="s">
        <v>6670</v>
      </c>
      <c r="B2703" s="106" t="s">
        <v>327</v>
      </c>
      <c r="C2703" s="106" t="s">
        <v>473</v>
      </c>
      <c r="D2703" s="107" t="s">
        <v>6671</v>
      </c>
      <c r="E2703" s="109" t="s">
        <v>355</v>
      </c>
      <c r="F2703" s="109" t="s">
        <v>355</v>
      </c>
      <c r="G2703" s="55" t="s">
        <v>355</v>
      </c>
      <c r="H2703" s="108" t="s">
        <v>402</v>
      </c>
      <c r="I2703" s="111" t="s">
        <v>402</v>
      </c>
      <c r="J2703" s="111" t="s">
        <v>402</v>
      </c>
      <c r="K2703" s="106" t="s">
        <v>403</v>
      </c>
      <c r="L2703" s="55" t="s">
        <v>404</v>
      </c>
      <c r="M2703" s="55" t="s">
        <v>7634</v>
      </c>
    </row>
    <row r="2704" spans="1:13">
      <c r="A2704" s="408" t="s">
        <v>6672</v>
      </c>
      <c r="B2704" s="106" t="s">
        <v>327</v>
      </c>
      <c r="C2704" s="106" t="s">
        <v>473</v>
      </c>
      <c r="D2704" s="107" t="s">
        <v>6673</v>
      </c>
      <c r="E2704" s="109" t="s">
        <v>355</v>
      </c>
      <c r="F2704" s="109" t="s">
        <v>355</v>
      </c>
      <c r="G2704" s="55" t="s">
        <v>355</v>
      </c>
      <c r="H2704" s="108" t="s">
        <v>402</v>
      </c>
      <c r="I2704" s="111" t="s">
        <v>402</v>
      </c>
      <c r="J2704" s="111" t="s">
        <v>402</v>
      </c>
      <c r="K2704" s="106" t="s">
        <v>403</v>
      </c>
      <c r="L2704" s="55" t="s">
        <v>404</v>
      </c>
      <c r="M2704" s="55" t="s">
        <v>7634</v>
      </c>
    </row>
    <row r="2705" spans="1:13">
      <c r="A2705" s="408" t="s">
        <v>6674</v>
      </c>
      <c r="B2705" s="106" t="s">
        <v>327</v>
      </c>
      <c r="C2705" s="106" t="s">
        <v>473</v>
      </c>
      <c r="D2705" s="107" t="s">
        <v>6675</v>
      </c>
      <c r="E2705" s="109" t="s">
        <v>355</v>
      </c>
      <c r="F2705" s="109" t="s">
        <v>355</v>
      </c>
      <c r="G2705" s="55" t="s">
        <v>355</v>
      </c>
      <c r="H2705" s="108" t="s">
        <v>402</v>
      </c>
      <c r="I2705" s="111" t="s">
        <v>402</v>
      </c>
      <c r="J2705" s="111" t="s">
        <v>402</v>
      </c>
      <c r="K2705" s="106" t="s">
        <v>403</v>
      </c>
      <c r="L2705" s="55" t="s">
        <v>404</v>
      </c>
      <c r="M2705" s="55" t="s">
        <v>7634</v>
      </c>
    </row>
    <row r="2706" spans="1:13">
      <c r="A2706" s="408" t="s">
        <v>6676</v>
      </c>
      <c r="B2706" s="106" t="s">
        <v>327</v>
      </c>
      <c r="C2706" s="106" t="s">
        <v>473</v>
      </c>
      <c r="D2706" s="107" t="s">
        <v>6677</v>
      </c>
      <c r="E2706" s="109" t="s">
        <v>355</v>
      </c>
      <c r="F2706" s="109" t="s">
        <v>355</v>
      </c>
      <c r="G2706" s="55" t="s">
        <v>355</v>
      </c>
      <c r="H2706" s="108" t="s">
        <v>402</v>
      </c>
      <c r="I2706" s="111" t="s">
        <v>402</v>
      </c>
      <c r="J2706" s="111" t="s">
        <v>402</v>
      </c>
      <c r="K2706" s="106" t="s">
        <v>403</v>
      </c>
      <c r="L2706" s="55" t="s">
        <v>404</v>
      </c>
      <c r="M2706" s="55" t="s">
        <v>7634</v>
      </c>
    </row>
    <row r="2707" spans="1:13">
      <c r="A2707" s="408" t="s">
        <v>6678</v>
      </c>
      <c r="B2707" s="106" t="s">
        <v>327</v>
      </c>
      <c r="C2707" s="106" t="s">
        <v>473</v>
      </c>
      <c r="D2707" s="107" t="s">
        <v>6679</v>
      </c>
      <c r="E2707" s="109" t="s">
        <v>355</v>
      </c>
      <c r="F2707" s="109" t="s">
        <v>355</v>
      </c>
      <c r="G2707" s="55" t="s">
        <v>355</v>
      </c>
      <c r="H2707" s="108" t="s">
        <v>402</v>
      </c>
      <c r="I2707" s="111" t="s">
        <v>402</v>
      </c>
      <c r="J2707" s="111" t="s">
        <v>402</v>
      </c>
      <c r="K2707" s="106" t="s">
        <v>403</v>
      </c>
      <c r="L2707" s="55" t="s">
        <v>404</v>
      </c>
      <c r="M2707" s="55" t="s">
        <v>7634</v>
      </c>
    </row>
    <row r="2708" spans="1:13">
      <c r="A2708" s="401" t="s">
        <v>6680</v>
      </c>
      <c r="B2708" s="106" t="s">
        <v>327</v>
      </c>
      <c r="C2708" s="106" t="s">
        <v>473</v>
      </c>
      <c r="D2708" s="109" t="s">
        <v>6681</v>
      </c>
      <c r="E2708" s="109" t="s">
        <v>6682</v>
      </c>
      <c r="F2708" s="109" t="s">
        <v>6683</v>
      </c>
      <c r="G2708" s="117" t="s">
        <v>383</v>
      </c>
      <c r="H2708" s="115" t="s">
        <v>402</v>
      </c>
      <c r="I2708" s="111" t="s">
        <v>402</v>
      </c>
      <c r="J2708" s="111" t="s">
        <v>402</v>
      </c>
      <c r="K2708" s="106" t="s">
        <v>403</v>
      </c>
      <c r="L2708" s="55" t="s">
        <v>404</v>
      </c>
      <c r="M2708" s="113" t="s">
        <v>383</v>
      </c>
    </row>
    <row r="2709" spans="1:13">
      <c r="A2709" s="401" t="s">
        <v>6973</v>
      </c>
      <c r="B2709" s="106" t="s">
        <v>327</v>
      </c>
      <c r="C2709" s="106" t="s">
        <v>473</v>
      </c>
      <c r="D2709" s="107" t="s">
        <v>6974</v>
      </c>
      <c r="E2709" s="107" t="s">
        <v>6975</v>
      </c>
      <c r="F2709" s="107" t="s">
        <v>6976</v>
      </c>
      <c r="G2709" s="589" t="s">
        <v>6977</v>
      </c>
      <c r="H2709" s="108" t="s">
        <v>402</v>
      </c>
      <c r="I2709" s="111" t="s">
        <v>402</v>
      </c>
      <c r="J2709" s="111" t="s">
        <v>402</v>
      </c>
      <c r="K2709" s="106" t="s">
        <v>403</v>
      </c>
      <c r="L2709" s="55" t="s">
        <v>404</v>
      </c>
      <c r="M2709" s="55" t="s">
        <v>7634</v>
      </c>
    </row>
    <row r="2710" spans="1:13">
      <c r="A2710" s="401" t="s">
        <v>6688</v>
      </c>
      <c r="B2710" s="106" t="s">
        <v>327</v>
      </c>
      <c r="C2710" s="106" t="s">
        <v>473</v>
      </c>
      <c r="D2710" s="109" t="s">
        <v>383</v>
      </c>
      <c r="E2710" s="109" t="s">
        <v>383</v>
      </c>
      <c r="F2710" s="109" t="s">
        <v>383</v>
      </c>
      <c r="G2710" s="114" t="s">
        <v>383</v>
      </c>
      <c r="H2710" s="115" t="s">
        <v>402</v>
      </c>
      <c r="I2710" s="111" t="s">
        <v>402</v>
      </c>
      <c r="J2710" s="111" t="s">
        <v>402</v>
      </c>
      <c r="K2710" s="115" t="s">
        <v>403</v>
      </c>
      <c r="L2710" s="55" t="s">
        <v>591</v>
      </c>
      <c r="M2710" s="113" t="s">
        <v>383</v>
      </c>
    </row>
    <row r="2711" spans="1:13">
      <c r="A2711" s="408" t="s">
        <v>6689</v>
      </c>
      <c r="B2711" s="106" t="s">
        <v>327</v>
      </c>
      <c r="C2711" s="106" t="s">
        <v>473</v>
      </c>
      <c r="D2711" s="107" t="s">
        <v>6690</v>
      </c>
      <c r="E2711" s="109" t="s">
        <v>355</v>
      </c>
      <c r="F2711" s="109" t="s">
        <v>355</v>
      </c>
      <c r="G2711" s="55" t="s">
        <v>355</v>
      </c>
      <c r="H2711" s="108" t="s">
        <v>402</v>
      </c>
      <c r="I2711" s="111" t="s">
        <v>402</v>
      </c>
      <c r="J2711" s="111" t="s">
        <v>402</v>
      </c>
      <c r="K2711" s="106" t="s">
        <v>403</v>
      </c>
      <c r="L2711" s="55" t="s">
        <v>404</v>
      </c>
      <c r="M2711" s="55" t="s">
        <v>7634</v>
      </c>
    </row>
    <row r="2712" spans="1:13">
      <c r="A2712" s="408" t="s">
        <v>6691</v>
      </c>
      <c r="B2712" s="106" t="s">
        <v>327</v>
      </c>
      <c r="C2712" s="106" t="s">
        <v>473</v>
      </c>
      <c r="D2712" s="107" t="s">
        <v>6692</v>
      </c>
      <c r="E2712" s="109" t="s">
        <v>355</v>
      </c>
      <c r="F2712" s="109" t="s">
        <v>355</v>
      </c>
      <c r="G2712" s="55" t="s">
        <v>355</v>
      </c>
      <c r="H2712" s="108" t="s">
        <v>402</v>
      </c>
      <c r="I2712" s="111" t="s">
        <v>402</v>
      </c>
      <c r="J2712" s="111" t="s">
        <v>402</v>
      </c>
      <c r="K2712" s="106" t="s">
        <v>403</v>
      </c>
      <c r="L2712" s="55" t="s">
        <v>404</v>
      </c>
      <c r="M2712" s="55" t="s">
        <v>7634</v>
      </c>
    </row>
    <row r="2713" spans="1:13">
      <c r="A2713" s="401" t="s">
        <v>6693</v>
      </c>
      <c r="B2713" s="106" t="s">
        <v>327</v>
      </c>
      <c r="C2713" s="106" t="s">
        <v>473</v>
      </c>
      <c r="D2713" s="109" t="s">
        <v>6694</v>
      </c>
      <c r="E2713" s="109" t="s">
        <v>6695</v>
      </c>
      <c r="F2713" s="109" t="s">
        <v>6696</v>
      </c>
      <c r="G2713" s="55"/>
      <c r="H2713" s="115" t="s">
        <v>402</v>
      </c>
      <c r="I2713" s="111" t="s">
        <v>402</v>
      </c>
      <c r="J2713" s="111" t="s">
        <v>402</v>
      </c>
      <c r="K2713" s="106"/>
      <c r="L2713" s="55"/>
      <c r="M2713" s="55" t="s">
        <v>383</v>
      </c>
    </row>
    <row r="2714" spans="1:13">
      <c r="A2714" s="401" t="s">
        <v>6697</v>
      </c>
      <c r="B2714" s="106" t="s">
        <v>327</v>
      </c>
      <c r="C2714" s="106" t="s">
        <v>473</v>
      </c>
      <c r="D2714" s="107" t="s">
        <v>6698</v>
      </c>
      <c r="E2714" s="107" t="s">
        <v>6699</v>
      </c>
      <c r="F2714" s="107" t="s">
        <v>6700</v>
      </c>
      <c r="G2714" s="114"/>
      <c r="H2714" s="108" t="s">
        <v>402</v>
      </c>
      <c r="I2714" s="111" t="s">
        <v>402</v>
      </c>
      <c r="J2714" s="111" t="s">
        <v>402</v>
      </c>
      <c r="K2714" s="106" t="s">
        <v>403</v>
      </c>
      <c r="L2714" s="55" t="s">
        <v>404</v>
      </c>
      <c r="M2714" s="55" t="s">
        <v>7634</v>
      </c>
    </row>
    <row r="2715" spans="1:13">
      <c r="A2715" s="408" t="s">
        <v>6701</v>
      </c>
      <c r="B2715" s="106" t="s">
        <v>327</v>
      </c>
      <c r="C2715" s="106" t="s">
        <v>473</v>
      </c>
      <c r="D2715" s="107" t="s">
        <v>6702</v>
      </c>
      <c r="E2715" s="109" t="s">
        <v>355</v>
      </c>
      <c r="F2715" s="109" t="s">
        <v>355</v>
      </c>
      <c r="G2715" s="55" t="s">
        <v>355</v>
      </c>
      <c r="H2715" s="108" t="s">
        <v>402</v>
      </c>
      <c r="I2715" s="111" t="s">
        <v>402</v>
      </c>
      <c r="J2715" s="111" t="s">
        <v>402</v>
      </c>
      <c r="K2715" s="106" t="s">
        <v>403</v>
      </c>
      <c r="L2715" s="55" t="s">
        <v>404</v>
      </c>
      <c r="M2715" s="55" t="s">
        <v>7634</v>
      </c>
    </row>
    <row r="2716" spans="1:13">
      <c r="A2716" s="408" t="s">
        <v>6703</v>
      </c>
      <c r="B2716" s="106" t="s">
        <v>327</v>
      </c>
      <c r="C2716" s="106" t="s">
        <v>473</v>
      </c>
      <c r="D2716" s="107" t="s">
        <v>6704</v>
      </c>
      <c r="E2716" s="109" t="s">
        <v>355</v>
      </c>
      <c r="F2716" s="109" t="s">
        <v>355</v>
      </c>
      <c r="G2716" s="55" t="s">
        <v>355</v>
      </c>
      <c r="H2716" s="108" t="s">
        <v>402</v>
      </c>
      <c r="I2716" s="111" t="s">
        <v>402</v>
      </c>
      <c r="J2716" s="111" t="s">
        <v>402</v>
      </c>
      <c r="K2716" s="106" t="s">
        <v>403</v>
      </c>
      <c r="L2716" s="55" t="s">
        <v>404</v>
      </c>
      <c r="M2716" s="55" t="s">
        <v>7634</v>
      </c>
    </row>
    <row r="2717" spans="1:13">
      <c r="A2717" s="401" t="s">
        <v>6705</v>
      </c>
      <c r="B2717" s="106" t="s">
        <v>327</v>
      </c>
      <c r="C2717" s="106" t="s">
        <v>473</v>
      </c>
      <c r="D2717" s="110" t="s">
        <v>383</v>
      </c>
      <c r="E2717" s="109" t="s">
        <v>6706</v>
      </c>
      <c r="F2717" s="110" t="s">
        <v>383</v>
      </c>
      <c r="G2717" s="112" t="s">
        <v>6707</v>
      </c>
      <c r="H2717" s="115" t="s">
        <v>402</v>
      </c>
      <c r="I2717" s="111" t="s">
        <v>402</v>
      </c>
      <c r="J2717" s="111" t="s">
        <v>402</v>
      </c>
      <c r="K2717" s="115" t="s">
        <v>403</v>
      </c>
      <c r="L2717" s="55" t="s">
        <v>404</v>
      </c>
      <c r="M2717" s="113" t="s">
        <v>383</v>
      </c>
    </row>
    <row r="2718" spans="1:13">
      <c r="A2718" s="401" t="s">
        <v>6708</v>
      </c>
      <c r="B2718" s="106" t="s">
        <v>327</v>
      </c>
      <c r="C2718" s="106" t="s">
        <v>473</v>
      </c>
      <c r="D2718" s="109" t="s">
        <v>383</v>
      </c>
      <c r="E2718" s="109" t="s">
        <v>383</v>
      </c>
      <c r="F2718" s="109" t="s">
        <v>383</v>
      </c>
      <c r="G2718" s="590" t="s">
        <v>6709</v>
      </c>
      <c r="H2718" s="115" t="s">
        <v>402</v>
      </c>
      <c r="I2718" s="111" t="s">
        <v>402</v>
      </c>
      <c r="J2718" s="111" t="s">
        <v>402</v>
      </c>
      <c r="K2718" s="106" t="s">
        <v>403</v>
      </c>
      <c r="L2718" s="55" t="s">
        <v>1200</v>
      </c>
      <c r="M2718" s="113" t="s">
        <v>1173</v>
      </c>
    </row>
    <row r="2719" spans="1:13">
      <c r="A2719" s="408" t="s">
        <v>6710</v>
      </c>
      <c r="B2719" s="106" t="s">
        <v>327</v>
      </c>
      <c r="C2719" s="106" t="s">
        <v>473</v>
      </c>
      <c r="D2719" s="107" t="s">
        <v>6711</v>
      </c>
      <c r="E2719" s="109" t="s">
        <v>355</v>
      </c>
      <c r="F2719" s="109" t="s">
        <v>355</v>
      </c>
      <c r="G2719" s="55" t="s">
        <v>355</v>
      </c>
      <c r="H2719" s="108" t="s">
        <v>402</v>
      </c>
      <c r="I2719" s="111" t="s">
        <v>402</v>
      </c>
      <c r="J2719" s="111" t="s">
        <v>402</v>
      </c>
      <c r="K2719" s="106" t="s">
        <v>403</v>
      </c>
      <c r="L2719" s="55" t="s">
        <v>404</v>
      </c>
      <c r="M2719" s="55" t="s">
        <v>7634</v>
      </c>
    </row>
    <row r="2720" spans="1:13">
      <c r="A2720" s="408" t="s">
        <v>6712</v>
      </c>
      <c r="B2720" s="106" t="s">
        <v>327</v>
      </c>
      <c r="C2720" s="106" t="s">
        <v>473</v>
      </c>
      <c r="D2720" s="107" t="s">
        <v>6711</v>
      </c>
      <c r="E2720" s="109" t="s">
        <v>355</v>
      </c>
      <c r="F2720" s="109" t="s">
        <v>355</v>
      </c>
      <c r="G2720" s="55" t="s">
        <v>355</v>
      </c>
      <c r="H2720" s="108" t="s">
        <v>402</v>
      </c>
      <c r="I2720" s="111" t="s">
        <v>402</v>
      </c>
      <c r="J2720" s="111" t="s">
        <v>402</v>
      </c>
      <c r="K2720" s="106" t="s">
        <v>403</v>
      </c>
      <c r="L2720" s="55" t="s">
        <v>404</v>
      </c>
      <c r="M2720" s="55" t="s">
        <v>7634</v>
      </c>
    </row>
    <row r="2721" spans="1:13">
      <c r="A2721" s="408" t="s">
        <v>6713</v>
      </c>
      <c r="B2721" s="106" t="s">
        <v>327</v>
      </c>
      <c r="C2721" s="106" t="s">
        <v>473</v>
      </c>
      <c r="D2721" s="107" t="s">
        <v>6714</v>
      </c>
      <c r="E2721" s="109" t="s">
        <v>355</v>
      </c>
      <c r="F2721" s="109" t="s">
        <v>355</v>
      </c>
      <c r="G2721" s="55" t="s">
        <v>355</v>
      </c>
      <c r="H2721" s="108" t="s">
        <v>402</v>
      </c>
      <c r="I2721" s="111" t="s">
        <v>402</v>
      </c>
      <c r="J2721" s="111" t="s">
        <v>402</v>
      </c>
      <c r="K2721" s="106" t="s">
        <v>403</v>
      </c>
      <c r="L2721" s="55" t="s">
        <v>404</v>
      </c>
      <c r="M2721" s="55" t="s">
        <v>7634</v>
      </c>
    </row>
    <row r="2722" spans="1:13">
      <c r="A2722" s="408" t="s">
        <v>6715</v>
      </c>
      <c r="B2722" s="106" t="s">
        <v>327</v>
      </c>
      <c r="C2722" s="106" t="s">
        <v>473</v>
      </c>
      <c r="D2722" s="107" t="s">
        <v>6716</v>
      </c>
      <c r="E2722" s="109" t="s">
        <v>355</v>
      </c>
      <c r="F2722" s="109" t="s">
        <v>355</v>
      </c>
      <c r="G2722" s="55" t="s">
        <v>355</v>
      </c>
      <c r="H2722" s="108" t="s">
        <v>402</v>
      </c>
      <c r="I2722" s="111" t="s">
        <v>402</v>
      </c>
      <c r="J2722" s="111" t="s">
        <v>402</v>
      </c>
      <c r="K2722" s="106" t="s">
        <v>403</v>
      </c>
      <c r="L2722" s="55" t="s">
        <v>404</v>
      </c>
      <c r="M2722" s="55" t="s">
        <v>7634</v>
      </c>
    </row>
    <row r="2723" spans="1:13">
      <c r="A2723" s="408" t="s">
        <v>6717</v>
      </c>
      <c r="B2723" s="106" t="s">
        <v>327</v>
      </c>
      <c r="C2723" s="106" t="s">
        <v>473</v>
      </c>
      <c r="D2723" s="107" t="s">
        <v>6718</v>
      </c>
      <c r="E2723" s="109" t="s">
        <v>355</v>
      </c>
      <c r="F2723" s="109" t="s">
        <v>355</v>
      </c>
      <c r="G2723" s="55" t="s">
        <v>355</v>
      </c>
      <c r="H2723" s="108" t="s">
        <v>402</v>
      </c>
      <c r="I2723" s="111" t="s">
        <v>402</v>
      </c>
      <c r="J2723" s="111" t="s">
        <v>402</v>
      </c>
      <c r="K2723" s="106" t="s">
        <v>403</v>
      </c>
      <c r="L2723" s="55" t="s">
        <v>404</v>
      </c>
      <c r="M2723" s="55" t="s">
        <v>7634</v>
      </c>
    </row>
    <row r="2724" spans="1:13">
      <c r="A2724" s="401" t="s">
        <v>6719</v>
      </c>
      <c r="B2724" s="106" t="s">
        <v>984</v>
      </c>
      <c r="C2724" s="106" t="s">
        <v>473</v>
      </c>
      <c r="D2724" s="109"/>
      <c r="E2724" s="109" t="s">
        <v>1748</v>
      </c>
      <c r="F2724" s="109"/>
      <c r="G2724" s="117" t="s">
        <v>383</v>
      </c>
      <c r="H2724" s="115" t="s">
        <v>402</v>
      </c>
      <c r="I2724" s="111" t="s">
        <v>402</v>
      </c>
      <c r="J2724" s="111" t="s">
        <v>402</v>
      </c>
      <c r="K2724" s="115" t="s">
        <v>403</v>
      </c>
      <c r="L2724" s="55" t="s">
        <v>404</v>
      </c>
      <c r="M2724" s="113" t="s">
        <v>1173</v>
      </c>
    </row>
    <row r="2725" spans="1:13">
      <c r="A2725" s="408" t="s">
        <v>6720</v>
      </c>
      <c r="B2725" s="106" t="s">
        <v>327</v>
      </c>
      <c r="C2725" s="106" t="s">
        <v>473</v>
      </c>
      <c r="D2725" s="107" t="s">
        <v>6721</v>
      </c>
      <c r="E2725" s="109" t="s">
        <v>355</v>
      </c>
      <c r="F2725" s="109" t="s">
        <v>355</v>
      </c>
      <c r="G2725" s="55" t="s">
        <v>355</v>
      </c>
      <c r="H2725" s="108" t="s">
        <v>402</v>
      </c>
      <c r="I2725" s="111" t="s">
        <v>402</v>
      </c>
      <c r="J2725" s="111" t="s">
        <v>402</v>
      </c>
      <c r="K2725" s="106" t="s">
        <v>403</v>
      </c>
      <c r="L2725" s="55" t="s">
        <v>404</v>
      </c>
      <c r="M2725" s="55" t="s">
        <v>7634</v>
      </c>
    </row>
    <row r="2726" spans="1:13">
      <c r="A2726" s="408" t="s">
        <v>6722</v>
      </c>
      <c r="B2726" s="106" t="s">
        <v>327</v>
      </c>
      <c r="C2726" s="106" t="s">
        <v>473</v>
      </c>
      <c r="D2726" s="107" t="s">
        <v>6723</v>
      </c>
      <c r="E2726" s="109" t="s">
        <v>355</v>
      </c>
      <c r="F2726" s="109" t="s">
        <v>355</v>
      </c>
      <c r="G2726" s="55" t="s">
        <v>355</v>
      </c>
      <c r="H2726" s="108" t="s">
        <v>402</v>
      </c>
      <c r="I2726" s="111" t="s">
        <v>402</v>
      </c>
      <c r="J2726" s="111" t="s">
        <v>402</v>
      </c>
      <c r="K2726" s="106" t="s">
        <v>403</v>
      </c>
      <c r="L2726" s="55" t="s">
        <v>404</v>
      </c>
      <c r="M2726" s="55" t="s">
        <v>7634</v>
      </c>
    </row>
    <row r="2727" spans="1:13">
      <c r="A2727" s="408" t="s">
        <v>6724</v>
      </c>
      <c r="B2727" s="106" t="s">
        <v>327</v>
      </c>
      <c r="C2727" s="106" t="s">
        <v>473</v>
      </c>
      <c r="D2727" s="107" t="s">
        <v>6725</v>
      </c>
      <c r="E2727" s="109" t="s">
        <v>355</v>
      </c>
      <c r="F2727" s="109" t="s">
        <v>355</v>
      </c>
      <c r="G2727" s="55" t="s">
        <v>355</v>
      </c>
      <c r="H2727" s="108" t="s">
        <v>402</v>
      </c>
      <c r="I2727" s="111" t="s">
        <v>402</v>
      </c>
      <c r="J2727" s="111" t="s">
        <v>402</v>
      </c>
      <c r="K2727" s="106" t="s">
        <v>403</v>
      </c>
      <c r="L2727" s="55" t="s">
        <v>404</v>
      </c>
      <c r="M2727" s="55" t="s">
        <v>7634</v>
      </c>
    </row>
    <row r="2728" spans="1:13">
      <c r="A2728" s="578" t="s">
        <v>6726</v>
      </c>
      <c r="B2728" s="586" t="s">
        <v>473</v>
      </c>
      <c r="C2728" s="586" t="s">
        <v>473</v>
      </c>
      <c r="D2728" s="586" t="s">
        <v>6727</v>
      </c>
      <c r="E2728" s="586" t="s">
        <v>6728</v>
      </c>
      <c r="F2728" s="586" t="s">
        <v>6729</v>
      </c>
      <c r="G2728" s="586"/>
      <c r="H2728" s="586" t="s">
        <v>359</v>
      </c>
      <c r="I2728" s="587" t="s">
        <v>359</v>
      </c>
      <c r="J2728" s="586"/>
      <c r="K2728" s="586" t="s">
        <v>360</v>
      </c>
      <c r="L2728" s="586" t="s">
        <v>361</v>
      </c>
      <c r="M2728" s="55" t="s">
        <v>7634</v>
      </c>
    </row>
    <row r="2729" spans="1:13">
      <c r="A2729" s="401" t="s">
        <v>6730</v>
      </c>
      <c r="B2729" s="106" t="s">
        <v>327</v>
      </c>
      <c r="C2729" s="106" t="s">
        <v>473</v>
      </c>
      <c r="D2729" s="109" t="s">
        <v>6731</v>
      </c>
      <c r="E2729" s="109" t="s">
        <v>6732</v>
      </c>
      <c r="F2729" s="109" t="s">
        <v>6733</v>
      </c>
      <c r="G2729" s="117" t="s">
        <v>383</v>
      </c>
      <c r="H2729" s="115" t="s">
        <v>402</v>
      </c>
      <c r="I2729" s="111" t="s">
        <v>402</v>
      </c>
      <c r="J2729" s="111" t="s">
        <v>402</v>
      </c>
      <c r="K2729" s="115" t="s">
        <v>403</v>
      </c>
      <c r="L2729" s="55" t="s">
        <v>404</v>
      </c>
      <c r="M2729" s="113" t="s">
        <v>1173</v>
      </c>
    </row>
    <row r="2730" spans="1:13">
      <c r="A2730" s="401" t="s">
        <v>8942</v>
      </c>
      <c r="B2730" s="106" t="s">
        <v>327</v>
      </c>
      <c r="C2730" s="106" t="s">
        <v>473</v>
      </c>
      <c r="D2730" s="133" t="s">
        <v>8943</v>
      </c>
      <c r="E2730" s="133" t="s">
        <v>8944</v>
      </c>
      <c r="F2730" s="133" t="s">
        <v>8945</v>
      </c>
      <c r="G2730" s="601" t="s">
        <v>8946</v>
      </c>
      <c r="H2730" s="108" t="s">
        <v>402</v>
      </c>
      <c r="I2730" s="111" t="s">
        <v>402</v>
      </c>
      <c r="J2730" s="111" t="s">
        <v>402</v>
      </c>
      <c r="K2730" s="106" t="s">
        <v>403</v>
      </c>
      <c r="L2730" s="55" t="s">
        <v>404</v>
      </c>
      <c r="M2730" s="55" t="s">
        <v>383</v>
      </c>
    </row>
    <row r="2731" spans="1:13">
      <c r="A2731" s="408" t="s">
        <v>6734</v>
      </c>
      <c r="B2731" s="106" t="s">
        <v>327</v>
      </c>
      <c r="C2731" s="106" t="s">
        <v>473</v>
      </c>
      <c r="D2731" s="107" t="s">
        <v>6735</v>
      </c>
      <c r="E2731" s="109" t="s">
        <v>355</v>
      </c>
      <c r="F2731" s="109" t="s">
        <v>355</v>
      </c>
      <c r="G2731" s="55" t="s">
        <v>355</v>
      </c>
      <c r="H2731" s="108" t="s">
        <v>402</v>
      </c>
      <c r="I2731" s="111" t="s">
        <v>402</v>
      </c>
      <c r="J2731" s="111" t="s">
        <v>402</v>
      </c>
      <c r="K2731" s="106" t="s">
        <v>403</v>
      </c>
      <c r="L2731" s="55" t="s">
        <v>404</v>
      </c>
      <c r="M2731" s="55" t="s">
        <v>7634</v>
      </c>
    </row>
    <row r="2732" spans="1:13">
      <c r="A2732" s="401" t="s">
        <v>8502</v>
      </c>
      <c r="B2732" s="106" t="s">
        <v>327</v>
      </c>
      <c r="C2732" s="132" t="s">
        <v>327</v>
      </c>
      <c r="D2732" s="133" t="s">
        <v>8497</v>
      </c>
      <c r="E2732" s="133" t="s">
        <v>8498</v>
      </c>
      <c r="F2732" s="133" t="s">
        <v>8499</v>
      </c>
      <c r="G2732" s="601" t="s">
        <v>8500</v>
      </c>
      <c r="H2732" s="108" t="s">
        <v>402</v>
      </c>
      <c r="I2732" s="111" t="s">
        <v>402</v>
      </c>
      <c r="J2732" s="111" t="s">
        <v>402</v>
      </c>
      <c r="K2732" s="106" t="s">
        <v>403</v>
      </c>
      <c r="L2732" s="55" t="s">
        <v>404</v>
      </c>
      <c r="M2732" s="55" t="s">
        <v>383</v>
      </c>
    </row>
    <row r="2733" spans="1:13">
      <c r="A2733" s="408" t="s">
        <v>6736</v>
      </c>
      <c r="B2733" s="106" t="s">
        <v>327</v>
      </c>
      <c r="C2733" s="106" t="s">
        <v>473</v>
      </c>
      <c r="D2733" s="107" t="s">
        <v>6621</v>
      </c>
      <c r="E2733" s="109" t="s">
        <v>355</v>
      </c>
      <c r="F2733" s="109" t="s">
        <v>355</v>
      </c>
      <c r="G2733" s="55" t="s">
        <v>355</v>
      </c>
      <c r="H2733" s="108" t="s">
        <v>402</v>
      </c>
      <c r="I2733" s="111" t="s">
        <v>402</v>
      </c>
      <c r="J2733" s="111" t="s">
        <v>402</v>
      </c>
      <c r="K2733" s="106" t="s">
        <v>403</v>
      </c>
      <c r="L2733" s="55" t="s">
        <v>404</v>
      </c>
      <c r="M2733" s="55" t="s">
        <v>7634</v>
      </c>
    </row>
    <row r="2734" spans="1:13">
      <c r="A2734" s="401" t="s">
        <v>8682</v>
      </c>
      <c r="B2734" s="106" t="s">
        <v>327</v>
      </c>
      <c r="C2734" s="106" t="s">
        <v>473</v>
      </c>
      <c r="D2734" s="133" t="s">
        <v>8683</v>
      </c>
      <c r="E2734" s="133" t="s">
        <v>8690</v>
      </c>
      <c r="F2734" s="133" t="s">
        <v>8684</v>
      </c>
      <c r="G2734" s="601" t="s">
        <v>383</v>
      </c>
      <c r="H2734" s="108" t="s">
        <v>402</v>
      </c>
      <c r="I2734" s="111" t="s">
        <v>402</v>
      </c>
      <c r="J2734" s="111" t="s">
        <v>402</v>
      </c>
      <c r="K2734" s="106" t="s">
        <v>403</v>
      </c>
      <c r="L2734" s="55" t="s">
        <v>404</v>
      </c>
      <c r="M2734" s="55" t="s">
        <v>383</v>
      </c>
    </row>
    <row r="2735" spans="1:13">
      <c r="A2735" s="408" t="s">
        <v>6737</v>
      </c>
      <c r="B2735" s="106" t="s">
        <v>327</v>
      </c>
      <c r="C2735" s="106" t="s">
        <v>473</v>
      </c>
      <c r="D2735" s="107" t="s">
        <v>6738</v>
      </c>
      <c r="E2735" s="109" t="s">
        <v>355</v>
      </c>
      <c r="F2735" s="109" t="s">
        <v>355</v>
      </c>
      <c r="G2735" s="55" t="s">
        <v>355</v>
      </c>
      <c r="H2735" s="108" t="s">
        <v>402</v>
      </c>
      <c r="I2735" s="111" t="s">
        <v>402</v>
      </c>
      <c r="J2735" s="111" t="s">
        <v>402</v>
      </c>
      <c r="K2735" s="106" t="s">
        <v>403</v>
      </c>
      <c r="L2735" s="55" t="s">
        <v>404</v>
      </c>
      <c r="M2735" s="55" t="s">
        <v>7634</v>
      </c>
    </row>
    <row r="2736" spans="1:13">
      <c r="A2736" s="610" t="s">
        <v>8792</v>
      </c>
      <c r="B2736" s="106" t="s">
        <v>327</v>
      </c>
      <c r="C2736" s="106" t="s">
        <v>473</v>
      </c>
      <c r="D2736" s="133" t="s">
        <v>8835</v>
      </c>
      <c r="E2736" s="133" t="s">
        <v>8832</v>
      </c>
      <c r="F2736" s="133" t="s">
        <v>8833</v>
      </c>
      <c r="G2736" s="601" t="s">
        <v>8834</v>
      </c>
      <c r="H2736" s="108" t="s">
        <v>402</v>
      </c>
      <c r="I2736" s="111" t="s">
        <v>402</v>
      </c>
      <c r="J2736" s="111" t="s">
        <v>402</v>
      </c>
      <c r="K2736" s="106" t="s">
        <v>403</v>
      </c>
      <c r="L2736" s="55" t="s">
        <v>404</v>
      </c>
      <c r="M2736" s="55" t="s">
        <v>383</v>
      </c>
    </row>
    <row r="2737" spans="1:13">
      <c r="A2737" s="408" t="s">
        <v>6739</v>
      </c>
      <c r="B2737" s="106" t="s">
        <v>327</v>
      </c>
      <c r="C2737" s="106" t="s">
        <v>473</v>
      </c>
      <c r="D2737" s="107" t="s">
        <v>6740</v>
      </c>
      <c r="E2737" s="109" t="s">
        <v>355</v>
      </c>
      <c r="F2737" s="109" t="s">
        <v>355</v>
      </c>
      <c r="G2737" s="55" t="s">
        <v>355</v>
      </c>
      <c r="H2737" s="108" t="s">
        <v>402</v>
      </c>
      <c r="I2737" s="111" t="s">
        <v>402</v>
      </c>
      <c r="J2737" s="111" t="s">
        <v>402</v>
      </c>
      <c r="K2737" s="106" t="s">
        <v>403</v>
      </c>
      <c r="L2737" s="55" t="s">
        <v>404</v>
      </c>
      <c r="M2737" s="55" t="s">
        <v>7634</v>
      </c>
    </row>
    <row r="2738" spans="1:13">
      <c r="A2738" s="408" t="s">
        <v>6741</v>
      </c>
      <c r="B2738" s="106" t="s">
        <v>327</v>
      </c>
      <c r="C2738" s="106" t="s">
        <v>473</v>
      </c>
      <c r="D2738" s="107" t="s">
        <v>6742</v>
      </c>
      <c r="E2738" s="109" t="s">
        <v>355</v>
      </c>
      <c r="F2738" s="109" t="s">
        <v>355</v>
      </c>
      <c r="G2738" s="55" t="s">
        <v>355</v>
      </c>
      <c r="H2738" s="108" t="s">
        <v>402</v>
      </c>
      <c r="I2738" s="111" t="s">
        <v>402</v>
      </c>
      <c r="J2738" s="111" t="s">
        <v>402</v>
      </c>
      <c r="K2738" s="106" t="s">
        <v>403</v>
      </c>
      <c r="L2738" s="55" t="s">
        <v>404</v>
      </c>
      <c r="M2738" s="55" t="s">
        <v>7634</v>
      </c>
    </row>
    <row r="2739" spans="1:13">
      <c r="A2739" s="408" t="s">
        <v>6743</v>
      </c>
      <c r="B2739" s="106" t="s">
        <v>327</v>
      </c>
      <c r="C2739" s="106" t="s">
        <v>473</v>
      </c>
      <c r="D2739" s="107" t="s">
        <v>5466</v>
      </c>
      <c r="E2739" s="109" t="s">
        <v>355</v>
      </c>
      <c r="F2739" s="109" t="s">
        <v>355</v>
      </c>
      <c r="G2739" s="55" t="s">
        <v>355</v>
      </c>
      <c r="H2739" s="108" t="s">
        <v>402</v>
      </c>
      <c r="I2739" s="111" t="s">
        <v>402</v>
      </c>
      <c r="J2739" s="111" t="s">
        <v>402</v>
      </c>
      <c r="K2739" s="106" t="s">
        <v>403</v>
      </c>
      <c r="L2739" s="55" t="s">
        <v>404</v>
      </c>
      <c r="M2739" s="55" t="s">
        <v>7634</v>
      </c>
    </row>
    <row r="2740" spans="1:13">
      <c r="A2740" s="401" t="s">
        <v>6744</v>
      </c>
      <c r="B2740" s="106" t="s">
        <v>327</v>
      </c>
      <c r="C2740" s="106" t="s">
        <v>473</v>
      </c>
      <c r="D2740" s="109" t="s">
        <v>6745</v>
      </c>
      <c r="E2740" s="109" t="s">
        <v>6746</v>
      </c>
      <c r="F2740" s="109" t="s">
        <v>6747</v>
      </c>
      <c r="G2740" s="117" t="s">
        <v>383</v>
      </c>
      <c r="H2740" s="115" t="s">
        <v>402</v>
      </c>
      <c r="I2740" s="111" t="s">
        <v>402</v>
      </c>
      <c r="J2740" s="111" t="s">
        <v>402</v>
      </c>
      <c r="K2740" s="115" t="s">
        <v>403</v>
      </c>
      <c r="L2740" s="55" t="s">
        <v>404</v>
      </c>
      <c r="M2740" s="113" t="s">
        <v>383</v>
      </c>
    </row>
    <row r="2741" spans="1:13">
      <c r="A2741" s="408" t="s">
        <v>6748</v>
      </c>
      <c r="B2741" s="106" t="s">
        <v>327</v>
      </c>
      <c r="C2741" s="106" t="s">
        <v>473</v>
      </c>
      <c r="D2741" s="107" t="s">
        <v>6749</v>
      </c>
      <c r="E2741" s="109" t="s">
        <v>355</v>
      </c>
      <c r="F2741" s="109" t="s">
        <v>355</v>
      </c>
      <c r="G2741" s="55" t="s">
        <v>355</v>
      </c>
      <c r="H2741" s="108" t="s">
        <v>402</v>
      </c>
      <c r="I2741" s="111" t="s">
        <v>402</v>
      </c>
      <c r="J2741" s="111" t="s">
        <v>402</v>
      </c>
      <c r="K2741" s="106" t="s">
        <v>403</v>
      </c>
      <c r="L2741" s="55" t="s">
        <v>404</v>
      </c>
      <c r="M2741" s="55" t="s">
        <v>7634</v>
      </c>
    </row>
    <row r="2742" spans="1:13">
      <c r="A2742" s="408" t="s">
        <v>6750</v>
      </c>
      <c r="B2742" s="106" t="s">
        <v>327</v>
      </c>
      <c r="C2742" s="106" t="s">
        <v>473</v>
      </c>
      <c r="D2742" s="107" t="s">
        <v>6751</v>
      </c>
      <c r="E2742" s="109" t="s">
        <v>355</v>
      </c>
      <c r="F2742" s="109" t="s">
        <v>355</v>
      </c>
      <c r="G2742" s="55" t="s">
        <v>355</v>
      </c>
      <c r="H2742" s="108" t="s">
        <v>402</v>
      </c>
      <c r="I2742" s="111" t="s">
        <v>402</v>
      </c>
      <c r="J2742" s="111" t="s">
        <v>402</v>
      </c>
      <c r="K2742" s="106" t="s">
        <v>403</v>
      </c>
      <c r="L2742" s="55" t="s">
        <v>404</v>
      </c>
      <c r="M2742" s="55" t="s">
        <v>7634</v>
      </c>
    </row>
    <row r="2743" spans="1:13">
      <c r="A2743" s="408" t="s">
        <v>6752</v>
      </c>
      <c r="B2743" s="106" t="s">
        <v>327</v>
      </c>
      <c r="C2743" s="106" t="s">
        <v>473</v>
      </c>
      <c r="D2743" s="107" t="s">
        <v>6753</v>
      </c>
      <c r="E2743" s="109" t="s">
        <v>355</v>
      </c>
      <c r="F2743" s="109" t="s">
        <v>355</v>
      </c>
      <c r="G2743" s="55" t="s">
        <v>355</v>
      </c>
      <c r="H2743" s="108" t="s">
        <v>402</v>
      </c>
      <c r="I2743" s="111" t="s">
        <v>402</v>
      </c>
      <c r="J2743" s="111" t="s">
        <v>402</v>
      </c>
      <c r="K2743" s="106" t="s">
        <v>403</v>
      </c>
      <c r="L2743" s="55" t="s">
        <v>404</v>
      </c>
      <c r="M2743" s="55" t="s">
        <v>7634</v>
      </c>
    </row>
    <row r="2744" spans="1:13">
      <c r="A2744" s="408" t="s">
        <v>6754</v>
      </c>
      <c r="B2744" s="106" t="s">
        <v>327</v>
      </c>
      <c r="C2744" s="106" t="s">
        <v>473</v>
      </c>
      <c r="D2744" s="107" t="s">
        <v>6755</v>
      </c>
      <c r="E2744" s="109" t="s">
        <v>355</v>
      </c>
      <c r="F2744" s="109" t="s">
        <v>355</v>
      </c>
      <c r="G2744" s="55" t="s">
        <v>355</v>
      </c>
      <c r="H2744" s="108" t="s">
        <v>402</v>
      </c>
      <c r="I2744" s="111" t="s">
        <v>402</v>
      </c>
      <c r="J2744" s="111" t="s">
        <v>402</v>
      </c>
      <c r="K2744" s="106" t="s">
        <v>403</v>
      </c>
      <c r="L2744" s="55" t="s">
        <v>404</v>
      </c>
      <c r="M2744" s="55" t="s">
        <v>7634</v>
      </c>
    </row>
    <row r="2745" spans="1:13">
      <c r="A2745" s="408" t="s">
        <v>6756</v>
      </c>
      <c r="B2745" s="106" t="s">
        <v>327</v>
      </c>
      <c r="C2745" s="106" t="s">
        <v>473</v>
      </c>
      <c r="D2745" s="107" t="s">
        <v>6757</v>
      </c>
      <c r="E2745" s="109" t="s">
        <v>355</v>
      </c>
      <c r="F2745" s="109" t="s">
        <v>355</v>
      </c>
      <c r="G2745" s="55" t="s">
        <v>355</v>
      </c>
      <c r="H2745" s="108" t="s">
        <v>402</v>
      </c>
      <c r="I2745" s="111" t="s">
        <v>402</v>
      </c>
      <c r="J2745" s="111" t="s">
        <v>402</v>
      </c>
      <c r="K2745" s="106" t="s">
        <v>403</v>
      </c>
      <c r="L2745" s="55" t="s">
        <v>404</v>
      </c>
      <c r="M2745" s="55" t="s">
        <v>7634</v>
      </c>
    </row>
    <row r="2746" spans="1:13">
      <c r="A2746" s="578" t="s">
        <v>6758</v>
      </c>
      <c r="B2746" s="586" t="s">
        <v>373</v>
      </c>
      <c r="C2746" s="586" t="s">
        <v>473</v>
      </c>
      <c r="D2746" s="586" t="s">
        <v>6759</v>
      </c>
      <c r="E2746" s="586" t="s">
        <v>6760</v>
      </c>
      <c r="F2746" s="586" t="s">
        <v>6761</v>
      </c>
      <c r="G2746" s="586"/>
      <c r="H2746" s="586"/>
      <c r="I2746" s="587"/>
      <c r="J2746" s="586"/>
      <c r="K2746" s="586"/>
      <c r="L2746" s="586"/>
      <c r="M2746" s="55" t="s">
        <v>7634</v>
      </c>
    </row>
    <row r="2747" spans="1:13">
      <c r="A2747" s="408" t="s">
        <v>6762</v>
      </c>
      <c r="B2747" s="106" t="s">
        <v>327</v>
      </c>
      <c r="C2747" s="106" t="s">
        <v>473</v>
      </c>
      <c r="D2747" s="107" t="s">
        <v>6763</v>
      </c>
      <c r="E2747" s="109" t="s">
        <v>355</v>
      </c>
      <c r="F2747" s="109" t="s">
        <v>355</v>
      </c>
      <c r="G2747" s="55" t="s">
        <v>355</v>
      </c>
      <c r="H2747" s="108" t="s">
        <v>402</v>
      </c>
      <c r="I2747" s="111" t="s">
        <v>402</v>
      </c>
      <c r="J2747" s="111" t="s">
        <v>402</v>
      </c>
      <c r="K2747" s="106" t="s">
        <v>403</v>
      </c>
      <c r="L2747" s="55" t="s">
        <v>404</v>
      </c>
      <c r="M2747" s="55" t="s">
        <v>7634</v>
      </c>
    </row>
    <row r="2748" spans="1:13">
      <c r="A2748" s="408" t="s">
        <v>6764</v>
      </c>
      <c r="B2748" s="106" t="s">
        <v>327</v>
      </c>
      <c r="C2748" s="106" t="s">
        <v>473</v>
      </c>
      <c r="D2748" s="107" t="s">
        <v>6765</v>
      </c>
      <c r="E2748" s="109" t="s">
        <v>355</v>
      </c>
      <c r="F2748" s="109" t="s">
        <v>355</v>
      </c>
      <c r="G2748" s="55" t="s">
        <v>355</v>
      </c>
      <c r="H2748" s="108" t="s">
        <v>402</v>
      </c>
      <c r="I2748" s="111" t="s">
        <v>402</v>
      </c>
      <c r="J2748" s="111" t="s">
        <v>402</v>
      </c>
      <c r="K2748" s="106" t="s">
        <v>403</v>
      </c>
      <c r="L2748" s="55" t="s">
        <v>404</v>
      </c>
      <c r="M2748" s="55" t="s">
        <v>7634</v>
      </c>
    </row>
    <row r="2749" spans="1:13">
      <c r="A2749" s="408" t="s">
        <v>6766</v>
      </c>
      <c r="B2749" s="106" t="s">
        <v>327</v>
      </c>
      <c r="C2749" s="106" t="s">
        <v>473</v>
      </c>
      <c r="D2749" s="107" t="s">
        <v>6767</v>
      </c>
      <c r="E2749" s="109" t="s">
        <v>355</v>
      </c>
      <c r="F2749" s="109" t="s">
        <v>355</v>
      </c>
      <c r="G2749" s="55" t="s">
        <v>355</v>
      </c>
      <c r="H2749" s="108" t="s">
        <v>402</v>
      </c>
      <c r="I2749" s="111" t="s">
        <v>402</v>
      </c>
      <c r="J2749" s="111" t="s">
        <v>402</v>
      </c>
      <c r="K2749" s="106" t="s">
        <v>403</v>
      </c>
      <c r="L2749" s="55" t="s">
        <v>404</v>
      </c>
      <c r="M2749" s="55" t="s">
        <v>7634</v>
      </c>
    </row>
    <row r="2750" spans="1:13">
      <c r="A2750" s="408" t="s">
        <v>6768</v>
      </c>
      <c r="B2750" s="106" t="s">
        <v>327</v>
      </c>
      <c r="C2750" s="106" t="s">
        <v>473</v>
      </c>
      <c r="D2750" s="107" t="s">
        <v>6769</v>
      </c>
      <c r="E2750" s="109" t="s">
        <v>355</v>
      </c>
      <c r="F2750" s="109" t="s">
        <v>355</v>
      </c>
      <c r="G2750" s="55" t="s">
        <v>355</v>
      </c>
      <c r="H2750" s="108" t="s">
        <v>402</v>
      </c>
      <c r="I2750" s="111" t="s">
        <v>402</v>
      </c>
      <c r="J2750" s="111" t="s">
        <v>402</v>
      </c>
      <c r="K2750" s="106" t="s">
        <v>403</v>
      </c>
      <c r="L2750" s="55" t="s">
        <v>404</v>
      </c>
      <c r="M2750" s="55" t="s">
        <v>7634</v>
      </c>
    </row>
    <row r="2751" spans="1:13">
      <c r="A2751" s="408" t="s">
        <v>6770</v>
      </c>
      <c r="B2751" s="106" t="s">
        <v>327</v>
      </c>
      <c r="C2751" s="106" t="s">
        <v>473</v>
      </c>
      <c r="D2751" s="107" t="s">
        <v>6771</v>
      </c>
      <c r="E2751" s="109" t="s">
        <v>355</v>
      </c>
      <c r="F2751" s="109" t="s">
        <v>355</v>
      </c>
      <c r="G2751" s="55" t="s">
        <v>355</v>
      </c>
      <c r="H2751" s="108" t="s">
        <v>402</v>
      </c>
      <c r="I2751" s="111" t="s">
        <v>402</v>
      </c>
      <c r="J2751" s="111" t="s">
        <v>402</v>
      </c>
      <c r="K2751" s="106" t="s">
        <v>403</v>
      </c>
      <c r="L2751" s="55" t="s">
        <v>404</v>
      </c>
      <c r="M2751" s="55" t="s">
        <v>7634</v>
      </c>
    </row>
    <row r="2752" spans="1:13">
      <c r="A2752" s="408" t="s">
        <v>6772</v>
      </c>
      <c r="B2752" s="106" t="s">
        <v>327</v>
      </c>
      <c r="C2752" s="106" t="s">
        <v>473</v>
      </c>
      <c r="D2752" s="107" t="s">
        <v>6773</v>
      </c>
      <c r="E2752" s="109" t="s">
        <v>355</v>
      </c>
      <c r="F2752" s="109" t="s">
        <v>355</v>
      </c>
      <c r="G2752" s="55" t="s">
        <v>355</v>
      </c>
      <c r="H2752" s="108" t="s">
        <v>402</v>
      </c>
      <c r="I2752" s="111" t="s">
        <v>402</v>
      </c>
      <c r="J2752" s="111" t="s">
        <v>402</v>
      </c>
      <c r="K2752" s="106" t="s">
        <v>403</v>
      </c>
      <c r="L2752" s="55" t="s">
        <v>404</v>
      </c>
      <c r="M2752" s="55" t="s">
        <v>7634</v>
      </c>
    </row>
    <row r="2753" spans="1:13">
      <c r="A2753" s="408" t="s">
        <v>6774</v>
      </c>
      <c r="B2753" s="106" t="s">
        <v>327</v>
      </c>
      <c r="C2753" s="106" t="s">
        <v>473</v>
      </c>
      <c r="D2753" s="107" t="s">
        <v>6767</v>
      </c>
      <c r="E2753" s="109" t="s">
        <v>355</v>
      </c>
      <c r="F2753" s="109" t="s">
        <v>355</v>
      </c>
      <c r="G2753" s="55" t="s">
        <v>355</v>
      </c>
      <c r="H2753" s="108" t="s">
        <v>402</v>
      </c>
      <c r="I2753" s="111" t="s">
        <v>402</v>
      </c>
      <c r="J2753" s="111" t="s">
        <v>402</v>
      </c>
      <c r="K2753" s="106" t="s">
        <v>403</v>
      </c>
      <c r="L2753" s="55" t="s">
        <v>404</v>
      </c>
      <c r="M2753" s="55" t="s">
        <v>7634</v>
      </c>
    </row>
    <row r="2754" spans="1:13">
      <c r="A2754" s="408" t="s">
        <v>6775</v>
      </c>
      <c r="B2754" s="106" t="s">
        <v>327</v>
      </c>
      <c r="C2754" s="106" t="s">
        <v>473</v>
      </c>
      <c r="D2754" s="107" t="s">
        <v>6776</v>
      </c>
      <c r="E2754" s="109" t="s">
        <v>355</v>
      </c>
      <c r="F2754" s="109" t="s">
        <v>355</v>
      </c>
      <c r="G2754" s="55" t="s">
        <v>355</v>
      </c>
      <c r="H2754" s="108" t="s">
        <v>402</v>
      </c>
      <c r="I2754" s="111" t="s">
        <v>402</v>
      </c>
      <c r="J2754" s="111" t="s">
        <v>402</v>
      </c>
      <c r="K2754" s="106" t="s">
        <v>403</v>
      </c>
      <c r="L2754" s="55" t="s">
        <v>404</v>
      </c>
      <c r="M2754" s="55" t="s">
        <v>7634</v>
      </c>
    </row>
    <row r="2755" spans="1:13">
      <c r="A2755" s="408" t="s">
        <v>6777</v>
      </c>
      <c r="B2755" s="106" t="s">
        <v>327</v>
      </c>
      <c r="C2755" s="106" t="s">
        <v>473</v>
      </c>
      <c r="D2755" s="107" t="s">
        <v>6778</v>
      </c>
      <c r="E2755" s="109" t="s">
        <v>355</v>
      </c>
      <c r="F2755" s="109" t="s">
        <v>355</v>
      </c>
      <c r="G2755" s="55" t="s">
        <v>355</v>
      </c>
      <c r="H2755" s="108" t="s">
        <v>402</v>
      </c>
      <c r="I2755" s="111" t="s">
        <v>402</v>
      </c>
      <c r="J2755" s="111" t="s">
        <v>402</v>
      </c>
      <c r="K2755" s="106" t="s">
        <v>403</v>
      </c>
      <c r="L2755" s="55" t="s">
        <v>404</v>
      </c>
      <c r="M2755" s="55" t="s">
        <v>7634</v>
      </c>
    </row>
    <row r="2756" spans="1:13">
      <c r="A2756" s="405" t="s">
        <v>203</v>
      </c>
      <c r="B2756" s="106" t="s">
        <v>327</v>
      </c>
      <c r="C2756" s="132" t="s">
        <v>473</v>
      </c>
      <c r="D2756" s="133"/>
      <c r="E2756" s="133"/>
      <c r="F2756" s="133"/>
      <c r="H2756" s="55"/>
      <c r="I2756" s="111"/>
      <c r="J2756" s="111"/>
      <c r="K2756" s="108"/>
      <c r="L2756" s="55"/>
      <c r="M2756" s="55" t="s">
        <v>7634</v>
      </c>
    </row>
    <row r="2757" spans="1:13">
      <c r="A2757" s="408" t="s">
        <v>6779</v>
      </c>
      <c r="B2757" s="106" t="s">
        <v>327</v>
      </c>
      <c r="C2757" s="106" t="s">
        <v>473</v>
      </c>
      <c r="D2757" s="107" t="s">
        <v>6288</v>
      </c>
      <c r="E2757" s="109" t="s">
        <v>355</v>
      </c>
      <c r="F2757" s="109" t="s">
        <v>355</v>
      </c>
      <c r="G2757" s="55" t="s">
        <v>355</v>
      </c>
      <c r="H2757" s="108" t="s">
        <v>402</v>
      </c>
      <c r="I2757" s="111" t="s">
        <v>402</v>
      </c>
      <c r="J2757" s="111" t="s">
        <v>402</v>
      </c>
      <c r="K2757" s="106" t="s">
        <v>403</v>
      </c>
      <c r="L2757" s="55" t="s">
        <v>404</v>
      </c>
      <c r="M2757" s="55" t="s">
        <v>7634</v>
      </c>
    </row>
    <row r="2758" spans="1:13">
      <c r="A2758" s="408" t="s">
        <v>6780</v>
      </c>
      <c r="B2758" s="106" t="s">
        <v>327</v>
      </c>
      <c r="C2758" s="106" t="s">
        <v>473</v>
      </c>
      <c r="D2758" s="107" t="s">
        <v>6781</v>
      </c>
      <c r="E2758" s="109" t="s">
        <v>355</v>
      </c>
      <c r="F2758" s="109" t="s">
        <v>355</v>
      </c>
      <c r="G2758" s="55" t="s">
        <v>355</v>
      </c>
      <c r="H2758" s="108" t="s">
        <v>402</v>
      </c>
      <c r="I2758" s="111" t="s">
        <v>402</v>
      </c>
      <c r="J2758" s="111" t="s">
        <v>402</v>
      </c>
      <c r="K2758" s="106" t="s">
        <v>403</v>
      </c>
      <c r="L2758" s="55" t="s">
        <v>404</v>
      </c>
      <c r="M2758" s="55" t="s">
        <v>7634</v>
      </c>
    </row>
    <row r="2759" spans="1:13">
      <c r="A2759" s="401" t="s">
        <v>6782</v>
      </c>
      <c r="B2759" s="106" t="s">
        <v>984</v>
      </c>
      <c r="C2759" s="106" t="s">
        <v>473</v>
      </c>
      <c r="D2759" s="109" t="s">
        <v>6783</v>
      </c>
      <c r="E2759" s="109" t="s">
        <v>6784</v>
      </c>
      <c r="F2759" s="110" t="s">
        <v>6785</v>
      </c>
      <c r="G2759" s="112" t="s">
        <v>6786</v>
      </c>
      <c r="H2759" s="115" t="s">
        <v>402</v>
      </c>
      <c r="I2759" s="111" t="s">
        <v>402</v>
      </c>
      <c r="J2759" s="111" t="s">
        <v>402</v>
      </c>
      <c r="K2759" s="108" t="s">
        <v>592</v>
      </c>
      <c r="L2759" s="55" t="s">
        <v>404</v>
      </c>
      <c r="M2759" s="55" t="s">
        <v>383</v>
      </c>
    </row>
    <row r="2760" spans="1:13">
      <c r="A2760" s="408" t="s">
        <v>6787</v>
      </c>
      <c r="B2760" s="106" t="s">
        <v>327</v>
      </c>
      <c r="C2760" s="106" t="s">
        <v>473</v>
      </c>
      <c r="D2760" s="107" t="s">
        <v>6788</v>
      </c>
      <c r="E2760" s="109" t="s">
        <v>355</v>
      </c>
      <c r="F2760" s="109" t="s">
        <v>355</v>
      </c>
      <c r="G2760" s="55" t="s">
        <v>355</v>
      </c>
      <c r="H2760" s="108" t="s">
        <v>402</v>
      </c>
      <c r="I2760" s="111" t="s">
        <v>402</v>
      </c>
      <c r="J2760" s="111" t="s">
        <v>402</v>
      </c>
      <c r="K2760" s="106" t="s">
        <v>403</v>
      </c>
      <c r="L2760" s="55" t="s">
        <v>404</v>
      </c>
      <c r="M2760" s="55" t="s">
        <v>7634</v>
      </c>
    </row>
    <row r="2761" spans="1:13">
      <c r="A2761" s="408" t="s">
        <v>6789</v>
      </c>
      <c r="B2761" s="106" t="s">
        <v>327</v>
      </c>
      <c r="C2761" s="106" t="s">
        <v>473</v>
      </c>
      <c r="D2761" s="107" t="s">
        <v>6788</v>
      </c>
      <c r="E2761" s="109" t="s">
        <v>355</v>
      </c>
      <c r="F2761" s="109" t="s">
        <v>355</v>
      </c>
      <c r="G2761" s="55" t="s">
        <v>355</v>
      </c>
      <c r="H2761" s="108" t="s">
        <v>402</v>
      </c>
      <c r="I2761" s="111" t="s">
        <v>402</v>
      </c>
      <c r="J2761" s="111" t="s">
        <v>402</v>
      </c>
      <c r="K2761" s="106" t="s">
        <v>403</v>
      </c>
      <c r="L2761" s="55" t="s">
        <v>404</v>
      </c>
      <c r="M2761" s="55" t="s">
        <v>7634</v>
      </c>
    </row>
    <row r="2762" spans="1:13">
      <c r="A2762" s="408" t="s">
        <v>6790</v>
      </c>
      <c r="B2762" s="106" t="s">
        <v>327</v>
      </c>
      <c r="C2762" s="106" t="s">
        <v>473</v>
      </c>
      <c r="D2762" s="107" t="s">
        <v>6781</v>
      </c>
      <c r="E2762" s="109" t="s">
        <v>355</v>
      </c>
      <c r="F2762" s="109" t="s">
        <v>355</v>
      </c>
      <c r="G2762" s="55" t="s">
        <v>355</v>
      </c>
      <c r="H2762" s="108" t="s">
        <v>402</v>
      </c>
      <c r="I2762" s="111" t="s">
        <v>402</v>
      </c>
      <c r="J2762" s="111" t="s">
        <v>402</v>
      </c>
      <c r="K2762" s="106" t="s">
        <v>403</v>
      </c>
      <c r="L2762" s="55" t="s">
        <v>404</v>
      </c>
      <c r="M2762" s="55" t="s">
        <v>7634</v>
      </c>
    </row>
    <row r="2763" spans="1:13">
      <c r="A2763" s="408" t="s">
        <v>6791</v>
      </c>
      <c r="B2763" s="106" t="s">
        <v>327</v>
      </c>
      <c r="C2763" s="106" t="s">
        <v>473</v>
      </c>
      <c r="D2763" s="107" t="s">
        <v>6792</v>
      </c>
      <c r="E2763" s="109" t="s">
        <v>355</v>
      </c>
      <c r="F2763" s="109" t="s">
        <v>355</v>
      </c>
      <c r="G2763" s="55" t="s">
        <v>355</v>
      </c>
      <c r="H2763" s="108" t="s">
        <v>402</v>
      </c>
      <c r="I2763" s="111" t="s">
        <v>402</v>
      </c>
      <c r="J2763" s="111" t="s">
        <v>402</v>
      </c>
      <c r="K2763" s="106" t="s">
        <v>403</v>
      </c>
      <c r="L2763" s="55" t="s">
        <v>404</v>
      </c>
      <c r="M2763" s="55" t="s">
        <v>7634</v>
      </c>
    </row>
    <row r="2764" spans="1:13">
      <c r="A2764" s="408" t="s">
        <v>6793</v>
      </c>
      <c r="B2764" s="106" t="s">
        <v>327</v>
      </c>
      <c r="C2764" s="106" t="s">
        <v>473</v>
      </c>
      <c r="D2764" s="107" t="s">
        <v>6794</v>
      </c>
      <c r="E2764" s="109" t="s">
        <v>355</v>
      </c>
      <c r="F2764" s="109" t="s">
        <v>355</v>
      </c>
      <c r="G2764" s="55" t="s">
        <v>355</v>
      </c>
      <c r="H2764" s="108" t="s">
        <v>402</v>
      </c>
      <c r="I2764" s="111" t="s">
        <v>402</v>
      </c>
      <c r="J2764" s="111" t="s">
        <v>402</v>
      </c>
      <c r="K2764" s="106" t="s">
        <v>403</v>
      </c>
      <c r="L2764" s="55" t="s">
        <v>404</v>
      </c>
      <c r="M2764" s="55" t="s">
        <v>7634</v>
      </c>
    </row>
    <row r="2765" spans="1:13">
      <c r="A2765" s="578" t="s">
        <v>6795</v>
      </c>
      <c r="B2765" s="586" t="s">
        <v>473</v>
      </c>
      <c r="C2765" s="586" t="s">
        <v>473</v>
      </c>
      <c r="D2765" s="586" t="s">
        <v>6796</v>
      </c>
      <c r="E2765" s="586" t="s">
        <v>6797</v>
      </c>
      <c r="F2765" s="586" t="s">
        <v>6798</v>
      </c>
      <c r="G2765" s="586" t="s">
        <v>377</v>
      </c>
      <c r="H2765" s="586" t="s">
        <v>359</v>
      </c>
      <c r="I2765" s="587" t="s">
        <v>359</v>
      </c>
      <c r="J2765" s="586"/>
      <c r="K2765" s="586" t="s">
        <v>360</v>
      </c>
      <c r="L2765" s="586" t="s">
        <v>361</v>
      </c>
      <c r="M2765" s="55" t="s">
        <v>7634</v>
      </c>
    </row>
    <row r="2766" spans="1:13">
      <c r="A2766" s="408" t="s">
        <v>6799</v>
      </c>
      <c r="B2766" s="106" t="s">
        <v>327</v>
      </c>
      <c r="C2766" s="106" t="s">
        <v>473</v>
      </c>
      <c r="D2766" s="107" t="s">
        <v>6794</v>
      </c>
      <c r="E2766" s="107" t="s">
        <v>6800</v>
      </c>
      <c r="F2766" s="107" t="s">
        <v>6801</v>
      </c>
      <c r="G2766" s="114" t="s">
        <v>355</v>
      </c>
      <c r="H2766" s="108" t="s">
        <v>402</v>
      </c>
      <c r="I2766" s="111" t="s">
        <v>402</v>
      </c>
      <c r="J2766" s="111" t="s">
        <v>402</v>
      </c>
      <c r="K2766" s="106" t="s">
        <v>403</v>
      </c>
      <c r="L2766" s="55" t="s">
        <v>404</v>
      </c>
      <c r="M2766" s="55" t="s">
        <v>7634</v>
      </c>
    </row>
    <row r="2767" spans="1:13">
      <c r="A2767" s="408" t="s">
        <v>6802</v>
      </c>
      <c r="B2767" s="106" t="s">
        <v>327</v>
      </c>
      <c r="C2767" s="106" t="s">
        <v>473</v>
      </c>
      <c r="D2767" s="107" t="s">
        <v>6803</v>
      </c>
      <c r="E2767" s="109" t="s">
        <v>355</v>
      </c>
      <c r="F2767" s="109" t="s">
        <v>355</v>
      </c>
      <c r="G2767" s="55" t="s">
        <v>355</v>
      </c>
      <c r="H2767" s="108" t="s">
        <v>402</v>
      </c>
      <c r="I2767" s="111" t="s">
        <v>402</v>
      </c>
      <c r="J2767" s="111" t="s">
        <v>402</v>
      </c>
      <c r="K2767" s="106" t="s">
        <v>403</v>
      </c>
      <c r="L2767" s="55" t="s">
        <v>404</v>
      </c>
      <c r="M2767" s="55" t="s">
        <v>7634</v>
      </c>
    </row>
    <row r="2768" spans="1:13">
      <c r="A2768" s="401" t="s">
        <v>7024</v>
      </c>
      <c r="B2768" s="106" t="s">
        <v>327</v>
      </c>
      <c r="C2768" s="106" t="s">
        <v>473</v>
      </c>
      <c r="D2768" s="107" t="s">
        <v>7025</v>
      </c>
      <c r="E2768" s="107" t="s">
        <v>7026</v>
      </c>
      <c r="F2768" s="107" t="s">
        <v>7027</v>
      </c>
      <c r="G2768" s="108" t="s">
        <v>7028</v>
      </c>
      <c r="H2768" s="108" t="s">
        <v>402</v>
      </c>
      <c r="I2768" s="111" t="s">
        <v>402</v>
      </c>
      <c r="J2768" s="111" t="s">
        <v>402</v>
      </c>
      <c r="K2768" s="106" t="s">
        <v>403</v>
      </c>
      <c r="L2768" s="55" t="s">
        <v>404</v>
      </c>
      <c r="M2768" s="55" t="s">
        <v>7634</v>
      </c>
    </row>
    <row r="2769" spans="1:13">
      <c r="A2769" s="408" t="s">
        <v>6804</v>
      </c>
      <c r="B2769" s="106" t="s">
        <v>327</v>
      </c>
      <c r="C2769" s="106" t="s">
        <v>473</v>
      </c>
      <c r="D2769" s="107" t="s">
        <v>6805</v>
      </c>
      <c r="E2769" s="109" t="s">
        <v>355</v>
      </c>
      <c r="F2769" s="109" t="s">
        <v>355</v>
      </c>
      <c r="G2769" s="55" t="s">
        <v>355</v>
      </c>
      <c r="H2769" s="108" t="s">
        <v>402</v>
      </c>
      <c r="I2769" s="111" t="s">
        <v>402</v>
      </c>
      <c r="J2769" s="111" t="s">
        <v>402</v>
      </c>
      <c r="K2769" s="106" t="s">
        <v>403</v>
      </c>
      <c r="L2769" s="55" t="s">
        <v>404</v>
      </c>
      <c r="M2769" s="55" t="s">
        <v>7634</v>
      </c>
    </row>
    <row r="2770" spans="1:13">
      <c r="A2770" s="401" t="s">
        <v>6806</v>
      </c>
      <c r="B2770" s="106" t="s">
        <v>327</v>
      </c>
      <c r="C2770" s="106" t="s">
        <v>473</v>
      </c>
      <c r="D2770" s="107" t="s">
        <v>6807</v>
      </c>
      <c r="E2770" s="107" t="s">
        <v>6808</v>
      </c>
      <c r="F2770" s="107" t="s">
        <v>4637</v>
      </c>
      <c r="H2770" s="54" t="s">
        <v>359</v>
      </c>
      <c r="I2770" s="583" t="s">
        <v>359</v>
      </c>
      <c r="J2770" s="582" t="s">
        <v>359</v>
      </c>
      <c r="K2770" s="584" t="s">
        <v>360</v>
      </c>
      <c r="L2770" s="54" t="s">
        <v>361</v>
      </c>
      <c r="M2770" s="55" t="s">
        <v>7634</v>
      </c>
    </row>
    <row r="2771" spans="1:13">
      <c r="A2771" s="401" t="s">
        <v>6809</v>
      </c>
      <c r="B2771" s="106" t="s">
        <v>327</v>
      </c>
      <c r="C2771" s="106" t="s">
        <v>473</v>
      </c>
      <c r="D2771" s="109" t="s">
        <v>6810</v>
      </c>
      <c r="E2771" s="109" t="s">
        <v>6811</v>
      </c>
      <c r="F2771" s="109" t="s">
        <v>6812</v>
      </c>
      <c r="G2771" s="55" t="s">
        <v>6813</v>
      </c>
      <c r="H2771" s="115" t="s">
        <v>402</v>
      </c>
      <c r="I2771" s="111" t="s">
        <v>402</v>
      </c>
      <c r="J2771" s="111" t="s">
        <v>402</v>
      </c>
      <c r="K2771" s="106" t="s">
        <v>403</v>
      </c>
      <c r="L2771" s="55" t="s">
        <v>404</v>
      </c>
      <c r="M2771" s="55" t="s">
        <v>383</v>
      </c>
    </row>
    <row r="2772" spans="1:13">
      <c r="A2772" s="408" t="s">
        <v>6814</v>
      </c>
      <c r="B2772" s="106" t="s">
        <v>327</v>
      </c>
      <c r="C2772" s="106" t="s">
        <v>473</v>
      </c>
      <c r="D2772" s="107" t="s">
        <v>6815</v>
      </c>
      <c r="E2772" s="109" t="s">
        <v>355</v>
      </c>
      <c r="F2772" s="109" t="s">
        <v>355</v>
      </c>
      <c r="G2772" s="55" t="s">
        <v>355</v>
      </c>
      <c r="H2772" s="108" t="s">
        <v>402</v>
      </c>
      <c r="I2772" s="111" t="s">
        <v>402</v>
      </c>
      <c r="J2772" s="111" t="s">
        <v>402</v>
      </c>
      <c r="K2772" s="106" t="s">
        <v>403</v>
      </c>
      <c r="L2772" s="55" t="s">
        <v>404</v>
      </c>
      <c r="M2772" s="55" t="s">
        <v>7634</v>
      </c>
    </row>
    <row r="2773" spans="1:13">
      <c r="A2773" s="408" t="s">
        <v>6816</v>
      </c>
      <c r="B2773" s="106" t="s">
        <v>327</v>
      </c>
      <c r="C2773" s="106" t="s">
        <v>473</v>
      </c>
      <c r="D2773" s="107" t="s">
        <v>6817</v>
      </c>
      <c r="E2773" s="109" t="s">
        <v>355</v>
      </c>
      <c r="F2773" s="109" t="s">
        <v>355</v>
      </c>
      <c r="G2773" s="55" t="s">
        <v>355</v>
      </c>
      <c r="H2773" s="108" t="s">
        <v>402</v>
      </c>
      <c r="I2773" s="111" t="s">
        <v>402</v>
      </c>
      <c r="J2773" s="111" t="s">
        <v>402</v>
      </c>
      <c r="K2773" s="106" t="s">
        <v>403</v>
      </c>
      <c r="L2773" s="55" t="s">
        <v>404</v>
      </c>
      <c r="M2773" s="55" t="s">
        <v>7634</v>
      </c>
    </row>
    <row r="2774" spans="1:13">
      <c r="A2774" s="578" t="s">
        <v>6818</v>
      </c>
      <c r="B2774" s="586" t="s">
        <v>473</v>
      </c>
      <c r="C2774" s="586" t="s">
        <v>473</v>
      </c>
      <c r="D2774" s="586" t="s">
        <v>6819</v>
      </c>
      <c r="E2774" s="586" t="s">
        <v>6820</v>
      </c>
      <c r="F2774" s="586" t="s">
        <v>6821</v>
      </c>
      <c r="G2774" s="586" t="s">
        <v>377</v>
      </c>
      <c r="H2774" s="586" t="s">
        <v>359</v>
      </c>
      <c r="I2774" s="587" t="s">
        <v>359</v>
      </c>
      <c r="J2774" s="586"/>
      <c r="K2774" s="586" t="s">
        <v>360</v>
      </c>
      <c r="L2774" s="586" t="s">
        <v>361</v>
      </c>
      <c r="M2774" s="55" t="s">
        <v>7634</v>
      </c>
    </row>
    <row r="2775" spans="1:13">
      <c r="A2775" s="408" t="s">
        <v>6822</v>
      </c>
      <c r="B2775" s="106" t="s">
        <v>327</v>
      </c>
      <c r="C2775" s="106" t="s">
        <v>473</v>
      </c>
      <c r="D2775" s="107" t="s">
        <v>6823</v>
      </c>
      <c r="E2775" s="109" t="s">
        <v>355</v>
      </c>
      <c r="F2775" s="109" t="s">
        <v>355</v>
      </c>
      <c r="G2775" s="55" t="s">
        <v>355</v>
      </c>
      <c r="H2775" s="108" t="s">
        <v>402</v>
      </c>
      <c r="I2775" s="111" t="s">
        <v>402</v>
      </c>
      <c r="J2775" s="111" t="s">
        <v>402</v>
      </c>
      <c r="K2775" s="106" t="s">
        <v>403</v>
      </c>
      <c r="L2775" s="55" t="s">
        <v>404</v>
      </c>
      <c r="M2775" s="55" t="s">
        <v>7634</v>
      </c>
    </row>
    <row r="2776" spans="1:13">
      <c r="A2776" s="408" t="s">
        <v>6824</v>
      </c>
      <c r="B2776" s="106" t="s">
        <v>327</v>
      </c>
      <c r="C2776" s="106" t="s">
        <v>473</v>
      </c>
      <c r="D2776" s="107" t="s">
        <v>6825</v>
      </c>
      <c r="E2776" s="109" t="s">
        <v>355</v>
      </c>
      <c r="F2776" s="109" t="s">
        <v>355</v>
      </c>
      <c r="G2776" s="55" t="s">
        <v>355</v>
      </c>
      <c r="H2776" s="108" t="s">
        <v>402</v>
      </c>
      <c r="I2776" s="111" t="s">
        <v>402</v>
      </c>
      <c r="J2776" s="111" t="s">
        <v>402</v>
      </c>
      <c r="K2776" s="106" t="s">
        <v>403</v>
      </c>
      <c r="L2776" s="55" t="s">
        <v>404</v>
      </c>
      <c r="M2776" s="55" t="s">
        <v>7634</v>
      </c>
    </row>
    <row r="2777" spans="1:13">
      <c r="A2777" s="408" t="s">
        <v>6826</v>
      </c>
      <c r="B2777" s="106" t="s">
        <v>327</v>
      </c>
      <c r="C2777" s="106" t="s">
        <v>473</v>
      </c>
      <c r="D2777" s="107" t="s">
        <v>6827</v>
      </c>
      <c r="E2777" s="109" t="s">
        <v>355</v>
      </c>
      <c r="F2777" s="109" t="s">
        <v>355</v>
      </c>
      <c r="G2777" s="55" t="s">
        <v>355</v>
      </c>
      <c r="H2777" s="108" t="s">
        <v>402</v>
      </c>
      <c r="I2777" s="111" t="s">
        <v>402</v>
      </c>
      <c r="J2777" s="111" t="s">
        <v>402</v>
      </c>
      <c r="K2777" s="106" t="s">
        <v>403</v>
      </c>
      <c r="L2777" s="55" t="s">
        <v>404</v>
      </c>
      <c r="M2777" s="55" t="s">
        <v>7634</v>
      </c>
    </row>
    <row r="2778" spans="1:13">
      <c r="A2778" s="408" t="s">
        <v>6828</v>
      </c>
      <c r="B2778" s="106" t="s">
        <v>327</v>
      </c>
      <c r="C2778" s="106" t="s">
        <v>473</v>
      </c>
      <c r="D2778" s="107" t="s">
        <v>6829</v>
      </c>
      <c r="E2778" s="109" t="s">
        <v>355</v>
      </c>
      <c r="F2778" s="109" t="s">
        <v>355</v>
      </c>
      <c r="G2778" s="55" t="s">
        <v>355</v>
      </c>
      <c r="H2778" s="108" t="s">
        <v>402</v>
      </c>
      <c r="I2778" s="111" t="s">
        <v>402</v>
      </c>
      <c r="J2778" s="111" t="s">
        <v>402</v>
      </c>
      <c r="K2778" s="106" t="s">
        <v>403</v>
      </c>
      <c r="L2778" s="55" t="s">
        <v>404</v>
      </c>
      <c r="M2778" s="55" t="s">
        <v>7634</v>
      </c>
    </row>
    <row r="2779" spans="1:13">
      <c r="A2779" s="408" t="s">
        <v>6830</v>
      </c>
      <c r="B2779" s="106" t="s">
        <v>327</v>
      </c>
      <c r="C2779" s="106" t="s">
        <v>473</v>
      </c>
      <c r="D2779" s="107" t="s">
        <v>6831</v>
      </c>
      <c r="E2779" s="109" t="s">
        <v>355</v>
      </c>
      <c r="F2779" s="109" t="s">
        <v>355</v>
      </c>
      <c r="G2779" s="55" t="s">
        <v>355</v>
      </c>
      <c r="H2779" s="108" t="s">
        <v>402</v>
      </c>
      <c r="I2779" s="111" t="s">
        <v>402</v>
      </c>
      <c r="J2779" s="111" t="s">
        <v>402</v>
      </c>
      <c r="K2779" s="106" t="s">
        <v>403</v>
      </c>
      <c r="L2779" s="55" t="s">
        <v>404</v>
      </c>
      <c r="M2779" s="55" t="s">
        <v>7634</v>
      </c>
    </row>
    <row r="2780" spans="1:13">
      <c r="A2780" s="401" t="s">
        <v>6832</v>
      </c>
      <c r="B2780" s="106" t="s">
        <v>327</v>
      </c>
      <c r="C2780" s="106" t="s">
        <v>473</v>
      </c>
      <c r="D2780" s="110" t="s">
        <v>383</v>
      </c>
      <c r="E2780" s="110" t="s">
        <v>383</v>
      </c>
      <c r="F2780" s="110" t="s">
        <v>383</v>
      </c>
      <c r="G2780" s="112" t="s">
        <v>6833</v>
      </c>
      <c r="H2780" s="115" t="s">
        <v>402</v>
      </c>
      <c r="I2780" s="111" t="s">
        <v>402</v>
      </c>
      <c r="J2780" s="111" t="s">
        <v>402</v>
      </c>
      <c r="K2780" s="115" t="s">
        <v>403</v>
      </c>
      <c r="L2780" s="55" t="s">
        <v>404</v>
      </c>
      <c r="M2780" s="113" t="s">
        <v>383</v>
      </c>
    </row>
    <row r="2781" spans="1:13">
      <c r="A2781" s="408" t="s">
        <v>6834</v>
      </c>
      <c r="B2781" s="106" t="s">
        <v>327</v>
      </c>
      <c r="C2781" s="106" t="s">
        <v>473</v>
      </c>
      <c r="D2781" s="107" t="s">
        <v>6835</v>
      </c>
      <c r="E2781" s="109" t="s">
        <v>355</v>
      </c>
      <c r="F2781" s="109" t="s">
        <v>355</v>
      </c>
      <c r="G2781" s="55" t="s">
        <v>355</v>
      </c>
      <c r="H2781" s="108" t="s">
        <v>402</v>
      </c>
      <c r="I2781" s="111" t="s">
        <v>402</v>
      </c>
      <c r="J2781" s="111" t="s">
        <v>402</v>
      </c>
      <c r="K2781" s="106" t="s">
        <v>403</v>
      </c>
      <c r="L2781" s="55" t="s">
        <v>404</v>
      </c>
      <c r="M2781" s="55" t="s">
        <v>7634</v>
      </c>
    </row>
    <row r="2782" spans="1:13">
      <c r="A2782" s="408" t="s">
        <v>6836</v>
      </c>
      <c r="B2782" s="106" t="s">
        <v>327</v>
      </c>
      <c r="C2782" s="106" t="s">
        <v>473</v>
      </c>
      <c r="D2782" s="107" t="s">
        <v>6837</v>
      </c>
      <c r="E2782" s="109" t="s">
        <v>355</v>
      </c>
      <c r="F2782" s="109" t="s">
        <v>355</v>
      </c>
      <c r="G2782" s="55" t="s">
        <v>355</v>
      </c>
      <c r="H2782" s="108" t="s">
        <v>402</v>
      </c>
      <c r="I2782" s="111" t="s">
        <v>402</v>
      </c>
      <c r="J2782" s="111" t="s">
        <v>402</v>
      </c>
      <c r="K2782" s="106" t="s">
        <v>403</v>
      </c>
      <c r="L2782" s="55" t="s">
        <v>404</v>
      </c>
      <c r="M2782" s="55" t="s">
        <v>7634</v>
      </c>
    </row>
    <row r="2783" spans="1:13">
      <c r="A2783" s="408" t="s">
        <v>6838</v>
      </c>
      <c r="B2783" s="106" t="s">
        <v>327</v>
      </c>
      <c r="C2783" s="106" t="s">
        <v>473</v>
      </c>
      <c r="D2783" s="107" t="s">
        <v>6839</v>
      </c>
      <c r="E2783" s="109" t="s">
        <v>355</v>
      </c>
      <c r="F2783" s="109" t="s">
        <v>355</v>
      </c>
      <c r="G2783" s="55" t="s">
        <v>355</v>
      </c>
      <c r="H2783" s="108" t="s">
        <v>402</v>
      </c>
      <c r="I2783" s="111" t="s">
        <v>402</v>
      </c>
      <c r="J2783" s="111" t="s">
        <v>402</v>
      </c>
      <c r="K2783" s="106" t="s">
        <v>403</v>
      </c>
      <c r="L2783" s="55" t="s">
        <v>404</v>
      </c>
      <c r="M2783" s="55" t="s">
        <v>7634</v>
      </c>
    </row>
    <row r="2784" spans="1:13">
      <c r="A2784" s="401" t="s">
        <v>6840</v>
      </c>
      <c r="B2784" s="106" t="s">
        <v>327</v>
      </c>
      <c r="C2784" s="106" t="s">
        <v>473</v>
      </c>
      <c r="D2784" s="120" t="s">
        <v>6841</v>
      </c>
      <c r="E2784" s="107" t="s">
        <v>1930</v>
      </c>
      <c r="F2784" s="107" t="s">
        <v>6842</v>
      </c>
      <c r="G2784" s="114" t="s">
        <v>355</v>
      </c>
      <c r="H2784" s="108" t="s">
        <v>402</v>
      </c>
      <c r="I2784" s="111" t="s">
        <v>402</v>
      </c>
      <c r="J2784" s="111" t="s">
        <v>402</v>
      </c>
      <c r="K2784" s="115" t="s">
        <v>403</v>
      </c>
      <c r="L2784" s="55" t="s">
        <v>404</v>
      </c>
      <c r="M2784" s="55" t="s">
        <v>355</v>
      </c>
    </row>
    <row r="2785" spans="1:13">
      <c r="A2785" s="408" t="s">
        <v>6843</v>
      </c>
      <c r="B2785" s="106" t="s">
        <v>327</v>
      </c>
      <c r="C2785" s="106" t="s">
        <v>473</v>
      </c>
      <c r="D2785" s="107" t="s">
        <v>6844</v>
      </c>
      <c r="E2785" s="109" t="s">
        <v>355</v>
      </c>
      <c r="F2785" s="109" t="s">
        <v>355</v>
      </c>
      <c r="G2785" s="55" t="s">
        <v>355</v>
      </c>
      <c r="H2785" s="108" t="s">
        <v>402</v>
      </c>
      <c r="I2785" s="111" t="s">
        <v>402</v>
      </c>
      <c r="J2785" s="111" t="s">
        <v>402</v>
      </c>
      <c r="K2785" s="106" t="s">
        <v>403</v>
      </c>
      <c r="L2785" s="55" t="s">
        <v>404</v>
      </c>
      <c r="M2785" s="55" t="s">
        <v>7634</v>
      </c>
    </row>
    <row r="2786" spans="1:13">
      <c r="A2786" s="408" t="s">
        <v>6845</v>
      </c>
      <c r="B2786" s="106" t="s">
        <v>327</v>
      </c>
      <c r="C2786" s="106" t="s">
        <v>473</v>
      </c>
      <c r="D2786" s="107" t="s">
        <v>6844</v>
      </c>
      <c r="E2786" s="109" t="s">
        <v>355</v>
      </c>
      <c r="F2786" s="109" t="s">
        <v>355</v>
      </c>
      <c r="G2786" s="55" t="s">
        <v>355</v>
      </c>
      <c r="H2786" s="108" t="s">
        <v>402</v>
      </c>
      <c r="I2786" s="111" t="s">
        <v>402</v>
      </c>
      <c r="J2786" s="111" t="s">
        <v>402</v>
      </c>
      <c r="K2786" s="106" t="s">
        <v>403</v>
      </c>
      <c r="L2786" s="55" t="s">
        <v>404</v>
      </c>
      <c r="M2786" s="55" t="s">
        <v>7634</v>
      </c>
    </row>
    <row r="2787" spans="1:13">
      <c r="A2787" s="408" t="s">
        <v>6846</v>
      </c>
      <c r="B2787" s="106" t="s">
        <v>327</v>
      </c>
      <c r="C2787" s="106" t="s">
        <v>473</v>
      </c>
      <c r="D2787" s="107" t="s">
        <v>6847</v>
      </c>
      <c r="E2787" s="109" t="s">
        <v>355</v>
      </c>
      <c r="F2787" s="109" t="s">
        <v>355</v>
      </c>
      <c r="G2787" s="55" t="s">
        <v>355</v>
      </c>
      <c r="H2787" s="108" t="s">
        <v>402</v>
      </c>
      <c r="I2787" s="111" t="s">
        <v>402</v>
      </c>
      <c r="J2787" s="111" t="s">
        <v>402</v>
      </c>
      <c r="K2787" s="106" t="s">
        <v>403</v>
      </c>
      <c r="L2787" s="55" t="s">
        <v>404</v>
      </c>
      <c r="M2787" s="55" t="s">
        <v>7634</v>
      </c>
    </row>
    <row r="2788" spans="1:13">
      <c r="A2788" s="408" t="s">
        <v>6848</v>
      </c>
      <c r="B2788" s="106" t="s">
        <v>327</v>
      </c>
      <c r="C2788" s="106" t="s">
        <v>473</v>
      </c>
      <c r="D2788" s="107" t="s">
        <v>6849</v>
      </c>
      <c r="E2788" s="109" t="s">
        <v>355</v>
      </c>
      <c r="F2788" s="109" t="s">
        <v>355</v>
      </c>
      <c r="G2788" s="55" t="s">
        <v>355</v>
      </c>
      <c r="H2788" s="108" t="s">
        <v>402</v>
      </c>
      <c r="I2788" s="111" t="s">
        <v>402</v>
      </c>
      <c r="J2788" s="111" t="s">
        <v>402</v>
      </c>
      <c r="K2788" s="106" t="s">
        <v>403</v>
      </c>
      <c r="L2788" s="55" t="s">
        <v>404</v>
      </c>
      <c r="M2788" s="55" t="s">
        <v>7634</v>
      </c>
    </row>
    <row r="2789" spans="1:13">
      <c r="A2789" s="408" t="s">
        <v>6850</v>
      </c>
      <c r="B2789" s="106" t="s">
        <v>327</v>
      </c>
      <c r="C2789" s="106" t="s">
        <v>473</v>
      </c>
      <c r="D2789" s="107" t="s">
        <v>6851</v>
      </c>
      <c r="E2789" s="109" t="s">
        <v>355</v>
      </c>
      <c r="F2789" s="109" t="s">
        <v>355</v>
      </c>
      <c r="G2789" s="55" t="s">
        <v>355</v>
      </c>
      <c r="H2789" s="108" t="s">
        <v>402</v>
      </c>
      <c r="I2789" s="111" t="s">
        <v>402</v>
      </c>
      <c r="J2789" s="111" t="s">
        <v>402</v>
      </c>
      <c r="K2789" s="106" t="s">
        <v>403</v>
      </c>
      <c r="L2789" s="55" t="s">
        <v>404</v>
      </c>
      <c r="M2789" s="55" t="s">
        <v>7634</v>
      </c>
    </row>
    <row r="2790" spans="1:13">
      <c r="A2790" s="401" t="s">
        <v>6852</v>
      </c>
      <c r="B2790" s="106" t="s">
        <v>327</v>
      </c>
      <c r="C2790" s="106" t="s">
        <v>473</v>
      </c>
      <c r="D2790" s="109"/>
      <c r="E2790" s="109" t="s">
        <v>355</v>
      </c>
      <c r="F2790" s="109" t="s">
        <v>355</v>
      </c>
      <c r="G2790" s="55" t="s">
        <v>355</v>
      </c>
      <c r="H2790" s="115" t="s">
        <v>402</v>
      </c>
      <c r="I2790" s="111" t="s">
        <v>402</v>
      </c>
      <c r="J2790" s="111" t="s">
        <v>402</v>
      </c>
      <c r="K2790" s="106" t="s">
        <v>403</v>
      </c>
      <c r="L2790" s="55" t="s">
        <v>404</v>
      </c>
      <c r="M2790" s="55" t="s">
        <v>383</v>
      </c>
    </row>
    <row r="2791" spans="1:13">
      <c r="A2791" s="408" t="s">
        <v>6853</v>
      </c>
      <c r="B2791" s="106" t="s">
        <v>327</v>
      </c>
      <c r="C2791" s="106" t="s">
        <v>473</v>
      </c>
      <c r="D2791" s="107" t="s">
        <v>6854</v>
      </c>
      <c r="E2791" s="109" t="s">
        <v>355</v>
      </c>
      <c r="F2791" s="109" t="s">
        <v>355</v>
      </c>
      <c r="G2791" s="55" t="s">
        <v>355</v>
      </c>
      <c r="H2791" s="108" t="s">
        <v>402</v>
      </c>
      <c r="I2791" s="111" t="s">
        <v>402</v>
      </c>
      <c r="J2791" s="111" t="s">
        <v>402</v>
      </c>
      <c r="K2791" s="106" t="s">
        <v>403</v>
      </c>
      <c r="L2791" s="55" t="s">
        <v>404</v>
      </c>
      <c r="M2791" s="55" t="s">
        <v>7634</v>
      </c>
    </row>
    <row r="2792" spans="1:13">
      <c r="A2792" s="408" t="s">
        <v>6855</v>
      </c>
      <c r="B2792" s="106" t="s">
        <v>327</v>
      </c>
      <c r="C2792" s="106" t="s">
        <v>473</v>
      </c>
      <c r="D2792" s="107" t="s">
        <v>6856</v>
      </c>
      <c r="E2792" s="109" t="s">
        <v>355</v>
      </c>
      <c r="F2792" s="109" t="s">
        <v>355</v>
      </c>
      <c r="G2792" s="55" t="s">
        <v>355</v>
      </c>
      <c r="H2792" s="108" t="s">
        <v>402</v>
      </c>
      <c r="I2792" s="111" t="s">
        <v>402</v>
      </c>
      <c r="J2792" s="111" t="s">
        <v>402</v>
      </c>
      <c r="K2792" s="106" t="s">
        <v>403</v>
      </c>
      <c r="L2792" s="55" t="s">
        <v>404</v>
      </c>
      <c r="M2792" s="55" t="s">
        <v>7634</v>
      </c>
    </row>
    <row r="2793" spans="1:13">
      <c r="A2793" s="408" t="s">
        <v>6857</v>
      </c>
      <c r="B2793" s="106" t="s">
        <v>327</v>
      </c>
      <c r="C2793" s="106" t="s">
        <v>473</v>
      </c>
      <c r="D2793" s="107" t="s">
        <v>6858</v>
      </c>
      <c r="E2793" s="109" t="s">
        <v>355</v>
      </c>
      <c r="F2793" s="109" t="s">
        <v>355</v>
      </c>
      <c r="G2793" s="55" t="s">
        <v>355</v>
      </c>
      <c r="H2793" s="108" t="s">
        <v>402</v>
      </c>
      <c r="I2793" s="111" t="s">
        <v>402</v>
      </c>
      <c r="J2793" s="111" t="s">
        <v>402</v>
      </c>
      <c r="K2793" s="106" t="s">
        <v>403</v>
      </c>
      <c r="L2793" s="55" t="s">
        <v>404</v>
      </c>
      <c r="M2793" s="55" t="s">
        <v>7634</v>
      </c>
    </row>
    <row r="2794" spans="1:13">
      <c r="A2794" s="408" t="s">
        <v>6859</v>
      </c>
      <c r="B2794" s="106" t="s">
        <v>327</v>
      </c>
      <c r="C2794" s="106" t="s">
        <v>473</v>
      </c>
      <c r="D2794" s="107" t="s">
        <v>6858</v>
      </c>
      <c r="E2794" s="109" t="s">
        <v>355</v>
      </c>
      <c r="F2794" s="109" t="s">
        <v>355</v>
      </c>
      <c r="G2794" s="55" t="s">
        <v>355</v>
      </c>
      <c r="H2794" s="108" t="s">
        <v>402</v>
      </c>
      <c r="I2794" s="111" t="s">
        <v>402</v>
      </c>
      <c r="J2794" s="111" t="s">
        <v>402</v>
      </c>
      <c r="K2794" s="106" t="s">
        <v>403</v>
      </c>
      <c r="L2794" s="55" t="s">
        <v>404</v>
      </c>
      <c r="M2794" s="55" t="s">
        <v>7634</v>
      </c>
    </row>
    <row r="2795" spans="1:13">
      <c r="A2795" s="408" t="s">
        <v>6860</v>
      </c>
      <c r="B2795" s="106" t="s">
        <v>327</v>
      </c>
      <c r="C2795" s="106" t="s">
        <v>473</v>
      </c>
      <c r="D2795" s="107" t="s">
        <v>6861</v>
      </c>
      <c r="E2795" s="109" t="s">
        <v>355</v>
      </c>
      <c r="F2795" s="109" t="s">
        <v>355</v>
      </c>
      <c r="G2795" s="55" t="s">
        <v>355</v>
      </c>
      <c r="H2795" s="108" t="s">
        <v>402</v>
      </c>
      <c r="I2795" s="111" t="s">
        <v>402</v>
      </c>
      <c r="J2795" s="111" t="s">
        <v>402</v>
      </c>
      <c r="K2795" s="106" t="s">
        <v>403</v>
      </c>
      <c r="L2795" s="55" t="s">
        <v>404</v>
      </c>
      <c r="M2795" s="55" t="s">
        <v>7634</v>
      </c>
    </row>
    <row r="2796" spans="1:13">
      <c r="A2796" s="408" t="s">
        <v>6862</v>
      </c>
      <c r="B2796" s="106" t="s">
        <v>327</v>
      </c>
      <c r="C2796" s="106" t="s">
        <v>473</v>
      </c>
      <c r="D2796" s="107" t="s">
        <v>6863</v>
      </c>
      <c r="E2796" s="109" t="s">
        <v>355</v>
      </c>
      <c r="F2796" s="109" t="s">
        <v>355</v>
      </c>
      <c r="G2796" s="55" t="s">
        <v>355</v>
      </c>
      <c r="H2796" s="108" t="s">
        <v>402</v>
      </c>
      <c r="I2796" s="111" t="s">
        <v>402</v>
      </c>
      <c r="J2796" s="111" t="s">
        <v>402</v>
      </c>
      <c r="K2796" s="106" t="s">
        <v>403</v>
      </c>
      <c r="L2796" s="55" t="s">
        <v>404</v>
      </c>
      <c r="M2796" s="55" t="s">
        <v>7634</v>
      </c>
    </row>
    <row r="2797" spans="1:13">
      <c r="A2797" s="408" t="s">
        <v>6864</v>
      </c>
      <c r="B2797" s="106" t="s">
        <v>327</v>
      </c>
      <c r="C2797" s="106" t="s">
        <v>473</v>
      </c>
      <c r="D2797" s="107" t="s">
        <v>6865</v>
      </c>
      <c r="E2797" s="109" t="s">
        <v>355</v>
      </c>
      <c r="F2797" s="109" t="s">
        <v>355</v>
      </c>
      <c r="G2797" s="55" t="s">
        <v>355</v>
      </c>
      <c r="H2797" s="108" t="s">
        <v>402</v>
      </c>
      <c r="I2797" s="111" t="s">
        <v>402</v>
      </c>
      <c r="J2797" s="111" t="s">
        <v>402</v>
      </c>
      <c r="K2797" s="106" t="s">
        <v>403</v>
      </c>
      <c r="L2797" s="55" t="s">
        <v>404</v>
      </c>
      <c r="M2797" s="55" t="s">
        <v>7634</v>
      </c>
    </row>
    <row r="2798" spans="1:13">
      <c r="A2798" s="408" t="s">
        <v>6866</v>
      </c>
      <c r="B2798" s="106" t="s">
        <v>327</v>
      </c>
      <c r="C2798" s="106" t="s">
        <v>473</v>
      </c>
      <c r="D2798" s="107" t="s">
        <v>6863</v>
      </c>
      <c r="E2798" s="109" t="s">
        <v>355</v>
      </c>
      <c r="F2798" s="109" t="s">
        <v>355</v>
      </c>
      <c r="G2798" s="55" t="s">
        <v>355</v>
      </c>
      <c r="H2798" s="108" t="s">
        <v>402</v>
      </c>
      <c r="I2798" s="111" t="s">
        <v>402</v>
      </c>
      <c r="J2798" s="111" t="s">
        <v>402</v>
      </c>
      <c r="K2798" s="106" t="s">
        <v>403</v>
      </c>
      <c r="L2798" s="55" t="s">
        <v>404</v>
      </c>
      <c r="M2798" s="55" t="s">
        <v>7634</v>
      </c>
    </row>
    <row r="2799" spans="1:13">
      <c r="A2799" s="408" t="s">
        <v>6867</v>
      </c>
      <c r="B2799" s="106" t="s">
        <v>327</v>
      </c>
      <c r="C2799" s="106" t="s">
        <v>473</v>
      </c>
      <c r="D2799" s="107" t="s">
        <v>6868</v>
      </c>
      <c r="E2799" s="109" t="s">
        <v>355</v>
      </c>
      <c r="F2799" s="109" t="s">
        <v>355</v>
      </c>
      <c r="G2799" s="55" t="s">
        <v>355</v>
      </c>
      <c r="H2799" s="108" t="s">
        <v>402</v>
      </c>
      <c r="I2799" s="111" t="s">
        <v>402</v>
      </c>
      <c r="J2799" s="111" t="s">
        <v>402</v>
      </c>
      <c r="K2799" s="106" t="s">
        <v>403</v>
      </c>
      <c r="L2799" s="55" t="s">
        <v>404</v>
      </c>
      <c r="M2799" s="55" t="s">
        <v>7634</v>
      </c>
    </row>
    <row r="2800" spans="1:13">
      <c r="A2800" s="408" t="s">
        <v>6869</v>
      </c>
      <c r="B2800" s="106" t="s">
        <v>327</v>
      </c>
      <c r="C2800" s="106" t="s">
        <v>473</v>
      </c>
      <c r="D2800" s="107" t="s">
        <v>6868</v>
      </c>
      <c r="E2800" s="109" t="s">
        <v>355</v>
      </c>
      <c r="F2800" s="109" t="s">
        <v>355</v>
      </c>
      <c r="G2800" s="55" t="s">
        <v>355</v>
      </c>
      <c r="H2800" s="108" t="s">
        <v>402</v>
      </c>
      <c r="I2800" s="111" t="s">
        <v>402</v>
      </c>
      <c r="J2800" s="111" t="s">
        <v>402</v>
      </c>
      <c r="K2800" s="106" t="s">
        <v>403</v>
      </c>
      <c r="L2800" s="55" t="s">
        <v>404</v>
      </c>
      <c r="M2800" s="55" t="s">
        <v>7634</v>
      </c>
    </row>
    <row r="2801" spans="1:13">
      <c r="A2801" s="408" t="s">
        <v>6870</v>
      </c>
      <c r="B2801" s="106" t="s">
        <v>327</v>
      </c>
      <c r="C2801" s="106" t="s">
        <v>473</v>
      </c>
      <c r="D2801" s="107" t="s">
        <v>6871</v>
      </c>
      <c r="E2801" s="109" t="s">
        <v>355</v>
      </c>
      <c r="F2801" s="109" t="s">
        <v>355</v>
      </c>
      <c r="G2801" s="55" t="s">
        <v>355</v>
      </c>
      <c r="H2801" s="108" t="s">
        <v>402</v>
      </c>
      <c r="I2801" s="111" t="s">
        <v>402</v>
      </c>
      <c r="J2801" s="111" t="s">
        <v>402</v>
      </c>
      <c r="K2801" s="106" t="s">
        <v>403</v>
      </c>
      <c r="L2801" s="55" t="s">
        <v>404</v>
      </c>
      <c r="M2801" s="55" t="s">
        <v>7634</v>
      </c>
    </row>
    <row r="2802" spans="1:13">
      <c r="A2802" s="408" t="s">
        <v>6872</v>
      </c>
      <c r="B2802" s="106" t="s">
        <v>327</v>
      </c>
      <c r="C2802" s="106" t="s">
        <v>473</v>
      </c>
      <c r="D2802" s="107" t="s">
        <v>6873</v>
      </c>
      <c r="E2802" s="109" t="s">
        <v>355</v>
      </c>
      <c r="F2802" s="109" t="s">
        <v>355</v>
      </c>
      <c r="G2802" s="55" t="s">
        <v>355</v>
      </c>
      <c r="H2802" s="108" t="s">
        <v>402</v>
      </c>
      <c r="I2802" s="111" t="s">
        <v>402</v>
      </c>
      <c r="J2802" s="111" t="s">
        <v>402</v>
      </c>
      <c r="K2802" s="106" t="s">
        <v>403</v>
      </c>
      <c r="L2802" s="55" t="s">
        <v>404</v>
      </c>
      <c r="M2802" s="55" t="s">
        <v>7634</v>
      </c>
    </row>
    <row r="2803" spans="1:13">
      <c r="A2803" s="408" t="s">
        <v>6874</v>
      </c>
      <c r="B2803" s="106" t="s">
        <v>327</v>
      </c>
      <c r="C2803" s="106" t="s">
        <v>473</v>
      </c>
      <c r="D2803" s="107" t="s">
        <v>6875</v>
      </c>
      <c r="E2803" s="109" t="s">
        <v>355</v>
      </c>
      <c r="F2803" s="109" t="s">
        <v>355</v>
      </c>
      <c r="G2803" s="55" t="s">
        <v>355</v>
      </c>
      <c r="H2803" s="108" t="s">
        <v>402</v>
      </c>
      <c r="I2803" s="111" t="s">
        <v>402</v>
      </c>
      <c r="J2803" s="111" t="s">
        <v>402</v>
      </c>
      <c r="K2803" s="106" t="s">
        <v>403</v>
      </c>
      <c r="L2803" s="55" t="s">
        <v>404</v>
      </c>
      <c r="M2803" s="55" t="s">
        <v>7634</v>
      </c>
    </row>
    <row r="2804" spans="1:13">
      <c r="A2804" s="408" t="s">
        <v>6876</v>
      </c>
      <c r="B2804" s="106" t="s">
        <v>327</v>
      </c>
      <c r="C2804" s="106" t="s">
        <v>473</v>
      </c>
      <c r="D2804" s="107" t="s">
        <v>6875</v>
      </c>
      <c r="E2804" s="109" t="s">
        <v>355</v>
      </c>
      <c r="F2804" s="109" t="s">
        <v>355</v>
      </c>
      <c r="G2804" s="55" t="s">
        <v>355</v>
      </c>
      <c r="H2804" s="108" t="s">
        <v>402</v>
      </c>
      <c r="I2804" s="111" t="s">
        <v>402</v>
      </c>
      <c r="J2804" s="111" t="s">
        <v>402</v>
      </c>
      <c r="K2804" s="106" t="s">
        <v>403</v>
      </c>
      <c r="L2804" s="55" t="s">
        <v>404</v>
      </c>
      <c r="M2804" s="55" t="s">
        <v>7634</v>
      </c>
    </row>
    <row r="2805" spans="1:13">
      <c r="A2805" s="408" t="s">
        <v>6877</v>
      </c>
      <c r="B2805" s="106" t="s">
        <v>327</v>
      </c>
      <c r="C2805" s="106" t="s">
        <v>473</v>
      </c>
      <c r="D2805" s="107" t="s">
        <v>6873</v>
      </c>
      <c r="E2805" s="109" t="s">
        <v>355</v>
      </c>
      <c r="F2805" s="109" t="s">
        <v>355</v>
      </c>
      <c r="G2805" s="55" t="s">
        <v>355</v>
      </c>
      <c r="H2805" s="108" t="s">
        <v>402</v>
      </c>
      <c r="I2805" s="111" t="s">
        <v>402</v>
      </c>
      <c r="J2805" s="111" t="s">
        <v>402</v>
      </c>
      <c r="K2805" s="106" t="s">
        <v>403</v>
      </c>
      <c r="L2805" s="55" t="s">
        <v>404</v>
      </c>
      <c r="M2805" s="55" t="s">
        <v>7634</v>
      </c>
    </row>
    <row r="2806" spans="1:13">
      <c r="A2806" s="408" t="s">
        <v>6878</v>
      </c>
      <c r="B2806" s="106" t="s">
        <v>327</v>
      </c>
      <c r="C2806" s="106" t="s">
        <v>473</v>
      </c>
      <c r="D2806" s="107" t="s">
        <v>6875</v>
      </c>
      <c r="E2806" s="109" t="s">
        <v>355</v>
      </c>
      <c r="F2806" s="109" t="s">
        <v>355</v>
      </c>
      <c r="G2806" s="55" t="s">
        <v>355</v>
      </c>
      <c r="H2806" s="108" t="s">
        <v>402</v>
      </c>
      <c r="I2806" s="111" t="s">
        <v>402</v>
      </c>
      <c r="J2806" s="111" t="s">
        <v>402</v>
      </c>
      <c r="K2806" s="106" t="s">
        <v>403</v>
      </c>
      <c r="L2806" s="55" t="s">
        <v>404</v>
      </c>
      <c r="M2806" s="55" t="s">
        <v>7634</v>
      </c>
    </row>
    <row r="2807" spans="1:13">
      <c r="A2807" s="408" t="s">
        <v>6879</v>
      </c>
      <c r="B2807" s="106" t="s">
        <v>327</v>
      </c>
      <c r="C2807" s="106" t="s">
        <v>473</v>
      </c>
      <c r="D2807" s="107" t="s">
        <v>1280</v>
      </c>
      <c r="E2807" s="109" t="s">
        <v>355</v>
      </c>
      <c r="F2807" s="109" t="s">
        <v>355</v>
      </c>
      <c r="G2807" s="55" t="s">
        <v>355</v>
      </c>
      <c r="H2807" s="108" t="s">
        <v>402</v>
      </c>
      <c r="I2807" s="111" t="s">
        <v>402</v>
      </c>
      <c r="J2807" s="111" t="s">
        <v>402</v>
      </c>
      <c r="K2807" s="106" t="s">
        <v>403</v>
      </c>
      <c r="L2807" s="55" t="s">
        <v>404</v>
      </c>
      <c r="M2807" s="55" t="s">
        <v>7634</v>
      </c>
    </row>
    <row r="2808" spans="1:13">
      <c r="A2808" s="408" t="s">
        <v>6880</v>
      </c>
      <c r="B2808" s="106" t="s">
        <v>327</v>
      </c>
      <c r="C2808" s="106" t="s">
        <v>473</v>
      </c>
      <c r="D2808" s="107" t="s">
        <v>6881</v>
      </c>
      <c r="E2808" s="109" t="s">
        <v>355</v>
      </c>
      <c r="F2808" s="109" t="s">
        <v>355</v>
      </c>
      <c r="G2808" s="55" t="s">
        <v>355</v>
      </c>
      <c r="H2808" s="108" t="s">
        <v>402</v>
      </c>
      <c r="I2808" s="111" t="s">
        <v>402</v>
      </c>
      <c r="J2808" s="111" t="s">
        <v>402</v>
      </c>
      <c r="K2808" s="106" t="s">
        <v>403</v>
      </c>
      <c r="L2808" s="55" t="s">
        <v>404</v>
      </c>
      <c r="M2808" s="55" t="s">
        <v>7634</v>
      </c>
    </row>
    <row r="2809" spans="1:13">
      <c r="A2809" s="408" t="s">
        <v>6882</v>
      </c>
      <c r="B2809" s="106" t="s">
        <v>327</v>
      </c>
      <c r="C2809" s="106" t="s">
        <v>473</v>
      </c>
      <c r="D2809" s="107" t="s">
        <v>6883</v>
      </c>
      <c r="E2809" s="109" t="s">
        <v>355</v>
      </c>
      <c r="F2809" s="109" t="s">
        <v>355</v>
      </c>
      <c r="G2809" s="55" t="s">
        <v>355</v>
      </c>
      <c r="H2809" s="108" t="s">
        <v>402</v>
      </c>
      <c r="I2809" s="111" t="s">
        <v>402</v>
      </c>
      <c r="J2809" s="111" t="s">
        <v>402</v>
      </c>
      <c r="K2809" s="106" t="s">
        <v>403</v>
      </c>
      <c r="L2809" s="55" t="s">
        <v>404</v>
      </c>
      <c r="M2809" s="55" t="s">
        <v>7634</v>
      </c>
    </row>
    <row r="2810" spans="1:13">
      <c r="A2810" s="408" t="s">
        <v>6884</v>
      </c>
      <c r="B2810" s="106" t="s">
        <v>327</v>
      </c>
      <c r="C2810" s="106" t="s">
        <v>473</v>
      </c>
      <c r="D2810" s="107" t="s">
        <v>6885</v>
      </c>
      <c r="E2810" s="109" t="s">
        <v>355</v>
      </c>
      <c r="F2810" s="109" t="s">
        <v>355</v>
      </c>
      <c r="G2810" s="55" t="s">
        <v>355</v>
      </c>
      <c r="H2810" s="108" t="s">
        <v>402</v>
      </c>
      <c r="I2810" s="111" t="s">
        <v>402</v>
      </c>
      <c r="J2810" s="111" t="s">
        <v>402</v>
      </c>
      <c r="K2810" s="106" t="s">
        <v>403</v>
      </c>
      <c r="L2810" s="55" t="s">
        <v>404</v>
      </c>
      <c r="M2810" s="55" t="s">
        <v>7634</v>
      </c>
    </row>
    <row r="2811" spans="1:13">
      <c r="A2811" s="408" t="s">
        <v>6886</v>
      </c>
      <c r="B2811" s="106" t="s">
        <v>327</v>
      </c>
      <c r="C2811" s="106" t="s">
        <v>473</v>
      </c>
      <c r="D2811" s="107" t="s">
        <v>6885</v>
      </c>
      <c r="E2811" s="109" t="s">
        <v>355</v>
      </c>
      <c r="F2811" s="109" t="s">
        <v>355</v>
      </c>
      <c r="G2811" s="55" t="s">
        <v>355</v>
      </c>
      <c r="H2811" s="108" t="s">
        <v>402</v>
      </c>
      <c r="I2811" s="111" t="s">
        <v>402</v>
      </c>
      <c r="J2811" s="111" t="s">
        <v>402</v>
      </c>
      <c r="K2811" s="106" t="s">
        <v>403</v>
      </c>
      <c r="L2811" s="55" t="s">
        <v>404</v>
      </c>
      <c r="M2811" s="55" t="s">
        <v>7634</v>
      </c>
    </row>
    <row r="2812" spans="1:13">
      <c r="A2812" s="408" t="s">
        <v>6887</v>
      </c>
      <c r="B2812" s="106" t="s">
        <v>327</v>
      </c>
      <c r="C2812" s="106" t="s">
        <v>473</v>
      </c>
      <c r="D2812" s="107" t="s">
        <v>6888</v>
      </c>
      <c r="E2812" s="109" t="s">
        <v>355</v>
      </c>
      <c r="F2812" s="109" t="s">
        <v>355</v>
      </c>
      <c r="G2812" s="55" t="s">
        <v>355</v>
      </c>
      <c r="H2812" s="108" t="s">
        <v>402</v>
      </c>
      <c r="I2812" s="111" t="s">
        <v>402</v>
      </c>
      <c r="J2812" s="111" t="s">
        <v>402</v>
      </c>
      <c r="K2812" s="106" t="s">
        <v>403</v>
      </c>
      <c r="L2812" s="55" t="s">
        <v>404</v>
      </c>
      <c r="M2812" s="55" t="s">
        <v>7634</v>
      </c>
    </row>
    <row r="2813" spans="1:13">
      <c r="A2813" s="408" t="s">
        <v>6889</v>
      </c>
      <c r="B2813" s="106" t="s">
        <v>327</v>
      </c>
      <c r="C2813" s="106" t="s">
        <v>473</v>
      </c>
      <c r="D2813" s="107" t="s">
        <v>6890</v>
      </c>
      <c r="E2813" s="109" t="s">
        <v>355</v>
      </c>
      <c r="F2813" s="109" t="s">
        <v>355</v>
      </c>
      <c r="G2813" s="55" t="s">
        <v>355</v>
      </c>
      <c r="H2813" s="108" t="s">
        <v>402</v>
      </c>
      <c r="I2813" s="111" t="s">
        <v>402</v>
      </c>
      <c r="J2813" s="111" t="s">
        <v>402</v>
      </c>
      <c r="K2813" s="106" t="s">
        <v>403</v>
      </c>
      <c r="L2813" s="55" t="s">
        <v>404</v>
      </c>
      <c r="M2813" s="55" t="s">
        <v>7634</v>
      </c>
    </row>
    <row r="2814" spans="1:13">
      <c r="A2814" s="408" t="s">
        <v>6891</v>
      </c>
      <c r="B2814" s="106" t="s">
        <v>327</v>
      </c>
      <c r="C2814" s="106" t="s">
        <v>473</v>
      </c>
      <c r="D2814" s="107" t="s">
        <v>6892</v>
      </c>
      <c r="E2814" s="109" t="s">
        <v>355</v>
      </c>
      <c r="F2814" s="109" t="s">
        <v>355</v>
      </c>
      <c r="G2814" s="55" t="s">
        <v>355</v>
      </c>
      <c r="H2814" s="108" t="s">
        <v>402</v>
      </c>
      <c r="I2814" s="111" t="s">
        <v>402</v>
      </c>
      <c r="J2814" s="111" t="s">
        <v>402</v>
      </c>
      <c r="K2814" s="106" t="s">
        <v>403</v>
      </c>
      <c r="L2814" s="55" t="s">
        <v>404</v>
      </c>
      <c r="M2814" s="55" t="s">
        <v>7634</v>
      </c>
    </row>
    <row r="2815" spans="1:13">
      <c r="A2815" s="401" t="s">
        <v>127</v>
      </c>
      <c r="B2815" s="109" t="s">
        <v>327</v>
      </c>
      <c r="C2815" s="109" t="s">
        <v>473</v>
      </c>
      <c r="D2815" s="109" t="s">
        <v>6893</v>
      </c>
      <c r="E2815" s="109" t="s">
        <v>6894</v>
      </c>
      <c r="F2815" s="123" t="s">
        <v>6895</v>
      </c>
      <c r="G2815" s="112" t="s">
        <v>6896</v>
      </c>
      <c r="H2815" s="115" t="s">
        <v>402</v>
      </c>
      <c r="I2815" s="111" t="s">
        <v>402</v>
      </c>
      <c r="J2815" s="111" t="s">
        <v>402</v>
      </c>
      <c r="K2815" s="106" t="s">
        <v>403</v>
      </c>
      <c r="L2815" s="55" t="s">
        <v>404</v>
      </c>
      <c r="M2815" s="55" t="s">
        <v>6897</v>
      </c>
    </row>
    <row r="2816" spans="1:13">
      <c r="A2816" s="408" t="s">
        <v>6898</v>
      </c>
      <c r="B2816" s="106" t="s">
        <v>327</v>
      </c>
      <c r="C2816" s="106" t="s">
        <v>473</v>
      </c>
      <c r="D2816" s="107" t="s">
        <v>6899</v>
      </c>
      <c r="E2816" s="109" t="s">
        <v>355</v>
      </c>
      <c r="F2816" s="109" t="s">
        <v>355</v>
      </c>
      <c r="G2816" s="55" t="s">
        <v>355</v>
      </c>
      <c r="H2816" s="108" t="s">
        <v>402</v>
      </c>
      <c r="I2816" s="111" t="s">
        <v>402</v>
      </c>
      <c r="J2816" s="111" t="s">
        <v>402</v>
      </c>
      <c r="K2816" s="106" t="s">
        <v>403</v>
      </c>
      <c r="L2816" s="55" t="s">
        <v>404</v>
      </c>
      <c r="M2816" s="55" t="s">
        <v>7634</v>
      </c>
    </row>
    <row r="2817" spans="1:13">
      <c r="A2817" s="408" t="s">
        <v>6900</v>
      </c>
      <c r="B2817" s="106" t="s">
        <v>327</v>
      </c>
      <c r="C2817" s="106" t="s">
        <v>473</v>
      </c>
      <c r="D2817" s="107" t="s">
        <v>6901</v>
      </c>
      <c r="E2817" s="109" t="s">
        <v>355</v>
      </c>
      <c r="F2817" s="109" t="s">
        <v>355</v>
      </c>
      <c r="G2817" s="55" t="s">
        <v>355</v>
      </c>
      <c r="H2817" s="108" t="s">
        <v>402</v>
      </c>
      <c r="I2817" s="111" t="s">
        <v>402</v>
      </c>
      <c r="J2817" s="111" t="s">
        <v>402</v>
      </c>
      <c r="K2817" s="106" t="s">
        <v>403</v>
      </c>
      <c r="L2817" s="55" t="s">
        <v>404</v>
      </c>
      <c r="M2817" s="55" t="s">
        <v>7634</v>
      </c>
    </row>
    <row r="2818" spans="1:13">
      <c r="A2818" s="578" t="s">
        <v>6902</v>
      </c>
      <c r="B2818" s="586" t="s">
        <v>373</v>
      </c>
      <c r="C2818" s="586" t="s">
        <v>473</v>
      </c>
      <c r="D2818" s="586" t="s">
        <v>6903</v>
      </c>
      <c r="E2818" s="586" t="s">
        <v>6904</v>
      </c>
      <c r="F2818" s="586" t="s">
        <v>6905</v>
      </c>
      <c r="G2818" s="586" t="s">
        <v>6906</v>
      </c>
      <c r="H2818" s="586" t="s">
        <v>359</v>
      </c>
      <c r="I2818" s="587" t="s">
        <v>359</v>
      </c>
      <c r="J2818" s="586"/>
      <c r="K2818" s="586" t="s">
        <v>360</v>
      </c>
      <c r="L2818" s="586" t="s">
        <v>361</v>
      </c>
      <c r="M2818" s="55" t="s">
        <v>7634</v>
      </c>
    </row>
    <row r="2819" spans="1:13">
      <c r="A2819" s="401" t="s">
        <v>6907</v>
      </c>
      <c r="B2819" s="106" t="s">
        <v>1059</v>
      </c>
      <c r="C2819" s="106" t="s">
        <v>473</v>
      </c>
      <c r="D2819" s="109" t="s">
        <v>6908</v>
      </c>
      <c r="E2819" s="109" t="s">
        <v>6909</v>
      </c>
      <c r="F2819" s="109" t="s">
        <v>6910</v>
      </c>
      <c r="G2819" s="112" t="s">
        <v>6911</v>
      </c>
      <c r="H2819" s="115" t="s">
        <v>402</v>
      </c>
      <c r="I2819" s="111" t="s">
        <v>402</v>
      </c>
      <c r="J2819" s="111" t="s">
        <v>402</v>
      </c>
      <c r="K2819" s="106" t="s">
        <v>403</v>
      </c>
      <c r="L2819" s="55" t="s">
        <v>404</v>
      </c>
      <c r="M2819" s="113" t="s">
        <v>383</v>
      </c>
    </row>
    <row r="2820" spans="1:13">
      <c r="A2820" s="408" t="s">
        <v>6912</v>
      </c>
      <c r="B2820" s="106" t="s">
        <v>327</v>
      </c>
      <c r="C2820" s="106" t="s">
        <v>473</v>
      </c>
      <c r="D2820" s="107" t="s">
        <v>6913</v>
      </c>
      <c r="E2820" s="109" t="s">
        <v>355</v>
      </c>
      <c r="F2820" s="109" t="s">
        <v>355</v>
      </c>
      <c r="G2820" s="55" t="s">
        <v>355</v>
      </c>
      <c r="H2820" s="108" t="s">
        <v>402</v>
      </c>
      <c r="I2820" s="111" t="s">
        <v>402</v>
      </c>
      <c r="J2820" s="111" t="s">
        <v>402</v>
      </c>
      <c r="K2820" s="106" t="s">
        <v>403</v>
      </c>
      <c r="L2820" s="55" t="s">
        <v>404</v>
      </c>
      <c r="M2820" s="55" t="s">
        <v>7634</v>
      </c>
    </row>
    <row r="2821" spans="1:13">
      <c r="A2821" s="408" t="s">
        <v>6914</v>
      </c>
      <c r="B2821" s="106" t="s">
        <v>327</v>
      </c>
      <c r="C2821" s="106" t="s">
        <v>473</v>
      </c>
      <c r="D2821" s="107" t="s">
        <v>6915</v>
      </c>
      <c r="E2821" s="109" t="s">
        <v>355</v>
      </c>
      <c r="F2821" s="109" t="s">
        <v>355</v>
      </c>
      <c r="G2821" s="55" t="s">
        <v>355</v>
      </c>
      <c r="H2821" s="108" t="s">
        <v>402</v>
      </c>
      <c r="I2821" s="111" t="s">
        <v>402</v>
      </c>
      <c r="J2821" s="111" t="s">
        <v>402</v>
      </c>
      <c r="K2821" s="106" t="s">
        <v>403</v>
      </c>
      <c r="L2821" s="55" t="s">
        <v>404</v>
      </c>
      <c r="M2821" s="55" t="s">
        <v>7634</v>
      </c>
    </row>
    <row r="2822" spans="1:13">
      <c r="A2822" s="408" t="s">
        <v>6916</v>
      </c>
      <c r="B2822" s="106" t="s">
        <v>327</v>
      </c>
      <c r="C2822" s="106" t="s">
        <v>473</v>
      </c>
      <c r="D2822" s="107" t="s">
        <v>6917</v>
      </c>
      <c r="E2822" s="109" t="s">
        <v>355</v>
      </c>
      <c r="F2822" s="109" t="s">
        <v>355</v>
      </c>
      <c r="G2822" s="55" t="s">
        <v>355</v>
      </c>
      <c r="H2822" s="108" t="s">
        <v>402</v>
      </c>
      <c r="I2822" s="111" t="s">
        <v>402</v>
      </c>
      <c r="J2822" s="111" t="s">
        <v>402</v>
      </c>
      <c r="K2822" s="106" t="s">
        <v>403</v>
      </c>
      <c r="L2822" s="55" t="s">
        <v>404</v>
      </c>
      <c r="M2822" s="55" t="s">
        <v>7634</v>
      </c>
    </row>
    <row r="2823" spans="1:13">
      <c r="A2823" s="408" t="s">
        <v>6918</v>
      </c>
      <c r="B2823" s="106" t="s">
        <v>327</v>
      </c>
      <c r="C2823" s="106" t="s">
        <v>473</v>
      </c>
      <c r="D2823" s="107" t="s">
        <v>6919</v>
      </c>
      <c r="E2823" s="109" t="s">
        <v>355</v>
      </c>
      <c r="F2823" s="109" t="s">
        <v>355</v>
      </c>
      <c r="G2823" s="55" t="s">
        <v>355</v>
      </c>
      <c r="H2823" s="108" t="s">
        <v>402</v>
      </c>
      <c r="I2823" s="111" t="s">
        <v>402</v>
      </c>
      <c r="J2823" s="111" t="s">
        <v>402</v>
      </c>
      <c r="K2823" s="106" t="s">
        <v>403</v>
      </c>
      <c r="L2823" s="55" t="s">
        <v>404</v>
      </c>
      <c r="M2823" s="55" t="s">
        <v>7634</v>
      </c>
    </row>
    <row r="2824" spans="1:13">
      <c r="A2824" s="408" t="s">
        <v>6920</v>
      </c>
      <c r="B2824" s="106" t="s">
        <v>327</v>
      </c>
      <c r="C2824" s="106" t="s">
        <v>473</v>
      </c>
      <c r="D2824" s="107" t="s">
        <v>6921</v>
      </c>
      <c r="E2824" s="109" t="s">
        <v>355</v>
      </c>
      <c r="F2824" s="109" t="s">
        <v>355</v>
      </c>
      <c r="G2824" s="55" t="s">
        <v>355</v>
      </c>
      <c r="H2824" s="108" t="s">
        <v>402</v>
      </c>
      <c r="I2824" s="111" t="s">
        <v>402</v>
      </c>
      <c r="J2824" s="111" t="s">
        <v>402</v>
      </c>
      <c r="K2824" s="106" t="s">
        <v>403</v>
      </c>
      <c r="L2824" s="55" t="s">
        <v>404</v>
      </c>
      <c r="M2824" s="55" t="s">
        <v>7634</v>
      </c>
    </row>
    <row r="2825" spans="1:13">
      <c r="A2825" s="408" t="s">
        <v>6922</v>
      </c>
      <c r="B2825" s="106" t="s">
        <v>327</v>
      </c>
      <c r="C2825" s="106" t="s">
        <v>473</v>
      </c>
      <c r="D2825" s="107" t="s">
        <v>6923</v>
      </c>
      <c r="E2825" s="109" t="s">
        <v>355</v>
      </c>
      <c r="F2825" s="109" t="s">
        <v>355</v>
      </c>
      <c r="G2825" s="55" t="s">
        <v>355</v>
      </c>
      <c r="H2825" s="108" t="s">
        <v>402</v>
      </c>
      <c r="I2825" s="111" t="s">
        <v>402</v>
      </c>
      <c r="J2825" s="111" t="s">
        <v>402</v>
      </c>
      <c r="K2825" s="106" t="s">
        <v>403</v>
      </c>
      <c r="L2825" s="55" t="s">
        <v>404</v>
      </c>
      <c r="M2825" s="55" t="s">
        <v>7634</v>
      </c>
    </row>
    <row r="2826" spans="1:13">
      <c r="A2826" s="408" t="s">
        <v>6924</v>
      </c>
      <c r="B2826" s="106" t="s">
        <v>327</v>
      </c>
      <c r="C2826" s="106" t="s">
        <v>473</v>
      </c>
      <c r="D2826" s="107" t="s">
        <v>6925</v>
      </c>
      <c r="E2826" s="109" t="s">
        <v>355</v>
      </c>
      <c r="F2826" s="109" t="s">
        <v>355</v>
      </c>
      <c r="G2826" s="55" t="s">
        <v>355</v>
      </c>
      <c r="H2826" s="108" t="s">
        <v>402</v>
      </c>
      <c r="I2826" s="111" t="s">
        <v>402</v>
      </c>
      <c r="J2826" s="111" t="s">
        <v>402</v>
      </c>
      <c r="K2826" s="106" t="s">
        <v>403</v>
      </c>
      <c r="L2826" s="55" t="s">
        <v>404</v>
      </c>
      <c r="M2826" s="55" t="s">
        <v>7634</v>
      </c>
    </row>
    <row r="2827" spans="1:13">
      <c r="A2827" s="408" t="s">
        <v>6926</v>
      </c>
      <c r="B2827" s="106" t="s">
        <v>327</v>
      </c>
      <c r="C2827" s="106" t="s">
        <v>473</v>
      </c>
      <c r="D2827" s="107" t="s">
        <v>6927</v>
      </c>
      <c r="E2827" s="109" t="s">
        <v>355</v>
      </c>
      <c r="F2827" s="109" t="s">
        <v>355</v>
      </c>
      <c r="G2827" s="55" t="s">
        <v>355</v>
      </c>
      <c r="H2827" s="108" t="s">
        <v>402</v>
      </c>
      <c r="I2827" s="111" t="s">
        <v>402</v>
      </c>
      <c r="J2827" s="111" t="s">
        <v>402</v>
      </c>
      <c r="K2827" s="106" t="s">
        <v>403</v>
      </c>
      <c r="L2827" s="55" t="s">
        <v>404</v>
      </c>
      <c r="M2827" s="55" t="s">
        <v>7634</v>
      </c>
    </row>
    <row r="2828" spans="1:13">
      <c r="A2828" s="408" t="s">
        <v>6928</v>
      </c>
      <c r="B2828" s="106" t="s">
        <v>327</v>
      </c>
      <c r="C2828" s="106" t="s">
        <v>473</v>
      </c>
      <c r="D2828" s="107" t="s">
        <v>6929</v>
      </c>
      <c r="E2828" s="109" t="s">
        <v>355</v>
      </c>
      <c r="F2828" s="109" t="s">
        <v>355</v>
      </c>
      <c r="G2828" s="55" t="s">
        <v>355</v>
      </c>
      <c r="H2828" s="108" t="s">
        <v>402</v>
      </c>
      <c r="I2828" s="111" t="s">
        <v>402</v>
      </c>
      <c r="J2828" s="111" t="s">
        <v>402</v>
      </c>
      <c r="K2828" s="106" t="s">
        <v>403</v>
      </c>
      <c r="L2828" s="55" t="s">
        <v>404</v>
      </c>
      <c r="M2828" s="55" t="s">
        <v>7634</v>
      </c>
    </row>
    <row r="2829" spans="1:13">
      <c r="A2829" s="408" t="s">
        <v>6930</v>
      </c>
      <c r="B2829" s="106" t="s">
        <v>327</v>
      </c>
      <c r="C2829" s="106" t="s">
        <v>473</v>
      </c>
      <c r="D2829" s="107" t="s">
        <v>6931</v>
      </c>
      <c r="E2829" s="109" t="s">
        <v>355</v>
      </c>
      <c r="F2829" s="109" t="s">
        <v>355</v>
      </c>
      <c r="G2829" s="55" t="s">
        <v>355</v>
      </c>
      <c r="H2829" s="108" t="s">
        <v>402</v>
      </c>
      <c r="I2829" s="111" t="s">
        <v>402</v>
      </c>
      <c r="J2829" s="111" t="s">
        <v>402</v>
      </c>
      <c r="K2829" s="106" t="s">
        <v>403</v>
      </c>
      <c r="L2829" s="55" t="s">
        <v>404</v>
      </c>
      <c r="M2829" s="55" t="s">
        <v>7634</v>
      </c>
    </row>
    <row r="2830" spans="1:13">
      <c r="A2830" s="408" t="s">
        <v>6932</v>
      </c>
      <c r="B2830" s="106" t="s">
        <v>327</v>
      </c>
      <c r="C2830" s="106" t="s">
        <v>473</v>
      </c>
      <c r="D2830" s="107" t="s">
        <v>6933</v>
      </c>
      <c r="E2830" s="109" t="s">
        <v>355</v>
      </c>
      <c r="F2830" s="109" t="s">
        <v>355</v>
      </c>
      <c r="G2830" s="55" t="s">
        <v>355</v>
      </c>
      <c r="H2830" s="108" t="s">
        <v>402</v>
      </c>
      <c r="I2830" s="111" t="s">
        <v>402</v>
      </c>
      <c r="J2830" s="111" t="s">
        <v>402</v>
      </c>
      <c r="K2830" s="106" t="s">
        <v>403</v>
      </c>
      <c r="L2830" s="55" t="s">
        <v>404</v>
      </c>
      <c r="M2830" s="55" t="s">
        <v>7634</v>
      </c>
    </row>
    <row r="2831" spans="1:13">
      <c r="A2831" s="408" t="s">
        <v>6934</v>
      </c>
      <c r="B2831" s="106" t="s">
        <v>327</v>
      </c>
      <c r="C2831" s="106" t="s">
        <v>473</v>
      </c>
      <c r="D2831" s="107" t="s">
        <v>6933</v>
      </c>
      <c r="E2831" s="109" t="s">
        <v>355</v>
      </c>
      <c r="F2831" s="109" t="s">
        <v>355</v>
      </c>
      <c r="G2831" s="55" t="s">
        <v>355</v>
      </c>
      <c r="H2831" s="108" t="s">
        <v>402</v>
      </c>
      <c r="I2831" s="111" t="s">
        <v>402</v>
      </c>
      <c r="J2831" s="111" t="s">
        <v>402</v>
      </c>
      <c r="K2831" s="106" t="s">
        <v>403</v>
      </c>
      <c r="L2831" s="55" t="s">
        <v>404</v>
      </c>
      <c r="M2831" s="55" t="s">
        <v>7634</v>
      </c>
    </row>
    <row r="2832" spans="1:13">
      <c r="A2832" s="408" t="s">
        <v>6935</v>
      </c>
      <c r="B2832" s="106" t="s">
        <v>327</v>
      </c>
      <c r="C2832" s="106" t="s">
        <v>473</v>
      </c>
      <c r="D2832" s="107" t="s">
        <v>6936</v>
      </c>
      <c r="E2832" s="109" t="s">
        <v>355</v>
      </c>
      <c r="F2832" s="109" t="s">
        <v>355</v>
      </c>
      <c r="G2832" s="55" t="s">
        <v>355</v>
      </c>
      <c r="H2832" s="108" t="s">
        <v>402</v>
      </c>
      <c r="I2832" s="111" t="s">
        <v>402</v>
      </c>
      <c r="J2832" s="111" t="s">
        <v>402</v>
      </c>
      <c r="K2832" s="106" t="s">
        <v>403</v>
      </c>
      <c r="L2832" s="55" t="s">
        <v>404</v>
      </c>
      <c r="M2832" s="55" t="s">
        <v>7634</v>
      </c>
    </row>
    <row r="2833" spans="1:13">
      <c r="A2833" s="408" t="s">
        <v>6937</v>
      </c>
      <c r="B2833" s="106" t="s">
        <v>327</v>
      </c>
      <c r="C2833" s="106" t="s">
        <v>473</v>
      </c>
      <c r="D2833" s="107" t="s">
        <v>6938</v>
      </c>
      <c r="E2833" s="109" t="s">
        <v>355</v>
      </c>
      <c r="F2833" s="109" t="s">
        <v>355</v>
      </c>
      <c r="G2833" s="55" t="s">
        <v>355</v>
      </c>
      <c r="H2833" s="108" t="s">
        <v>402</v>
      </c>
      <c r="I2833" s="111" t="s">
        <v>402</v>
      </c>
      <c r="J2833" s="111" t="s">
        <v>402</v>
      </c>
      <c r="K2833" s="106" t="s">
        <v>403</v>
      </c>
      <c r="L2833" s="55" t="s">
        <v>404</v>
      </c>
      <c r="M2833" s="55" t="s">
        <v>7634</v>
      </c>
    </row>
    <row r="2834" spans="1:13">
      <c r="A2834" s="408" t="s">
        <v>6939</v>
      </c>
      <c r="B2834" s="106" t="s">
        <v>327</v>
      </c>
      <c r="C2834" s="106" t="s">
        <v>473</v>
      </c>
      <c r="D2834" s="107" t="s">
        <v>6938</v>
      </c>
      <c r="E2834" s="109" t="s">
        <v>355</v>
      </c>
      <c r="F2834" s="109" t="s">
        <v>355</v>
      </c>
      <c r="G2834" s="55" t="s">
        <v>355</v>
      </c>
      <c r="H2834" s="108" t="s">
        <v>402</v>
      </c>
      <c r="I2834" s="111" t="s">
        <v>402</v>
      </c>
      <c r="J2834" s="111" t="s">
        <v>402</v>
      </c>
      <c r="K2834" s="106" t="s">
        <v>403</v>
      </c>
      <c r="L2834" s="55" t="s">
        <v>404</v>
      </c>
      <c r="M2834" s="55" t="s">
        <v>7634</v>
      </c>
    </row>
    <row r="2835" spans="1:13">
      <c r="A2835" s="408" t="s">
        <v>6940</v>
      </c>
      <c r="B2835" s="106" t="s">
        <v>327</v>
      </c>
      <c r="C2835" s="106" t="s">
        <v>473</v>
      </c>
      <c r="D2835" s="107" t="s">
        <v>6941</v>
      </c>
      <c r="E2835" s="109" t="s">
        <v>355</v>
      </c>
      <c r="F2835" s="109" t="s">
        <v>355</v>
      </c>
      <c r="G2835" s="55" t="s">
        <v>355</v>
      </c>
      <c r="H2835" s="108" t="s">
        <v>402</v>
      </c>
      <c r="I2835" s="111" t="s">
        <v>402</v>
      </c>
      <c r="J2835" s="111" t="s">
        <v>402</v>
      </c>
      <c r="K2835" s="106" t="s">
        <v>403</v>
      </c>
      <c r="L2835" s="55" t="s">
        <v>404</v>
      </c>
      <c r="M2835" s="55" t="s">
        <v>7634</v>
      </c>
    </row>
    <row r="2836" spans="1:13">
      <c r="A2836" s="611" t="s">
        <v>6942</v>
      </c>
      <c r="B2836" s="106" t="s">
        <v>327</v>
      </c>
      <c r="C2836" s="106" t="s">
        <v>473</v>
      </c>
      <c r="D2836" s="107" t="s">
        <v>6943</v>
      </c>
      <c r="E2836" s="109" t="s">
        <v>355</v>
      </c>
      <c r="F2836" s="109" t="s">
        <v>355</v>
      </c>
      <c r="G2836" s="55" t="s">
        <v>355</v>
      </c>
      <c r="H2836" s="108" t="s">
        <v>402</v>
      </c>
      <c r="I2836" s="111" t="s">
        <v>402</v>
      </c>
      <c r="J2836" s="111" t="s">
        <v>402</v>
      </c>
      <c r="K2836" s="106" t="s">
        <v>403</v>
      </c>
      <c r="L2836" s="55" t="s">
        <v>404</v>
      </c>
      <c r="M2836" s="55" t="s">
        <v>7634</v>
      </c>
    </row>
    <row r="2837" spans="1:13">
      <c r="A2837" s="408" t="s">
        <v>6944</v>
      </c>
      <c r="B2837" s="106" t="s">
        <v>327</v>
      </c>
      <c r="C2837" s="106" t="s">
        <v>473</v>
      </c>
      <c r="D2837" s="107" t="s">
        <v>6943</v>
      </c>
      <c r="E2837" s="109" t="s">
        <v>355</v>
      </c>
      <c r="F2837" s="109" t="s">
        <v>355</v>
      </c>
      <c r="G2837" s="55" t="s">
        <v>355</v>
      </c>
      <c r="H2837" s="108" t="s">
        <v>402</v>
      </c>
      <c r="I2837" s="111" t="s">
        <v>402</v>
      </c>
      <c r="J2837" s="111" t="s">
        <v>402</v>
      </c>
      <c r="K2837" s="106" t="s">
        <v>403</v>
      </c>
      <c r="L2837" s="55" t="s">
        <v>404</v>
      </c>
      <c r="M2837" s="55" t="s">
        <v>7634</v>
      </c>
    </row>
    <row r="2838" spans="1:13">
      <c r="A2838" s="408" t="s">
        <v>6945</v>
      </c>
      <c r="B2838" s="106" t="s">
        <v>327</v>
      </c>
      <c r="C2838" s="106" t="s">
        <v>473</v>
      </c>
      <c r="D2838" s="107" t="s">
        <v>6946</v>
      </c>
      <c r="E2838" s="109" t="s">
        <v>355</v>
      </c>
      <c r="F2838" s="109" t="s">
        <v>355</v>
      </c>
      <c r="G2838" s="55" t="s">
        <v>355</v>
      </c>
      <c r="H2838" s="108" t="s">
        <v>402</v>
      </c>
      <c r="I2838" s="111" t="s">
        <v>402</v>
      </c>
      <c r="J2838" s="111" t="s">
        <v>402</v>
      </c>
      <c r="K2838" s="106" t="s">
        <v>403</v>
      </c>
      <c r="L2838" s="55" t="s">
        <v>404</v>
      </c>
      <c r="M2838" s="55" t="s">
        <v>7634</v>
      </c>
    </row>
    <row r="2839" spans="1:13">
      <c r="A2839" s="401" t="s">
        <v>6947</v>
      </c>
      <c r="B2839" s="106" t="s">
        <v>327</v>
      </c>
      <c r="C2839" s="106" t="s">
        <v>473</v>
      </c>
      <c r="D2839" s="109" t="s">
        <v>6948</v>
      </c>
      <c r="E2839" s="109" t="s">
        <v>6949</v>
      </c>
      <c r="F2839" s="109" t="s">
        <v>6950</v>
      </c>
      <c r="G2839" s="112" t="s">
        <v>6951</v>
      </c>
      <c r="H2839" s="115" t="s">
        <v>402</v>
      </c>
      <c r="I2839" s="111" t="s">
        <v>402</v>
      </c>
      <c r="J2839" s="111" t="s">
        <v>402</v>
      </c>
      <c r="K2839" s="106" t="s">
        <v>403</v>
      </c>
      <c r="L2839" s="55" t="s">
        <v>404</v>
      </c>
      <c r="M2839" s="113" t="s">
        <v>383</v>
      </c>
    </row>
    <row r="2840" spans="1:13">
      <c r="A2840" s="408" t="s">
        <v>6952</v>
      </c>
      <c r="B2840" s="106" t="s">
        <v>327</v>
      </c>
      <c r="C2840" s="106" t="s">
        <v>473</v>
      </c>
      <c r="D2840" s="107" t="s">
        <v>6953</v>
      </c>
      <c r="E2840" s="109" t="s">
        <v>355</v>
      </c>
      <c r="F2840" s="109" t="s">
        <v>355</v>
      </c>
      <c r="G2840" s="55" t="s">
        <v>355</v>
      </c>
      <c r="H2840" s="108" t="s">
        <v>402</v>
      </c>
      <c r="I2840" s="111" t="s">
        <v>402</v>
      </c>
      <c r="J2840" s="111" t="s">
        <v>402</v>
      </c>
      <c r="K2840" s="106" t="s">
        <v>403</v>
      </c>
      <c r="L2840" s="55" t="s">
        <v>404</v>
      </c>
      <c r="M2840" s="55" t="s">
        <v>7634</v>
      </c>
    </row>
    <row r="2841" spans="1:13">
      <c r="A2841" s="408" t="s">
        <v>6954</v>
      </c>
      <c r="B2841" s="106" t="s">
        <v>327</v>
      </c>
      <c r="C2841" s="106" t="s">
        <v>473</v>
      </c>
      <c r="D2841" s="107" t="s">
        <v>6955</v>
      </c>
      <c r="E2841" s="109" t="s">
        <v>355</v>
      </c>
      <c r="F2841" s="109" t="s">
        <v>355</v>
      </c>
      <c r="G2841" s="55" t="s">
        <v>355</v>
      </c>
      <c r="H2841" s="108" t="s">
        <v>402</v>
      </c>
      <c r="I2841" s="111" t="s">
        <v>402</v>
      </c>
      <c r="J2841" s="111" t="s">
        <v>402</v>
      </c>
      <c r="K2841" s="106" t="s">
        <v>403</v>
      </c>
      <c r="L2841" s="55" t="s">
        <v>404</v>
      </c>
      <c r="M2841" s="55" t="s">
        <v>7634</v>
      </c>
    </row>
    <row r="2842" spans="1:13">
      <c r="A2842" s="408" t="s">
        <v>6956</v>
      </c>
      <c r="B2842" s="106" t="s">
        <v>327</v>
      </c>
      <c r="C2842" s="106" t="s">
        <v>473</v>
      </c>
      <c r="D2842" s="107" t="s">
        <v>6957</v>
      </c>
      <c r="E2842" s="109" t="s">
        <v>355</v>
      </c>
      <c r="F2842" s="109" t="s">
        <v>355</v>
      </c>
      <c r="G2842" s="55" t="s">
        <v>355</v>
      </c>
      <c r="H2842" s="108" t="s">
        <v>402</v>
      </c>
      <c r="I2842" s="111" t="s">
        <v>402</v>
      </c>
      <c r="J2842" s="111" t="s">
        <v>402</v>
      </c>
      <c r="K2842" s="106" t="s">
        <v>403</v>
      </c>
      <c r="L2842" s="55" t="s">
        <v>404</v>
      </c>
      <c r="M2842" s="55" t="s">
        <v>7634</v>
      </c>
    </row>
    <row r="2843" spans="1:13">
      <c r="A2843" s="408" t="s">
        <v>6958</v>
      </c>
      <c r="B2843" s="106" t="s">
        <v>327</v>
      </c>
      <c r="C2843" s="106" t="s">
        <v>473</v>
      </c>
      <c r="D2843" s="107" t="s">
        <v>6959</v>
      </c>
      <c r="E2843" s="109" t="s">
        <v>355</v>
      </c>
      <c r="F2843" s="109" t="s">
        <v>355</v>
      </c>
      <c r="G2843" s="55" t="s">
        <v>355</v>
      </c>
      <c r="H2843" s="108" t="s">
        <v>402</v>
      </c>
      <c r="I2843" s="111" t="s">
        <v>402</v>
      </c>
      <c r="J2843" s="111" t="s">
        <v>402</v>
      </c>
      <c r="K2843" s="106" t="s">
        <v>403</v>
      </c>
      <c r="L2843" s="55" t="s">
        <v>404</v>
      </c>
      <c r="M2843" s="55" t="s">
        <v>7634</v>
      </c>
    </row>
    <row r="2844" spans="1:13">
      <c r="A2844" s="401" t="s">
        <v>9164</v>
      </c>
      <c r="B2844" s="106" t="s">
        <v>327</v>
      </c>
      <c r="C2844" s="106" t="s">
        <v>473</v>
      </c>
      <c r="D2844" s="133" t="s">
        <v>9165</v>
      </c>
      <c r="E2844" s="133" t="s">
        <v>9166</v>
      </c>
      <c r="F2844" s="133" t="s">
        <v>9167</v>
      </c>
      <c r="G2844" s="601" t="s">
        <v>9168</v>
      </c>
      <c r="H2844" s="108" t="s">
        <v>402</v>
      </c>
      <c r="I2844" s="111" t="s">
        <v>402</v>
      </c>
      <c r="J2844" s="111" t="s">
        <v>402</v>
      </c>
      <c r="K2844" s="106" t="s">
        <v>403</v>
      </c>
      <c r="L2844" s="55" t="s">
        <v>404</v>
      </c>
      <c r="M2844" s="55" t="s">
        <v>383</v>
      </c>
    </row>
    <row r="2845" spans="1:13">
      <c r="A2845" s="401" t="s">
        <v>9172</v>
      </c>
      <c r="B2845" s="106" t="s">
        <v>327</v>
      </c>
      <c r="C2845" s="106" t="s">
        <v>473</v>
      </c>
      <c r="D2845" s="133" t="s">
        <v>9173</v>
      </c>
      <c r="E2845" s="133" t="s">
        <v>9174</v>
      </c>
      <c r="F2845" s="133" t="s">
        <v>9175</v>
      </c>
      <c r="G2845" s="108" t="s">
        <v>9175</v>
      </c>
      <c r="H2845" s="108" t="s">
        <v>402</v>
      </c>
      <c r="I2845" s="111" t="s">
        <v>402</v>
      </c>
      <c r="J2845" s="111" t="s">
        <v>402</v>
      </c>
      <c r="K2845" s="106" t="s">
        <v>403</v>
      </c>
      <c r="L2845" s="55" t="s">
        <v>404</v>
      </c>
      <c r="M2845" s="55" t="s">
        <v>383</v>
      </c>
    </row>
    <row r="2846" spans="1:13">
      <c r="A2846" s="401" t="s">
        <v>9204</v>
      </c>
      <c r="B2846" s="106" t="s">
        <v>327</v>
      </c>
      <c r="C2846" s="106" t="s">
        <v>473</v>
      </c>
      <c r="D2846" s="133" t="s">
        <v>9205</v>
      </c>
      <c r="E2846" s="133" t="s">
        <v>9206</v>
      </c>
      <c r="F2846" s="133" t="s">
        <v>9207</v>
      </c>
      <c r="G2846" s="601" t="s">
        <v>9208</v>
      </c>
      <c r="H2846" s="108" t="s">
        <v>402</v>
      </c>
      <c r="I2846" s="111" t="s">
        <v>402</v>
      </c>
      <c r="J2846" s="111" t="s">
        <v>402</v>
      </c>
      <c r="K2846" s="106" t="s">
        <v>403</v>
      </c>
      <c r="L2846" s="55" t="s">
        <v>404</v>
      </c>
      <c r="M2846" s="55" t="s">
        <v>383</v>
      </c>
    </row>
    <row r="2847" spans="1:13">
      <c r="A2847" s="401" t="s">
        <v>9216</v>
      </c>
      <c r="B2847" s="106" t="s">
        <v>327</v>
      </c>
      <c r="C2847" s="106" t="s">
        <v>473</v>
      </c>
      <c r="D2847" s="133" t="s">
        <v>9217</v>
      </c>
      <c r="E2847" s="133" t="s">
        <v>9218</v>
      </c>
      <c r="F2847" s="133" t="s">
        <v>9219</v>
      </c>
      <c r="G2847" s="601" t="s">
        <v>9220</v>
      </c>
      <c r="H2847" s="108" t="s">
        <v>402</v>
      </c>
      <c r="I2847" s="111" t="s">
        <v>402</v>
      </c>
      <c r="J2847" s="111" t="s">
        <v>402</v>
      </c>
      <c r="K2847" s="106" t="s">
        <v>403</v>
      </c>
      <c r="L2847" s="55" t="s">
        <v>404</v>
      </c>
      <c r="M2847" s="55" t="s">
        <v>383</v>
      </c>
    </row>
    <row r="2848" spans="1:13">
      <c r="A2848" s="401" t="s">
        <v>9262</v>
      </c>
      <c r="B2848" s="106" t="s">
        <v>327</v>
      </c>
      <c r="C2848" s="106" t="s">
        <v>473</v>
      </c>
      <c r="D2848" s="133" t="s">
        <v>9256</v>
      </c>
      <c r="E2848" s="133" t="s">
        <v>9257</v>
      </c>
      <c r="F2848" s="133" t="s">
        <v>9258</v>
      </c>
      <c r="G2848" s="601" t="s">
        <v>9259</v>
      </c>
      <c r="H2848" s="108" t="s">
        <v>402</v>
      </c>
      <c r="I2848" s="111" t="s">
        <v>402</v>
      </c>
      <c r="J2848" s="111" t="s">
        <v>402</v>
      </c>
      <c r="K2848" s="106" t="s">
        <v>403</v>
      </c>
      <c r="L2848" s="55" t="s">
        <v>404</v>
      </c>
      <c r="M2848" s="55" t="s">
        <v>383</v>
      </c>
    </row>
    <row r="2849" spans="1:13">
      <c r="A2849" s="401" t="s">
        <v>9281</v>
      </c>
      <c r="B2849" s="106" t="s">
        <v>327</v>
      </c>
      <c r="C2849" s="106" t="s">
        <v>473</v>
      </c>
      <c r="D2849" s="133" t="s">
        <v>9282</v>
      </c>
      <c r="E2849" s="133" t="s">
        <v>9282</v>
      </c>
      <c r="F2849" s="133" t="s">
        <v>9282</v>
      </c>
      <c r="G2849" s="108" t="s">
        <v>9282</v>
      </c>
      <c r="H2849" s="108" t="s">
        <v>402</v>
      </c>
      <c r="I2849" s="111" t="s">
        <v>402</v>
      </c>
      <c r="J2849" s="111" t="s">
        <v>402</v>
      </c>
      <c r="K2849" s="106" t="s">
        <v>403</v>
      </c>
      <c r="L2849" s="55" t="s">
        <v>404</v>
      </c>
      <c r="M2849" s="55" t="s">
        <v>383</v>
      </c>
    </row>
    <row r="2850" spans="1:13">
      <c r="A2850" s="401" t="s">
        <v>9315</v>
      </c>
      <c r="B2850" s="106" t="s">
        <v>327</v>
      </c>
      <c r="C2850" s="106" t="s">
        <v>473</v>
      </c>
      <c r="D2850" s="133" t="s">
        <v>383</v>
      </c>
      <c r="E2850" s="133" t="s">
        <v>383</v>
      </c>
      <c r="F2850" s="133" t="s">
        <v>383</v>
      </c>
      <c r="G2850" s="108" t="s">
        <v>383</v>
      </c>
      <c r="H2850" s="108" t="s">
        <v>402</v>
      </c>
      <c r="I2850" s="111" t="s">
        <v>402</v>
      </c>
      <c r="J2850" s="111" t="s">
        <v>402</v>
      </c>
      <c r="K2850" s="106" t="s">
        <v>403</v>
      </c>
      <c r="L2850" s="55" t="s">
        <v>404</v>
      </c>
      <c r="M2850" s="55" t="s">
        <v>383</v>
      </c>
    </row>
  </sheetData>
  <phoneticPr fontId="18" type="noConversion"/>
  <dataValidations disablePrompts="1" count="2">
    <dataValidation type="list" allowBlank="1" showInputMessage="1" showErrorMessage="1" sqref="A1963 A75 A1929 A2051 A2160 A1922 A2754 A2200 A2590 A2766:A2768 A2770:A2783 A2788:A2789 A2791 A21 A2836" xr:uid="{15AA33A4-EED9-45DA-B836-B4D47BDDCC50}">
      <formula1>INDIRECT("업체db[업체명]")</formula1>
    </dataValidation>
    <dataValidation type="list" allowBlank="1" showInputMessage="1" showErrorMessage="1" sqref="A336:A337" xr:uid="{34D41C9F-7356-4432-A428-02EE2C9A7AE2}">
      <formula1>$A:$A</formula1>
    </dataValidation>
  </dataValidations>
  <hyperlinks>
    <hyperlink ref="G2202" r:id="rId1" xr:uid="{8F6DC70F-A94E-468D-8566-6C6C2B2F90D6}"/>
    <hyperlink ref="G1895" r:id="rId2" xr:uid="{BDF22CF0-70C7-4AF1-A2A5-AF53B4E6FAC9}"/>
    <hyperlink ref="G126" r:id="rId3" xr:uid="{6704D29F-71EF-43D7-A9E7-A65F45784DB4}"/>
    <hyperlink ref="G114" r:id="rId4" xr:uid="{9159F7B1-C174-4B47-8F55-3B4A49CC82E6}"/>
    <hyperlink ref="G398" r:id="rId5" xr:uid="{72E437CB-1A87-4757-9B60-AB79D7D84E39}"/>
    <hyperlink ref="G161" r:id="rId6" xr:uid="{AE7B9F58-B753-41CE-BD62-9BEB228063FF}"/>
    <hyperlink ref="G94" r:id="rId7" xr:uid="{2EB89D9A-DE0B-430E-802D-6B9785C52310}"/>
    <hyperlink ref="G140" r:id="rId8" xr:uid="{12A2445C-0E69-493E-87EB-90282B0B6325}"/>
    <hyperlink ref="G2600" r:id="rId9" xr:uid="{DCD3249A-D638-4A5E-AAAF-C3168F7FE1DD}"/>
    <hyperlink ref="G2639" r:id="rId10" xr:uid="{47076B66-5B7F-4BC8-8769-81EC3FD2C42E}"/>
    <hyperlink ref="G2313" r:id="rId11" xr:uid="{BEE35E03-62EF-4108-AC35-3EAEB9CA2AA2}"/>
    <hyperlink ref="G2310" r:id="rId12" xr:uid="{57346A90-F020-48C5-B66F-A60DDB61004F}"/>
    <hyperlink ref="G1976" r:id="rId13" xr:uid="{BDB03501-A662-49C3-AA98-967A3159956C}"/>
    <hyperlink ref="G70" r:id="rId14" xr:uid="{48203324-CFDA-4954-8A62-294E8AC0049E}"/>
    <hyperlink ref="G64" r:id="rId15" xr:uid="{63C81BA1-766B-441A-8F18-8C3DFD314E84}"/>
    <hyperlink ref="M229" r:id="rId16" xr:uid="{0F87899E-81D4-4143-ACB6-858214AA078B}"/>
    <hyperlink ref="G179" r:id="rId17" xr:uid="{FBD3F5C9-84D3-4E26-BE49-76F09C680623}"/>
    <hyperlink ref="G75" r:id="rId18" xr:uid="{8CB28B50-E004-4469-A808-773C5FCFA5C9}"/>
    <hyperlink ref="G98" r:id="rId19" xr:uid="{61A4129E-812D-4D77-B24A-EACEE4BDEA71}"/>
    <hyperlink ref="G40" r:id="rId20" xr:uid="{9C46D2B2-3E37-4F2E-A8CC-F533829FFC6C}"/>
    <hyperlink ref="G2391" r:id="rId21" xr:uid="{35B7EF5C-F634-4DF3-885B-8E4E3533DE9C}"/>
    <hyperlink ref="G2677" r:id="rId22" xr:uid="{5C579E2A-8F96-4627-800C-84CF431BEABB}"/>
    <hyperlink ref="G1336" r:id="rId23" xr:uid="{1FC6D9D0-DE8D-4C38-8308-4446F2BB2495}"/>
    <hyperlink ref="G1465" r:id="rId24" xr:uid="{71ED18A9-68F5-42BA-8B09-2C3EF4AABE77}"/>
    <hyperlink ref="G1594" r:id="rId25" xr:uid="{5911240E-336B-4EC0-AB06-9897014E8251}"/>
    <hyperlink ref="G2206" r:id="rId26" xr:uid="{F980FCDA-8407-4AF9-84C1-B394C0EF1B64}"/>
    <hyperlink ref="G1154" r:id="rId27" xr:uid="{DCA2A2AF-669F-46F8-A6AF-18D8F84D310F}"/>
    <hyperlink ref="G1559" r:id="rId28" xr:uid="{D0F6E7CD-EFCB-4D36-B78B-7EB377DAED5F}"/>
    <hyperlink ref="G2517" r:id="rId29" xr:uid="{6BE8E745-F465-4399-A5E8-2EC11FD19E82}"/>
    <hyperlink ref="G1824" r:id="rId30" xr:uid="{33523CA9-B862-43A5-9E76-226FC063D2EB}"/>
    <hyperlink ref="G2395" r:id="rId31" xr:uid="{014191C8-00E9-4605-9C7F-BCD060B3F05F}"/>
    <hyperlink ref="G137" r:id="rId32" xr:uid="{75E91225-5C6F-4B2D-BB09-E2DA069993FC}"/>
    <hyperlink ref="G1718" r:id="rId33" xr:uid="{A2C21B45-4FD5-46F9-9394-B6A18A9F412B}"/>
    <hyperlink ref="G2709" r:id="rId34" xr:uid="{60514DAC-CEB8-46A1-B084-1EC3FCFFD13D}"/>
    <hyperlink ref="G2115" r:id="rId35" xr:uid="{D2A56764-0B34-4455-A8F7-98F597B67925}"/>
    <hyperlink ref="G2296" r:id="rId36" xr:uid="{D7738D51-E1BC-46BF-83DA-154D45DEB0A7}"/>
    <hyperlink ref="G906" r:id="rId37" xr:uid="{06857159-FC3B-4D80-A2DD-E5341DB73FB5}"/>
    <hyperlink ref="G149" r:id="rId38" xr:uid="{3AFFD234-3682-4719-82A4-30D12D513D86}"/>
    <hyperlink ref="G67" r:id="rId39" xr:uid="{61E2F690-A5BF-42E4-A492-7BA60932D0F7}"/>
    <hyperlink ref="G106" r:id="rId40" display="mailto:expediting@lotrading.com" xr:uid="{C1CBC4E5-3DC7-42DD-829E-897BE03CF999}"/>
    <hyperlink ref="G1505" r:id="rId41" xr:uid="{47B90F1E-940A-4801-A1E0-F153DB29E3B7}"/>
    <hyperlink ref="G1519" r:id="rId42" xr:uid="{9BCC1A50-C3B4-4E5B-AAE7-3673EED3C129}"/>
    <hyperlink ref="G2544" r:id="rId43" xr:uid="{97F457E5-13F6-4F2B-A987-1FC23CD60C03}"/>
    <hyperlink ref="G2548" r:id="rId44" xr:uid="{616A2C2F-281D-496D-A3A3-50E0707148A4}"/>
    <hyperlink ref="G986" r:id="rId45" xr:uid="{B571A03D-0B66-49AD-A27C-6B3D904CC3B6}"/>
    <hyperlink ref="G108" r:id="rId46" xr:uid="{54A19780-A230-43AD-90A4-B88E0A50262C}"/>
    <hyperlink ref="G2587" r:id="rId47" xr:uid="{A0D6BF93-ABAA-4D50-8CCE-89BB7B00EB06}"/>
    <hyperlink ref="G843" r:id="rId48" xr:uid="{126F3CB4-B326-4D97-BFA1-9875D85D67D0}"/>
    <hyperlink ref="G160" r:id="rId49" xr:uid="{854B4468-2551-4F1D-BBE3-CEEC4A9852E4}"/>
    <hyperlink ref="G2550" r:id="rId50" xr:uid="{B4B0D768-6FB7-41C6-A065-CFF23709A771}"/>
    <hyperlink ref="G2555" r:id="rId51" xr:uid="{1D52FC79-AB01-442F-9702-5E33288241DF}"/>
    <hyperlink ref="G20" r:id="rId52" xr:uid="{95868B3C-FD3E-4F6D-A05C-AABE19A9DB51}"/>
    <hyperlink ref="G2540" r:id="rId53" xr:uid="{92B7BF96-50AA-46A1-A2CB-FFFE8B1BB15A}"/>
    <hyperlink ref="G2531" r:id="rId54" xr:uid="{46BECE33-5CC0-4F68-8827-9148954F1FAE}"/>
    <hyperlink ref="G24" r:id="rId55" xr:uid="{66159F69-43DB-42EB-99AD-1E191DA8916D}"/>
    <hyperlink ref="G134" r:id="rId56" xr:uid="{5C1A74AA-D302-4E12-B019-1CE7D0EC22E6}"/>
    <hyperlink ref="G2190" r:id="rId57" xr:uid="{824110DF-E248-4CB0-90AE-83FBBD7E3A4D}"/>
    <hyperlink ref="G2519" r:id="rId58" xr:uid="{1137850F-2D99-422E-9C2B-E351B9A20218}"/>
    <hyperlink ref="G23" r:id="rId59" xr:uid="{A252C55B-A4D1-4766-84EF-72133432F1DF}"/>
    <hyperlink ref="G2014" r:id="rId60" xr:uid="{F4732910-8D30-4794-B80A-F4202A115094}"/>
    <hyperlink ref="G2176" r:id="rId61" xr:uid="{E593F928-48E5-4A2B-ADE5-51D9AA4537D9}"/>
    <hyperlink ref="G2017" r:id="rId62" xr:uid="{3728364F-AC20-482B-BE8B-AE75FF5FE759}"/>
    <hyperlink ref="G11" r:id="rId63" xr:uid="{0533B5B7-97D0-47E9-9C62-C38100C86718}"/>
    <hyperlink ref="G1089" r:id="rId64" display="carcarus11@hotmail.com" xr:uid="{33C7867F-89E8-410E-95C6-70E4FB6A73BC}"/>
    <hyperlink ref="G1968" r:id="rId65" xr:uid="{2454EED1-6335-4254-912E-464148E31EDC}"/>
    <hyperlink ref="G48" r:id="rId66" xr:uid="{D6667143-F8D7-4BAD-8626-A068E88D3879}"/>
    <hyperlink ref="G1901" r:id="rId67" xr:uid="{7DF20B86-24AF-4AE1-BD72-DE9578C74537}"/>
    <hyperlink ref="G2678" r:id="rId68" xr:uid="{555864D7-1763-42FD-B936-B8EA0E31177F}"/>
    <hyperlink ref="G2553" r:id="rId69" xr:uid="{6FCDF262-EC70-4836-BA74-8E64F2058E29}"/>
    <hyperlink ref="G4" r:id="rId70" xr:uid="{A0150FFD-7A39-4F0E-85C3-EB4546E7EEFB}"/>
    <hyperlink ref="G112" r:id="rId71" xr:uid="{0F618B54-3798-402E-89EB-AF6E7DE32495}"/>
    <hyperlink ref="G2695" r:id="rId72" xr:uid="{0155105C-4E3C-4BBB-80FE-5CA141981D5D}"/>
    <hyperlink ref="G2694" r:id="rId73" xr:uid="{2643D700-1C8C-460D-8728-7FD79CA077A5}"/>
    <hyperlink ref="G2534" r:id="rId74" xr:uid="{D53010E8-E8B5-4872-835F-398D57F188F9}"/>
    <hyperlink ref="G2732" r:id="rId75" xr:uid="{EF95BF35-A25F-46EB-A296-BDA4FB50937F}"/>
    <hyperlink ref="G2533" r:id="rId76" xr:uid="{DD4E4874-A54D-46C7-BEB1-96834EFA1F52}"/>
    <hyperlink ref="G167" r:id="rId77" xr:uid="{1462DC8C-7502-499F-A721-B93241342F5C}"/>
    <hyperlink ref="G837" r:id="rId78" xr:uid="{DE5BF5CD-6426-46EB-8841-3B7821FFAECC}"/>
    <hyperlink ref="G2532" r:id="rId79" xr:uid="{287A939D-D6EC-4D00-ACDD-C7D9DD13346B}"/>
    <hyperlink ref="G1967" r:id="rId80" xr:uid="{A681398B-F8F9-4AF9-8368-47045F3984AA}"/>
    <hyperlink ref="G139" r:id="rId81" xr:uid="{2D19A61A-AF48-4C9C-B6AE-7674662D1CC9}"/>
    <hyperlink ref="G2657" r:id="rId82" xr:uid="{956053B0-CDEF-4947-BE26-BF7EB493CD7D}"/>
    <hyperlink ref="G1902" r:id="rId83" xr:uid="{647CE58E-8C89-4B23-AACE-AB1525452875}"/>
    <hyperlink ref="G2676" r:id="rId84" xr:uid="{69AD669F-DC65-43CD-A048-3F7B3CF90189}"/>
    <hyperlink ref="G2691" r:id="rId85" xr:uid="{54006F5D-091E-404A-ABAB-915EBFC3A20A}"/>
    <hyperlink ref="G461" r:id="rId86" xr:uid="{DF0A8EE4-6EBB-4DF4-8007-674F7D0EE0EA}"/>
    <hyperlink ref="G2524" r:id="rId87" xr:uid="{1FEE02E8-86C1-44DE-9001-5EDEE1C791BA}"/>
    <hyperlink ref="G120" r:id="rId88" xr:uid="{A5A1FB1D-D06C-4593-990D-4A16A1231E9B}"/>
    <hyperlink ref="G125" r:id="rId89" xr:uid="{A07AE1DC-098C-4960-A446-D602F60DE2CC}"/>
    <hyperlink ref="G499" r:id="rId90" xr:uid="{38C27149-EB5A-4AFD-9821-2922520953E6}"/>
    <hyperlink ref="G1984" r:id="rId91" xr:uid="{97818BC5-BD96-41DC-8F6B-6CCB18D7A752}"/>
    <hyperlink ref="G1979" r:id="rId92" xr:uid="{3FBF7169-F5E5-436E-A890-E6F08ED8F47F}"/>
    <hyperlink ref="G2734" r:id="rId93" display="propess@hanmail.net" xr:uid="{91DD907A-20D7-4799-AABF-687665E7268E}"/>
    <hyperlink ref="G2077" r:id="rId94" xr:uid="{2D7D31DC-EF66-4BFC-94BD-D7298E639C82}"/>
    <hyperlink ref="G2525" r:id="rId95" xr:uid="{FD8BAF60-9CB2-4E8D-B56A-5D83BDCAE718}"/>
    <hyperlink ref="G2696" r:id="rId96" xr:uid="{E359100A-167E-4759-BEA7-749990D70A3E}"/>
    <hyperlink ref="G2013" r:id="rId97" xr:uid="{C3604A48-C5FB-47DF-960A-DF8DBC13AF1D}"/>
    <hyperlink ref="G5" r:id="rId98" xr:uid="{9BD5649E-CE15-4663-933D-F1ACB0C3DE57}"/>
    <hyperlink ref="G2736" r:id="rId99" xr:uid="{68DCF34D-F541-417B-85E0-B65EC06E31D7}"/>
    <hyperlink ref="G2564" r:id="rId100" xr:uid="{879D7538-BFAE-490E-9A1E-C23088C48D26}"/>
    <hyperlink ref="G2730" r:id="rId101" xr:uid="{9E7259C2-31DE-425A-B101-EB0B16372F65}"/>
    <hyperlink ref="G2554" r:id="rId102" xr:uid="{E2AFB6C5-DF77-4A89-B6BE-906C0B17B532}"/>
    <hyperlink ref="G2023" r:id="rId103" xr:uid="{08BC412E-8047-48E4-B811-83F23998F1B7}"/>
    <hyperlink ref="G2547" r:id="rId104" xr:uid="{C0C99B2D-76A6-46C7-BBC8-EBABD91FDCF7}"/>
    <hyperlink ref="G1240" r:id="rId105" xr:uid="{6901929E-8EBC-4851-9748-B24A08AE7DB1}"/>
    <hyperlink ref="G2217" r:id="rId106" xr:uid="{CD75ECA6-2870-4A10-B173-2DCCA1919A31}"/>
    <hyperlink ref="G42" r:id="rId107" xr:uid="{4C5287D4-D5D9-4468-A640-95009ACA6230}"/>
    <hyperlink ref="G96" r:id="rId108" xr:uid="{0DB253B4-C4B0-4BB7-B4CC-A93777D53FA2}"/>
    <hyperlink ref="G100" r:id="rId109" xr:uid="{4C762782-ECBD-41D6-98AF-2D0FA09E1C31}"/>
    <hyperlink ref="G122" r:id="rId110" xr:uid="{7D20FF51-313A-46C2-B3A5-E145FE9E9753}"/>
    <hyperlink ref="G135" r:id="rId111" xr:uid="{875F7814-2318-4BA8-8FAD-9BAB4003EFF5}"/>
    <hyperlink ref="G2844" r:id="rId112" xr:uid="{E533199B-DEB5-451E-8B40-4C5546AEAC8A}"/>
    <hyperlink ref="G2679" r:id="rId113" xr:uid="{2120986D-0D74-4880-A8EE-4C5C3D860F38}"/>
    <hyperlink ref="G2846" r:id="rId114" xr:uid="{BD9F57C1-A158-4C9F-9C9F-C1C38BBB7334}"/>
    <hyperlink ref="G2847" r:id="rId115" xr:uid="{2C993587-D18E-41E7-B806-8ACFC9E506BA}"/>
    <hyperlink ref="G2848" r:id="rId116" xr:uid="{5FF6409C-B9F1-42EF-A1F8-530D301F1D70}"/>
  </hyperlinks>
  <pageMargins left="0.7" right="0.7" top="0.75" bottom="0.75" header="0.3" footer="0.3"/>
  <pageSetup paperSize="9" orientation="portrait" r:id="rId117"/>
  <tableParts count="1">
    <tablePart r:id="rId11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1">
    <tabColor theme="4"/>
  </sheetPr>
  <dimension ref="A1:P60"/>
  <sheetViews>
    <sheetView zoomScaleNormal="100" workbookViewId="0">
      <selection activeCell="N2" sqref="N2:P2"/>
    </sheetView>
  </sheetViews>
  <sheetFormatPr defaultRowHeight="16.5"/>
  <cols>
    <col min="1" max="1" width="11.875" style="1" bestFit="1" customWidth="1"/>
    <col min="2" max="2" width="10.5" style="1" bestFit="1" customWidth="1"/>
    <col min="3" max="3" width="15.125" style="1" bestFit="1" customWidth="1"/>
    <col min="4" max="4" width="9.75" style="1" bestFit="1" customWidth="1"/>
    <col min="5" max="7" width="9" style="1"/>
    <col min="8" max="8" width="2.875" style="1" customWidth="1"/>
    <col min="9" max="9" width="15.125" style="1" bestFit="1" customWidth="1"/>
    <col min="10" max="10" width="13.75" style="1" bestFit="1" customWidth="1"/>
    <col min="11" max="11" width="5.25" style="1" bestFit="1" customWidth="1"/>
    <col min="12" max="12" width="12.25" style="1" bestFit="1" customWidth="1"/>
    <col min="13" max="13" width="9" style="1"/>
    <col min="14" max="14" width="8.125" style="1" customWidth="1"/>
    <col min="15" max="15" width="11.375" style="1" customWidth="1"/>
    <col min="16" max="16384" width="9" style="1"/>
  </cols>
  <sheetData>
    <row r="1" spans="1:16" ht="16.5" customHeight="1" thickBot="1">
      <c r="A1" s="1" t="s">
        <v>54</v>
      </c>
      <c r="B1" s="1" t="s">
        <v>40</v>
      </c>
      <c r="C1" s="1" t="s">
        <v>42</v>
      </c>
      <c r="D1" s="1" t="s">
        <v>85</v>
      </c>
      <c r="E1" s="1" t="s">
        <v>138</v>
      </c>
      <c r="F1" s="1" t="s">
        <v>186</v>
      </c>
    </row>
    <row r="2" spans="1:16">
      <c r="A2" s="1" t="s">
        <v>57</v>
      </c>
      <c r="B2" s="1" t="s">
        <v>86</v>
      </c>
      <c r="C2" s="1" t="s">
        <v>87</v>
      </c>
      <c r="D2" s="1" t="s">
        <v>212</v>
      </c>
      <c r="E2" s="1">
        <v>17</v>
      </c>
      <c r="F2" s="1" t="s">
        <v>187</v>
      </c>
      <c r="H2" s="888" t="s">
        <v>7655</v>
      </c>
      <c r="I2" s="215" t="s">
        <v>7657</v>
      </c>
      <c r="J2" s="215" t="s">
        <v>7648</v>
      </c>
      <c r="K2" s="215" t="s">
        <v>7656</v>
      </c>
      <c r="L2" s="216" t="s">
        <v>5393</v>
      </c>
      <c r="N2" s="1" t="s">
        <v>7666</v>
      </c>
      <c r="P2" s="1" t="s">
        <v>7667</v>
      </c>
    </row>
    <row r="3" spans="1:16">
      <c r="A3" s="1" t="s">
        <v>58</v>
      </c>
      <c r="B3" s="1" t="s">
        <v>86</v>
      </c>
      <c r="C3" s="1" t="s">
        <v>87</v>
      </c>
      <c r="D3" s="1" t="s">
        <v>92</v>
      </c>
      <c r="E3" s="1">
        <v>17</v>
      </c>
      <c r="F3" s="1" t="s">
        <v>187</v>
      </c>
      <c r="H3" s="889"/>
      <c r="I3" s="144" t="s">
        <v>7653</v>
      </c>
      <c r="J3" s="144" t="s">
        <v>7649</v>
      </c>
      <c r="K3" s="144" t="s">
        <v>7654</v>
      </c>
      <c r="L3" s="217" t="s">
        <v>7650</v>
      </c>
    </row>
    <row r="4" spans="1:16">
      <c r="A4" s="1" t="s">
        <v>59</v>
      </c>
      <c r="B4" s="1" t="s">
        <v>86</v>
      </c>
      <c r="C4" s="1" t="s">
        <v>93</v>
      </c>
      <c r="D4" s="1" t="s">
        <v>212</v>
      </c>
      <c r="E4" s="1">
        <v>17</v>
      </c>
      <c r="F4" s="1" t="s">
        <v>187</v>
      </c>
      <c r="H4" s="889"/>
      <c r="I4" s="895" t="s">
        <v>344</v>
      </c>
      <c r="J4" s="891" t="s">
        <v>7658</v>
      </c>
      <c r="K4" s="891"/>
      <c r="L4" s="892"/>
    </row>
    <row r="5" spans="1:16" ht="17.25" thickBot="1">
      <c r="A5" s="1" t="s">
        <v>60</v>
      </c>
      <c r="B5" s="1" t="s">
        <v>86</v>
      </c>
      <c r="C5" s="1" t="s">
        <v>93</v>
      </c>
      <c r="D5" s="1" t="s">
        <v>92</v>
      </c>
      <c r="E5" s="1">
        <v>17</v>
      </c>
      <c r="F5" s="1" t="s">
        <v>187</v>
      </c>
      <c r="H5" s="890"/>
      <c r="I5" s="896"/>
      <c r="J5" s="893"/>
      <c r="K5" s="893"/>
      <c r="L5" s="894"/>
    </row>
    <row r="6" spans="1:16">
      <c r="A6" s="1" t="s">
        <v>61</v>
      </c>
      <c r="B6" s="1" t="s">
        <v>86</v>
      </c>
      <c r="C6" s="1" t="s">
        <v>87</v>
      </c>
      <c r="D6" s="1" t="s">
        <v>212</v>
      </c>
      <c r="E6" s="1">
        <v>12</v>
      </c>
      <c r="F6" s="1" t="s">
        <v>187</v>
      </c>
    </row>
    <row r="7" spans="1:16">
      <c r="A7" s="1" t="s">
        <v>62</v>
      </c>
      <c r="B7" s="1" t="s">
        <v>86</v>
      </c>
      <c r="C7" s="1" t="s">
        <v>87</v>
      </c>
      <c r="D7" s="1" t="s">
        <v>92</v>
      </c>
      <c r="E7" s="1">
        <v>12</v>
      </c>
      <c r="F7" s="1" t="s">
        <v>187</v>
      </c>
    </row>
    <row r="8" spans="1:16">
      <c r="A8" s="1" t="s">
        <v>63</v>
      </c>
      <c r="B8" s="1" t="s">
        <v>86</v>
      </c>
      <c r="C8" s="1" t="s">
        <v>93</v>
      </c>
      <c r="D8" s="1" t="s">
        <v>212</v>
      </c>
      <c r="E8" s="1">
        <v>12</v>
      </c>
      <c r="F8" s="1" t="s">
        <v>187</v>
      </c>
    </row>
    <row r="9" spans="1:16">
      <c r="A9" s="1" t="s">
        <v>64</v>
      </c>
      <c r="B9" s="1" t="s">
        <v>86</v>
      </c>
      <c r="C9" s="1" t="s">
        <v>93</v>
      </c>
      <c r="D9" s="1" t="s">
        <v>92</v>
      </c>
      <c r="E9" s="1">
        <v>12</v>
      </c>
      <c r="F9" s="1" t="s">
        <v>187</v>
      </c>
    </row>
    <row r="10" spans="1:16">
      <c r="A10" s="1" t="s">
        <v>65</v>
      </c>
      <c r="B10" s="1" t="s">
        <v>90</v>
      </c>
      <c r="C10" s="1" t="s">
        <v>87</v>
      </c>
      <c r="D10" s="1" t="s">
        <v>212</v>
      </c>
      <c r="E10" s="1">
        <v>17</v>
      </c>
      <c r="F10" s="1" t="s">
        <v>187</v>
      </c>
    </row>
    <row r="11" spans="1:16">
      <c r="A11" s="1" t="s">
        <v>66</v>
      </c>
      <c r="B11" s="1" t="s">
        <v>90</v>
      </c>
      <c r="C11" s="1" t="s">
        <v>87</v>
      </c>
      <c r="D11" s="1" t="s">
        <v>92</v>
      </c>
      <c r="E11" s="1">
        <v>17</v>
      </c>
      <c r="F11" s="1" t="s">
        <v>187</v>
      </c>
    </row>
    <row r="12" spans="1:16">
      <c r="A12" s="1" t="s">
        <v>67</v>
      </c>
      <c r="B12" s="1" t="s">
        <v>90</v>
      </c>
      <c r="C12" s="1" t="s">
        <v>93</v>
      </c>
      <c r="D12" s="1" t="s">
        <v>212</v>
      </c>
      <c r="E12" s="1">
        <v>17</v>
      </c>
      <c r="F12" s="1" t="s">
        <v>187</v>
      </c>
    </row>
    <row r="13" spans="1:16">
      <c r="A13" s="1" t="s">
        <v>68</v>
      </c>
      <c r="B13" s="1" t="s">
        <v>90</v>
      </c>
      <c r="C13" s="1" t="s">
        <v>93</v>
      </c>
      <c r="D13" s="1" t="s">
        <v>92</v>
      </c>
      <c r="E13" s="1">
        <v>17</v>
      </c>
      <c r="F13" s="1" t="s">
        <v>187</v>
      </c>
    </row>
    <row r="14" spans="1:16">
      <c r="A14" s="1" t="s">
        <v>69</v>
      </c>
      <c r="B14" s="1" t="s">
        <v>90</v>
      </c>
      <c r="C14" s="1" t="s">
        <v>87</v>
      </c>
      <c r="D14" s="1" t="s">
        <v>212</v>
      </c>
      <c r="E14" s="1">
        <v>12</v>
      </c>
      <c r="F14" s="1" t="s">
        <v>187</v>
      </c>
    </row>
    <row r="15" spans="1:16">
      <c r="A15" s="1" t="s">
        <v>70</v>
      </c>
      <c r="B15" s="1" t="s">
        <v>90</v>
      </c>
      <c r="C15" s="1" t="s">
        <v>87</v>
      </c>
      <c r="D15" s="1" t="s">
        <v>92</v>
      </c>
      <c r="E15" s="1">
        <v>12</v>
      </c>
      <c r="F15" s="1" t="s">
        <v>187</v>
      </c>
    </row>
    <row r="16" spans="1:16">
      <c r="A16" s="1" t="s">
        <v>71</v>
      </c>
      <c r="B16" s="1" t="s">
        <v>90</v>
      </c>
      <c r="C16" s="1" t="s">
        <v>93</v>
      </c>
      <c r="D16" s="1" t="s">
        <v>212</v>
      </c>
      <c r="E16" s="1">
        <v>12</v>
      </c>
      <c r="F16" s="1" t="s">
        <v>187</v>
      </c>
    </row>
    <row r="17" spans="1:6">
      <c r="A17" s="1" t="s">
        <v>72</v>
      </c>
      <c r="B17" s="1" t="s">
        <v>90</v>
      </c>
      <c r="C17" s="1" t="s">
        <v>93</v>
      </c>
      <c r="D17" s="1" t="s">
        <v>92</v>
      </c>
      <c r="E17" s="1">
        <v>12</v>
      </c>
      <c r="F17" s="1" t="s">
        <v>187</v>
      </c>
    </row>
    <row r="18" spans="1:6">
      <c r="A18" s="1" t="s">
        <v>73</v>
      </c>
      <c r="B18" s="1" t="s">
        <v>91</v>
      </c>
      <c r="C18" s="1" t="s">
        <v>87</v>
      </c>
      <c r="D18" s="1" t="s">
        <v>212</v>
      </c>
      <c r="E18" s="1">
        <v>17</v>
      </c>
      <c r="F18" s="1" t="s">
        <v>187</v>
      </c>
    </row>
    <row r="19" spans="1:6">
      <c r="A19" s="1" t="s">
        <v>74</v>
      </c>
      <c r="B19" s="1" t="s">
        <v>91</v>
      </c>
      <c r="C19" s="1" t="s">
        <v>87</v>
      </c>
      <c r="D19" s="1" t="s">
        <v>92</v>
      </c>
      <c r="E19" s="1">
        <v>17</v>
      </c>
      <c r="F19" s="1" t="s">
        <v>187</v>
      </c>
    </row>
    <row r="20" spans="1:6">
      <c r="A20" s="1" t="s">
        <v>75</v>
      </c>
      <c r="B20" s="1" t="s">
        <v>91</v>
      </c>
      <c r="C20" s="1" t="s">
        <v>93</v>
      </c>
      <c r="D20" s="1" t="s">
        <v>212</v>
      </c>
      <c r="E20" s="1">
        <v>17</v>
      </c>
      <c r="F20" s="1" t="s">
        <v>187</v>
      </c>
    </row>
    <row r="21" spans="1:6">
      <c r="A21" s="1" t="s">
        <v>76</v>
      </c>
      <c r="B21" s="1" t="s">
        <v>91</v>
      </c>
      <c r="C21" s="1" t="s">
        <v>93</v>
      </c>
      <c r="D21" s="1" t="s">
        <v>92</v>
      </c>
      <c r="E21" s="1">
        <v>17</v>
      </c>
      <c r="F21" s="1" t="s">
        <v>187</v>
      </c>
    </row>
    <row r="22" spans="1:6">
      <c r="A22" s="1" t="s">
        <v>77</v>
      </c>
      <c r="B22" s="1" t="s">
        <v>91</v>
      </c>
      <c r="C22" s="1" t="s">
        <v>87</v>
      </c>
      <c r="D22" s="1" t="s">
        <v>212</v>
      </c>
      <c r="E22" s="1">
        <v>12</v>
      </c>
      <c r="F22" s="1" t="s">
        <v>187</v>
      </c>
    </row>
    <row r="23" spans="1:6">
      <c r="A23" s="1" t="s">
        <v>78</v>
      </c>
      <c r="B23" s="1" t="s">
        <v>91</v>
      </c>
      <c r="C23" s="1" t="s">
        <v>87</v>
      </c>
      <c r="D23" s="1" t="s">
        <v>92</v>
      </c>
      <c r="E23" s="1">
        <v>12</v>
      </c>
      <c r="F23" s="1" t="s">
        <v>187</v>
      </c>
    </row>
    <row r="24" spans="1:6">
      <c r="A24" s="1" t="s">
        <v>79</v>
      </c>
      <c r="B24" s="1" t="s">
        <v>91</v>
      </c>
      <c r="C24" s="1" t="s">
        <v>93</v>
      </c>
      <c r="D24" s="1" t="s">
        <v>212</v>
      </c>
      <c r="E24" s="1">
        <v>12</v>
      </c>
      <c r="F24" s="1" t="s">
        <v>187</v>
      </c>
    </row>
    <row r="25" spans="1:6">
      <c r="A25" s="1" t="s">
        <v>80</v>
      </c>
      <c r="B25" s="1" t="s">
        <v>91</v>
      </c>
      <c r="C25" s="1" t="s">
        <v>93</v>
      </c>
      <c r="D25" s="1" t="s">
        <v>92</v>
      </c>
      <c r="E25" s="1">
        <v>12</v>
      </c>
      <c r="F25" s="1" t="s">
        <v>187</v>
      </c>
    </row>
    <row r="26" spans="1:6">
      <c r="A26" s="1" t="s">
        <v>81</v>
      </c>
      <c r="B26" s="1" t="s">
        <v>86</v>
      </c>
      <c r="C26" s="1" t="s">
        <v>95</v>
      </c>
      <c r="D26" s="1" t="s">
        <v>212</v>
      </c>
      <c r="E26" s="1">
        <v>17</v>
      </c>
      <c r="F26" s="1" t="s">
        <v>187</v>
      </c>
    </row>
    <row r="27" spans="1:6">
      <c r="A27" s="1" t="s">
        <v>82</v>
      </c>
      <c r="B27" s="1" t="s">
        <v>90</v>
      </c>
      <c r="C27" s="1" t="s">
        <v>95</v>
      </c>
      <c r="D27" s="1" t="s">
        <v>212</v>
      </c>
      <c r="E27" s="1">
        <v>17</v>
      </c>
      <c r="F27" s="1" t="s">
        <v>187</v>
      </c>
    </row>
    <row r="28" spans="1:6">
      <c r="A28" s="1" t="s">
        <v>83</v>
      </c>
      <c r="B28" s="1" t="s">
        <v>86</v>
      </c>
      <c r="C28" s="1" t="s">
        <v>87</v>
      </c>
      <c r="D28" s="1" t="s">
        <v>212</v>
      </c>
      <c r="E28" s="1">
        <v>17</v>
      </c>
      <c r="F28" s="1" t="s">
        <v>187</v>
      </c>
    </row>
    <row r="29" spans="1:6">
      <c r="A29" s="1" t="s">
        <v>84</v>
      </c>
      <c r="B29" s="1" t="s">
        <v>90</v>
      </c>
      <c r="C29" s="1" t="s">
        <v>87</v>
      </c>
      <c r="D29" s="1" t="s">
        <v>212</v>
      </c>
      <c r="E29" s="1">
        <v>17</v>
      </c>
      <c r="F29" s="1" t="s">
        <v>187</v>
      </c>
    </row>
    <row r="30" spans="1:6">
      <c r="A30" s="1" t="s">
        <v>94</v>
      </c>
      <c r="B30" s="1" t="s">
        <v>86</v>
      </c>
      <c r="C30" s="1" t="s">
        <v>93</v>
      </c>
      <c r="D30" s="1" t="s">
        <v>212</v>
      </c>
      <c r="E30" s="1">
        <v>17</v>
      </c>
      <c r="F30" s="1" t="s">
        <v>187</v>
      </c>
    </row>
    <row r="31" spans="1:6">
      <c r="A31" s="1" t="s">
        <v>104</v>
      </c>
      <c r="B31" s="1" t="s">
        <v>86</v>
      </c>
      <c r="C31" s="1" t="s">
        <v>105</v>
      </c>
      <c r="D31" s="1" t="s">
        <v>212</v>
      </c>
      <c r="E31" s="1">
        <v>17</v>
      </c>
      <c r="F31" s="1" t="s">
        <v>187</v>
      </c>
    </row>
    <row r="32" spans="1:6">
      <c r="A32" s="1" t="s">
        <v>184</v>
      </c>
      <c r="B32" s="1" t="s">
        <v>185</v>
      </c>
      <c r="C32" s="1" t="s">
        <v>87</v>
      </c>
      <c r="D32" s="1" t="s">
        <v>92</v>
      </c>
      <c r="E32" s="1">
        <v>12</v>
      </c>
      <c r="F32" s="1" t="s">
        <v>187</v>
      </c>
    </row>
    <row r="33" spans="1:6">
      <c r="A33" s="1" t="s">
        <v>213</v>
      </c>
      <c r="B33" s="1" t="s">
        <v>214</v>
      </c>
      <c r="C33" s="1" t="s">
        <v>87</v>
      </c>
      <c r="D33" s="1" t="s">
        <v>92</v>
      </c>
      <c r="E33" s="1">
        <v>12</v>
      </c>
      <c r="F33" s="1" t="s">
        <v>187</v>
      </c>
    </row>
    <row r="34" spans="1:6">
      <c r="A34" s="1" t="s">
        <v>215</v>
      </c>
      <c r="B34" s="1" t="s">
        <v>91</v>
      </c>
      <c r="C34" s="1" t="s">
        <v>87</v>
      </c>
      <c r="D34" s="1" t="s">
        <v>92</v>
      </c>
      <c r="E34" s="1">
        <v>12</v>
      </c>
      <c r="F34" s="1" t="s">
        <v>187</v>
      </c>
    </row>
    <row r="35" spans="1:6">
      <c r="A35" s="1" t="s">
        <v>216</v>
      </c>
      <c r="B35" s="1" t="s">
        <v>86</v>
      </c>
      <c r="C35" s="1" t="s">
        <v>87</v>
      </c>
      <c r="D35" s="1" t="s">
        <v>219</v>
      </c>
      <c r="E35" s="1">
        <v>12</v>
      </c>
      <c r="F35" s="1" t="s">
        <v>187</v>
      </c>
    </row>
    <row r="36" spans="1:6" customFormat="1">
      <c r="A36" s="1" t="s">
        <v>217</v>
      </c>
      <c r="B36" s="1" t="s">
        <v>90</v>
      </c>
      <c r="C36" s="1" t="s">
        <v>87</v>
      </c>
      <c r="D36" s="1" t="s">
        <v>219</v>
      </c>
      <c r="E36" s="1">
        <v>12</v>
      </c>
      <c r="F36" s="1" t="s">
        <v>187</v>
      </c>
    </row>
    <row r="37" spans="1:6" customFormat="1">
      <c r="A37" s="1" t="s">
        <v>218</v>
      </c>
      <c r="B37" s="1" t="s">
        <v>91</v>
      </c>
      <c r="C37" s="1" t="s">
        <v>87</v>
      </c>
      <c r="D37" s="1" t="s">
        <v>219</v>
      </c>
      <c r="E37" s="1">
        <v>12</v>
      </c>
      <c r="F37" s="1" t="s">
        <v>187</v>
      </c>
    </row>
    <row r="38" spans="1:6" customFormat="1">
      <c r="A38" s="1" t="s">
        <v>229</v>
      </c>
      <c r="B38" s="1" t="s">
        <v>86</v>
      </c>
      <c r="C38" s="1" t="s">
        <v>93</v>
      </c>
      <c r="D38" s="1" t="s">
        <v>92</v>
      </c>
      <c r="E38" s="1">
        <v>17</v>
      </c>
      <c r="F38" s="1" t="s">
        <v>187</v>
      </c>
    </row>
    <row r="39" spans="1:6" customFormat="1"/>
    <row r="40" spans="1:6" customFormat="1"/>
    <row r="41" spans="1:6" customFormat="1"/>
    <row r="42" spans="1:6" customFormat="1"/>
    <row r="43" spans="1:6" customFormat="1"/>
    <row r="44" spans="1:6" customFormat="1"/>
    <row r="45" spans="1:6" customFormat="1"/>
    <row r="46" spans="1:6" customFormat="1"/>
    <row r="47" spans="1:6" customFormat="1"/>
    <row r="48" spans="1:6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</sheetData>
  <mergeCells count="3">
    <mergeCell ref="H2:H5"/>
    <mergeCell ref="J4:L5"/>
    <mergeCell ref="I4:I5"/>
  </mergeCells>
  <phoneticPr fontId="1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1486-4C78-4A60-8FF8-4A9A87FC8519}">
  <sheetPr codeName="Sheet16">
    <tabColor rgb="FF00B050"/>
  </sheetPr>
  <dimension ref="A1:AR202"/>
  <sheetViews>
    <sheetView topLeftCell="A108" zoomScale="85" zoomScaleNormal="85" workbookViewId="0">
      <selection activeCell="N120" sqref="N120"/>
    </sheetView>
  </sheetViews>
  <sheetFormatPr defaultRowHeight="16.5"/>
  <cols>
    <col min="1" max="1" width="12.125" style="53" bestFit="1" customWidth="1"/>
    <col min="2" max="2" width="12.875" style="53" customWidth="1"/>
    <col min="3" max="3" width="12.875" style="237" customWidth="1"/>
    <col min="4" max="4" width="18.625" style="53" customWidth="1"/>
    <col min="5" max="5" width="20.625" style="54" bestFit="1" customWidth="1"/>
    <col min="6" max="6" width="17.75" style="54" bestFit="1" customWidth="1"/>
    <col min="7" max="7" width="13.5" style="53" customWidth="1"/>
    <col min="8" max="9" width="17.25" style="53" customWidth="1"/>
    <col min="10" max="10" width="15.25" style="53" customWidth="1"/>
    <col min="11" max="11" width="20.625" style="53" bestFit="1" customWidth="1"/>
    <col min="12" max="12" width="13.5" style="53" customWidth="1"/>
    <col min="13" max="13" width="15.25" style="53" bestFit="1" customWidth="1"/>
    <col min="14" max="14" width="20.625" style="53" bestFit="1" customWidth="1"/>
    <col min="15" max="15" width="18.125" style="53" customWidth="1"/>
    <col min="16" max="17" width="13.5" style="53" customWidth="1"/>
    <col min="18" max="18" width="13.5" style="237" customWidth="1"/>
    <col min="19" max="19" width="19.75" style="237" bestFit="1" customWidth="1"/>
    <col min="20" max="20" width="19.25" style="237" customWidth="1"/>
    <col min="21" max="21" width="13.5" style="237" customWidth="1"/>
    <col min="22" max="22" width="15.625" style="237" customWidth="1"/>
    <col min="23" max="23" width="33.875" style="237" bestFit="1" customWidth="1"/>
    <col min="24" max="24" width="14.375" style="237" bestFit="1" customWidth="1"/>
    <col min="25" max="25" width="13.5" style="237" customWidth="1"/>
    <col min="26" max="26" width="14.625" style="237" customWidth="1"/>
    <col min="27" max="27" width="9" style="237"/>
    <col min="28" max="28" width="10.625" style="237" bestFit="1" customWidth="1"/>
    <col min="29" max="29" width="13.375" style="237" bestFit="1" customWidth="1"/>
    <col min="30" max="43" width="9" style="237"/>
    <col min="44" max="16384" width="9" style="53"/>
  </cols>
  <sheetData>
    <row r="1" spans="1:21" ht="34.5" thickBot="1">
      <c r="A1" s="237"/>
      <c r="B1" s="237"/>
      <c r="D1" s="947" t="s">
        <v>7669</v>
      </c>
      <c r="E1" s="948"/>
      <c r="F1" s="948"/>
      <c r="G1" s="949"/>
      <c r="H1" s="237"/>
      <c r="I1" s="237"/>
      <c r="J1" s="950" t="s">
        <v>7670</v>
      </c>
      <c r="K1" s="950"/>
      <c r="L1" s="237"/>
      <c r="M1" s="951" t="s">
        <v>7671</v>
      </c>
      <c r="N1" s="952"/>
      <c r="O1" s="238"/>
      <c r="P1" s="953" t="s">
        <v>7672</v>
      </c>
      <c r="Q1" s="954"/>
      <c r="R1" s="954"/>
      <c r="S1" s="954"/>
      <c r="T1" s="954"/>
      <c r="U1" s="955"/>
    </row>
    <row r="2" spans="1:21" ht="50.25" thickBot="1">
      <c r="A2" s="237"/>
      <c r="B2" s="237"/>
      <c r="D2" s="239" t="s">
        <v>7673</v>
      </c>
      <c r="E2" s="239" t="s">
        <v>7674</v>
      </c>
      <c r="F2" s="239" t="s">
        <v>7675</v>
      </c>
      <c r="G2" s="239" t="s">
        <v>7676</v>
      </c>
      <c r="H2" s="240" t="s">
        <v>7677</v>
      </c>
      <c r="I2" s="240" t="s">
        <v>7678</v>
      </c>
      <c r="J2" s="956" t="s">
        <v>7679</v>
      </c>
      <c r="K2" s="956"/>
      <c r="L2" s="241"/>
      <c r="M2" s="242" t="s">
        <v>52</v>
      </c>
      <c r="N2" s="243" t="s">
        <v>7680</v>
      </c>
      <c r="O2" s="237"/>
      <c r="P2" s="242" t="s">
        <v>7681</v>
      </c>
      <c r="Q2" s="244" t="s">
        <v>7682</v>
      </c>
      <c r="R2" s="245" t="s">
        <v>7683</v>
      </c>
      <c r="S2" s="242" t="s">
        <v>7681</v>
      </c>
      <c r="T2" s="244" t="s">
        <v>7682</v>
      </c>
      <c r="U2" s="245" t="s">
        <v>7683</v>
      </c>
    </row>
    <row r="3" spans="1:21">
      <c r="A3" s="237"/>
      <c r="B3" s="237"/>
      <c r="D3" s="246" t="s">
        <v>7684</v>
      </c>
      <c r="E3" s="247">
        <v>748</v>
      </c>
      <c r="F3" s="248">
        <v>0.65</v>
      </c>
      <c r="G3" s="247">
        <f>ROUNDUP(E3/(1-F3),-1)</f>
        <v>2140</v>
      </c>
      <c r="H3" s="249"/>
      <c r="I3" s="250"/>
      <c r="J3" s="251"/>
      <c r="K3" s="237"/>
      <c r="L3" s="237"/>
      <c r="M3" s="252" t="s">
        <v>7685</v>
      </c>
      <c r="N3" s="253">
        <v>43304</v>
      </c>
      <c r="O3" s="237"/>
      <c r="P3" s="254" t="s">
        <v>7686</v>
      </c>
      <c r="Q3" s="255"/>
      <c r="R3" s="256">
        <v>3756000</v>
      </c>
      <c r="S3" s="257">
        <v>150</v>
      </c>
      <c r="T3" s="258">
        <v>1.2</v>
      </c>
      <c r="U3" s="259">
        <v>7018000</v>
      </c>
    </row>
    <row r="4" spans="1:21">
      <c r="A4" s="237"/>
      <c r="B4" s="237"/>
      <c r="D4" s="246" t="s">
        <v>7687</v>
      </c>
      <c r="E4" s="247">
        <v>948</v>
      </c>
      <c r="F4" s="260">
        <v>0.61499999999999999</v>
      </c>
      <c r="G4" s="247">
        <f>ROUNDUP(E4/(1-F4),-1)</f>
        <v>2470</v>
      </c>
      <c r="H4" s="261">
        <f t="shared" ref="H4:H12" si="0">G4*1.15</f>
        <v>2840.5</v>
      </c>
      <c r="I4" s="250">
        <f>H4*0.97</f>
        <v>2755.2849999999999</v>
      </c>
      <c r="J4" s="251"/>
      <c r="K4" s="237"/>
      <c r="L4" s="237"/>
      <c r="M4" s="262" t="s">
        <v>7688</v>
      </c>
      <c r="N4" s="263">
        <v>43496</v>
      </c>
      <c r="O4" s="237"/>
      <c r="P4" s="264" t="s">
        <v>7689</v>
      </c>
      <c r="Q4" s="235"/>
      <c r="R4" s="259">
        <v>2750000</v>
      </c>
      <c r="S4" s="264" t="s">
        <v>7690</v>
      </c>
      <c r="T4" s="258">
        <v>1</v>
      </c>
      <c r="U4" s="259">
        <v>19800000</v>
      </c>
    </row>
    <row r="5" spans="1:21">
      <c r="A5" s="237"/>
      <c r="B5" s="237"/>
      <c r="D5" s="246" t="s">
        <v>7691</v>
      </c>
      <c r="E5" s="247">
        <v>1488</v>
      </c>
      <c r="F5" s="248">
        <v>0.55000000000000004</v>
      </c>
      <c r="G5" s="247">
        <f>ROUNDUP(E5/(1-F5),-1)</f>
        <v>3310</v>
      </c>
      <c r="H5" s="261"/>
      <c r="I5" s="250"/>
      <c r="J5" s="237"/>
      <c r="K5" s="237"/>
      <c r="L5" s="237"/>
      <c r="M5" s="262" t="s">
        <v>7692</v>
      </c>
      <c r="N5" s="263">
        <v>42935</v>
      </c>
      <c r="O5" s="237"/>
      <c r="P5" s="264" t="s">
        <v>7693</v>
      </c>
      <c r="Q5" s="235"/>
      <c r="R5" s="259">
        <v>1800000</v>
      </c>
      <c r="S5" s="264" t="s">
        <v>7694</v>
      </c>
      <c r="T5" s="258">
        <v>1.3</v>
      </c>
      <c r="U5" s="259">
        <v>9160000</v>
      </c>
    </row>
    <row r="6" spans="1:21">
      <c r="A6" s="237"/>
      <c r="B6" s="237"/>
      <c r="D6" s="246" t="s">
        <v>7695</v>
      </c>
      <c r="E6" s="247">
        <v>1688</v>
      </c>
      <c r="F6" s="260">
        <v>0.53500000000000003</v>
      </c>
      <c r="G6" s="247">
        <f>ROUNDUP(E6/(1-F6),-1)</f>
        <v>3640</v>
      </c>
      <c r="H6" s="261">
        <f t="shared" si="0"/>
        <v>4186</v>
      </c>
      <c r="I6" s="250">
        <f t="shared" ref="I6:I12" si="1">H6*0.97</f>
        <v>4060.42</v>
      </c>
      <c r="J6" s="251"/>
      <c r="K6" s="237"/>
      <c r="L6" s="237"/>
      <c r="M6" s="262" t="s">
        <v>7696</v>
      </c>
      <c r="N6" s="263">
        <v>43072</v>
      </c>
      <c r="O6" s="237"/>
      <c r="P6" s="264" t="s">
        <v>7697</v>
      </c>
      <c r="Q6" s="235"/>
      <c r="R6" s="259">
        <v>3100000</v>
      </c>
      <c r="S6" s="264" t="s">
        <v>7698</v>
      </c>
      <c r="T6" s="258">
        <v>1</v>
      </c>
      <c r="U6" s="259">
        <v>28160000</v>
      </c>
    </row>
    <row r="7" spans="1:21">
      <c r="A7" s="237"/>
      <c r="B7" s="237"/>
      <c r="D7" s="246" t="s">
        <v>7699</v>
      </c>
      <c r="E7" s="247">
        <v>640</v>
      </c>
      <c r="F7" s="248">
        <v>0.6</v>
      </c>
      <c r="G7" s="247">
        <v>1610</v>
      </c>
      <c r="H7" s="261"/>
      <c r="I7" s="250"/>
      <c r="J7" s="237"/>
      <c r="K7" s="237"/>
      <c r="L7" s="237"/>
      <c r="M7" s="262" t="s">
        <v>7700</v>
      </c>
      <c r="N7" s="263">
        <v>42927</v>
      </c>
      <c r="O7" s="237"/>
      <c r="P7" s="264" t="s">
        <v>7701</v>
      </c>
      <c r="Q7" s="235"/>
      <c r="R7" s="259">
        <v>2500000</v>
      </c>
      <c r="S7" s="264" t="s">
        <v>7702</v>
      </c>
      <c r="T7" s="258">
        <v>1.5</v>
      </c>
      <c r="U7" s="259">
        <v>10700000</v>
      </c>
    </row>
    <row r="8" spans="1:21">
      <c r="A8" s="237"/>
      <c r="B8" s="237"/>
      <c r="D8" s="246" t="s">
        <v>7703</v>
      </c>
      <c r="E8" s="247">
        <v>840</v>
      </c>
      <c r="F8" s="248">
        <v>0.6</v>
      </c>
      <c r="G8" s="247">
        <v>2110</v>
      </c>
      <c r="H8" s="261">
        <f t="shared" si="0"/>
        <v>2426.5</v>
      </c>
      <c r="I8" s="250">
        <f t="shared" si="1"/>
        <v>2353.7049999999999</v>
      </c>
      <c r="J8" s="251"/>
      <c r="K8" s="237"/>
      <c r="L8" s="237"/>
      <c r="M8" s="262" t="s">
        <v>7704</v>
      </c>
      <c r="N8" s="263">
        <v>43352</v>
      </c>
      <c r="O8" s="237"/>
      <c r="P8" s="257">
        <v>8</v>
      </c>
      <c r="Q8" s="258">
        <v>0.8</v>
      </c>
      <c r="R8" s="259">
        <v>647000</v>
      </c>
      <c r="S8" s="264" t="s">
        <v>7705</v>
      </c>
      <c r="T8" s="265">
        <v>0.95</v>
      </c>
      <c r="U8" s="259">
        <v>8160000</v>
      </c>
    </row>
    <row r="9" spans="1:21">
      <c r="A9" s="237"/>
      <c r="B9" s="237"/>
      <c r="D9" s="246" t="s">
        <v>7706</v>
      </c>
      <c r="E9" s="247">
        <v>1380</v>
      </c>
      <c r="F9" s="248">
        <v>0.44</v>
      </c>
      <c r="G9" s="247">
        <v>2470</v>
      </c>
      <c r="H9" s="261"/>
      <c r="I9" s="250"/>
      <c r="J9" s="237"/>
      <c r="K9" s="237"/>
      <c r="L9" s="237"/>
      <c r="M9" s="262" t="s">
        <v>7707</v>
      </c>
      <c r="N9" s="263">
        <v>43509</v>
      </c>
      <c r="O9" s="237"/>
      <c r="P9" s="257">
        <v>12</v>
      </c>
      <c r="Q9" s="258">
        <v>1</v>
      </c>
      <c r="R9" s="259">
        <v>575000</v>
      </c>
      <c r="S9" s="264" t="s">
        <v>7708</v>
      </c>
      <c r="T9" s="258">
        <v>1</v>
      </c>
      <c r="U9" s="259">
        <v>8880000</v>
      </c>
    </row>
    <row r="10" spans="1:21">
      <c r="A10" s="237"/>
      <c r="B10" s="237"/>
      <c r="D10" s="246" t="s">
        <v>7709</v>
      </c>
      <c r="E10" s="247">
        <v>1580</v>
      </c>
      <c r="F10" s="248">
        <v>0.44</v>
      </c>
      <c r="G10" s="247">
        <v>2830</v>
      </c>
      <c r="H10" s="261">
        <f t="shared" si="0"/>
        <v>3254.4999999999995</v>
      </c>
      <c r="I10" s="250">
        <f t="shared" si="1"/>
        <v>3156.8649999999993</v>
      </c>
      <c r="J10" s="266">
        <f>H10*1300</f>
        <v>4230849.9999999991</v>
      </c>
      <c r="K10" s="237"/>
      <c r="L10" s="237"/>
      <c r="M10" s="262" t="s">
        <v>7710</v>
      </c>
      <c r="N10" s="263">
        <v>43327</v>
      </c>
      <c r="O10" s="237"/>
      <c r="P10" s="257">
        <v>20</v>
      </c>
      <c r="Q10" s="258">
        <v>1</v>
      </c>
      <c r="R10" s="259">
        <v>380000</v>
      </c>
      <c r="S10" s="264" t="s">
        <v>7711</v>
      </c>
      <c r="T10" s="258">
        <v>1</v>
      </c>
      <c r="U10" s="259">
        <v>10560000</v>
      </c>
    </row>
    <row r="11" spans="1:21">
      <c r="A11" s="237"/>
      <c r="B11" s="237"/>
      <c r="D11" s="246" t="s">
        <v>7712</v>
      </c>
      <c r="E11" s="247">
        <v>6642</v>
      </c>
      <c r="F11" s="248">
        <v>0.3</v>
      </c>
      <c r="G11" s="247">
        <v>9490</v>
      </c>
      <c r="H11" s="261"/>
      <c r="I11" s="250"/>
      <c r="J11" s="237"/>
      <c r="K11" s="237"/>
      <c r="L11" s="237"/>
      <c r="M11" s="262" t="s">
        <v>7713</v>
      </c>
      <c r="N11" s="263">
        <v>43526</v>
      </c>
      <c r="O11" s="237"/>
      <c r="P11" s="257">
        <v>35</v>
      </c>
      <c r="Q11" s="258">
        <v>1</v>
      </c>
      <c r="R11" s="259">
        <v>919000</v>
      </c>
      <c r="S11" s="264" t="s">
        <v>7714</v>
      </c>
      <c r="T11" s="258">
        <v>1.2</v>
      </c>
      <c r="U11" s="259">
        <v>13900000</v>
      </c>
    </row>
    <row r="12" spans="1:21">
      <c r="A12" s="237"/>
      <c r="B12" s="237"/>
      <c r="D12" s="246" t="s">
        <v>7715</v>
      </c>
      <c r="E12" s="247">
        <v>6892</v>
      </c>
      <c r="F12" s="248">
        <v>0.4</v>
      </c>
      <c r="G12" s="247">
        <v>11490</v>
      </c>
      <c r="H12" s="261">
        <f t="shared" si="0"/>
        <v>13213.499999999998</v>
      </c>
      <c r="I12" s="250">
        <f t="shared" si="1"/>
        <v>12817.094999999998</v>
      </c>
      <c r="J12" s="237"/>
      <c r="K12" s="237"/>
      <c r="L12" s="237"/>
      <c r="M12" s="262" t="s">
        <v>7716</v>
      </c>
      <c r="N12" s="263">
        <v>43003</v>
      </c>
      <c r="O12" s="237"/>
      <c r="P12" s="257">
        <v>50</v>
      </c>
      <c r="Q12" s="258">
        <v>1</v>
      </c>
      <c r="R12" s="259">
        <v>1264000</v>
      </c>
      <c r="S12" s="267">
        <v>3</v>
      </c>
      <c r="T12" s="268">
        <v>45</v>
      </c>
      <c r="U12" s="259">
        <v>141000</v>
      </c>
    </row>
    <row r="13" spans="1:21">
      <c r="A13" s="237"/>
      <c r="B13" s="237"/>
      <c r="D13" s="237"/>
      <c r="E13" s="269"/>
      <c r="F13" s="269"/>
      <c r="G13" s="237"/>
      <c r="H13" s="237"/>
      <c r="I13" s="237"/>
      <c r="J13" s="237"/>
      <c r="K13" s="237"/>
      <c r="L13" s="237"/>
      <c r="M13" s="262" t="s">
        <v>7717</v>
      </c>
      <c r="N13" s="263">
        <v>42998</v>
      </c>
      <c r="O13" s="237"/>
      <c r="P13" s="257">
        <v>75</v>
      </c>
      <c r="Q13" s="258">
        <v>1</v>
      </c>
      <c r="R13" s="259">
        <v>1723000</v>
      </c>
      <c r="S13" s="267">
        <v>3</v>
      </c>
      <c r="T13" s="268">
        <v>60</v>
      </c>
      <c r="U13" s="259">
        <v>337000</v>
      </c>
    </row>
    <row r="14" spans="1:21">
      <c r="A14" s="237"/>
      <c r="B14" s="237"/>
      <c r="D14" s="237"/>
      <c r="E14" s="269"/>
      <c r="F14" s="269"/>
      <c r="G14" s="237"/>
      <c r="H14" s="237"/>
      <c r="I14" s="237"/>
      <c r="J14" s="237"/>
      <c r="K14" s="237"/>
      <c r="L14" s="237"/>
      <c r="M14" s="262" t="s">
        <v>7718</v>
      </c>
      <c r="N14" s="263">
        <v>43615</v>
      </c>
      <c r="O14" s="237"/>
      <c r="P14" s="257">
        <v>100</v>
      </c>
      <c r="Q14" s="258">
        <v>1</v>
      </c>
      <c r="R14" s="259">
        <v>3016000</v>
      </c>
      <c r="S14" s="267">
        <v>3</v>
      </c>
      <c r="T14" s="268">
        <v>85</v>
      </c>
      <c r="U14" s="259">
        <v>534000</v>
      </c>
    </row>
    <row r="15" spans="1:21">
      <c r="A15" s="237"/>
      <c r="B15" s="237"/>
      <c r="D15" s="237"/>
      <c r="E15" s="269"/>
      <c r="F15" s="269"/>
      <c r="G15" s="237"/>
      <c r="H15" s="237"/>
      <c r="I15" s="237"/>
      <c r="J15" s="237"/>
      <c r="K15" s="237"/>
      <c r="L15" s="237"/>
      <c r="M15" s="270" t="s">
        <v>7719</v>
      </c>
      <c r="N15" s="271">
        <v>43232</v>
      </c>
      <c r="O15" s="237"/>
      <c r="P15" s="257">
        <v>100</v>
      </c>
      <c r="Q15" s="258">
        <v>1</v>
      </c>
      <c r="R15" s="259">
        <v>3016000</v>
      </c>
      <c r="S15" s="267">
        <v>3</v>
      </c>
      <c r="T15" s="268">
        <v>30</v>
      </c>
      <c r="U15" s="259">
        <v>85000</v>
      </c>
    </row>
    <row r="16" spans="1:21" ht="17.25" thickBot="1">
      <c r="A16" s="237"/>
      <c r="B16" s="237"/>
      <c r="D16" s="237"/>
      <c r="F16" s="269"/>
      <c r="G16" s="251"/>
      <c r="H16" s="237"/>
      <c r="I16" s="237"/>
      <c r="J16" s="237"/>
      <c r="K16" s="237"/>
      <c r="L16" s="237"/>
      <c r="M16" s="262" t="s">
        <v>7720</v>
      </c>
      <c r="N16" s="263">
        <v>43634</v>
      </c>
      <c r="O16" s="237"/>
      <c r="P16" s="257">
        <v>100</v>
      </c>
      <c r="Q16" s="258">
        <v>1.2</v>
      </c>
      <c r="R16" s="259">
        <v>2260000</v>
      </c>
      <c r="S16" s="272">
        <v>3</v>
      </c>
      <c r="T16" s="273">
        <v>110</v>
      </c>
      <c r="U16" s="259">
        <v>1350000</v>
      </c>
    </row>
    <row r="17" spans="1:44" ht="17.25" thickBot="1">
      <c r="A17" s="237"/>
      <c r="B17" s="237"/>
      <c r="D17" s="237"/>
      <c r="E17" s="269"/>
      <c r="F17" s="269"/>
      <c r="G17" s="237"/>
      <c r="H17" s="237"/>
      <c r="I17" s="237"/>
      <c r="J17" s="237"/>
      <c r="K17" s="237"/>
      <c r="L17" s="237"/>
      <c r="M17" s="274" t="s">
        <v>7721</v>
      </c>
      <c r="N17" s="275">
        <v>42702</v>
      </c>
      <c r="O17" s="237"/>
      <c r="P17" s="257">
        <v>130</v>
      </c>
      <c r="Q17" s="258">
        <v>1</v>
      </c>
      <c r="R17" s="259">
        <v>7750000</v>
      </c>
      <c r="S17" s="276" t="s">
        <v>7722</v>
      </c>
      <c r="T17" s="277"/>
      <c r="U17" s="278">
        <v>50000</v>
      </c>
    </row>
    <row r="18" spans="1:44">
      <c r="A18" s="237"/>
      <c r="B18" s="237"/>
      <c r="D18" s="237"/>
      <c r="E18" s="269"/>
      <c r="F18" s="269"/>
      <c r="G18" s="237"/>
      <c r="H18" s="237"/>
      <c r="I18" s="237"/>
      <c r="J18" s="237"/>
      <c r="K18" s="237"/>
      <c r="L18" s="237"/>
      <c r="M18" s="237"/>
      <c r="N18" s="237"/>
      <c r="O18" s="237"/>
      <c r="P18" s="257">
        <v>130</v>
      </c>
      <c r="Q18" s="258">
        <v>1.2</v>
      </c>
      <c r="R18" s="259">
        <v>5320000</v>
      </c>
      <c r="U18" s="279"/>
    </row>
    <row r="19" spans="1:44" ht="34.5" thickBot="1">
      <c r="A19" s="237"/>
      <c r="B19" s="237"/>
      <c r="D19" s="237"/>
      <c r="E19" s="280" t="s">
        <v>7723</v>
      </c>
      <c r="F19" s="281">
        <v>1603</v>
      </c>
      <c r="G19" s="280" t="s">
        <v>7724</v>
      </c>
      <c r="H19" s="282">
        <f>ROUNDUP((F19*(1+0.08))/(1-0.2), -1)</f>
        <v>2170</v>
      </c>
      <c r="I19" s="283">
        <f>H19*1300</f>
        <v>2821000</v>
      </c>
      <c r="J19" s="284"/>
      <c r="K19" s="237"/>
      <c r="L19" s="237"/>
      <c r="M19" s="237"/>
      <c r="N19" s="237"/>
      <c r="O19" s="237"/>
      <c r="P19" s="285">
        <v>150</v>
      </c>
      <c r="Q19" s="286">
        <v>1</v>
      </c>
      <c r="R19" s="287">
        <v>10807000</v>
      </c>
      <c r="S19" s="288"/>
      <c r="T19" s="288"/>
      <c r="U19" s="289"/>
      <c r="Z19" s="290"/>
    </row>
    <row r="20" spans="1:44" s="237" customFormat="1" ht="16.5" customHeight="1">
      <c r="E20" s="269"/>
      <c r="F20" s="269"/>
      <c r="H20" s="237" t="s">
        <v>7725</v>
      </c>
      <c r="I20" s="291" t="s">
        <v>7726</v>
      </c>
      <c r="V20" s="292"/>
      <c r="W20" s="293"/>
      <c r="X20" s="294"/>
      <c r="Y20" s="295"/>
      <c r="Z20" s="295"/>
    </row>
    <row r="21" spans="1:44" ht="39" customHeight="1" thickBot="1">
      <c r="A21" s="290"/>
      <c r="B21" s="944"/>
      <c r="C21" s="945"/>
      <c r="D21" s="944"/>
      <c r="E21" s="945"/>
      <c r="F21" s="945"/>
      <c r="G21" s="945"/>
      <c r="H21" s="945"/>
      <c r="I21" s="945"/>
      <c r="J21" s="945"/>
      <c r="K21" s="945"/>
      <c r="L21" s="945"/>
      <c r="M21" s="945"/>
      <c r="N21" s="944"/>
      <c r="O21" s="944"/>
      <c r="P21" s="944"/>
      <c r="Q21" s="944"/>
      <c r="R21" s="944"/>
      <c r="S21" s="944"/>
      <c r="T21" s="944"/>
      <c r="U21" s="946"/>
      <c r="V21" s="290"/>
      <c r="W21" s="293"/>
      <c r="X21" s="294"/>
      <c r="Y21" s="295"/>
      <c r="Z21" s="295"/>
    </row>
    <row r="22" spans="1:44" ht="61.5" customHeight="1" thickBot="1">
      <c r="A22" s="237"/>
      <c r="B22" s="296"/>
      <c r="C22" s="297"/>
      <c r="D22" s="298" t="s">
        <v>7727</v>
      </c>
      <c r="E22" s="299" t="s">
        <v>7728</v>
      </c>
      <c r="F22" s="300" t="s">
        <v>7729</v>
      </c>
      <c r="G22" s="300" t="s">
        <v>7730</v>
      </c>
      <c r="H22" s="300" t="s">
        <v>7731</v>
      </c>
      <c r="I22" s="300" t="s">
        <v>7732</v>
      </c>
      <c r="J22" s="300" t="s">
        <v>7733</v>
      </c>
      <c r="K22" s="300" t="s">
        <v>7734</v>
      </c>
      <c r="L22" s="301" t="s">
        <v>7735</v>
      </c>
      <c r="M22" s="302" t="s">
        <v>7727</v>
      </c>
      <c r="N22" s="303" t="s">
        <v>7728</v>
      </c>
      <c r="O22" s="304" t="s">
        <v>7729</v>
      </c>
      <c r="P22" s="304" t="s">
        <v>7736</v>
      </c>
      <c r="Q22" s="304" t="s">
        <v>7737</v>
      </c>
      <c r="R22" s="304" t="s">
        <v>7738</v>
      </c>
      <c r="S22" s="304" t="s">
        <v>7739</v>
      </c>
      <c r="T22" s="304" t="s">
        <v>7740</v>
      </c>
      <c r="U22" s="305" t="s">
        <v>7741</v>
      </c>
      <c r="W22" s="293"/>
      <c r="X22" s="294"/>
      <c r="Y22" s="295"/>
      <c r="Z22" s="295"/>
    </row>
    <row r="23" spans="1:44" ht="16.5" customHeight="1">
      <c r="A23" s="936"/>
      <c r="B23" s="306">
        <f t="shared" ref="B23:B52" si="2">G23-$G$3</f>
        <v>850</v>
      </c>
      <c r="C23" s="251"/>
      <c r="D23" s="937" t="s">
        <v>7742</v>
      </c>
      <c r="E23" s="307" t="s">
        <v>7743</v>
      </c>
      <c r="F23" s="308" t="s">
        <v>7744</v>
      </c>
      <c r="G23" s="306">
        <v>2990</v>
      </c>
      <c r="H23" s="306">
        <v>3140</v>
      </c>
      <c r="I23" s="306">
        <v>3320</v>
      </c>
      <c r="J23" s="306">
        <v>3470</v>
      </c>
      <c r="K23" s="309">
        <v>2380</v>
      </c>
      <c r="L23" s="310">
        <v>2880</v>
      </c>
      <c r="M23" s="940" t="s">
        <v>7745</v>
      </c>
      <c r="N23" s="311" t="s">
        <v>7746</v>
      </c>
      <c r="O23" s="312" t="s">
        <v>7744</v>
      </c>
      <c r="P23" s="313">
        <v>4230</v>
      </c>
      <c r="Q23" s="313">
        <v>4380</v>
      </c>
      <c r="R23" s="313">
        <v>4560</v>
      </c>
      <c r="S23" s="313">
        <v>4710</v>
      </c>
      <c r="T23" s="314"/>
      <c r="U23" s="315"/>
      <c r="W23" s="293"/>
      <c r="X23" s="294"/>
      <c r="Y23" s="295"/>
      <c r="Z23" s="295"/>
    </row>
    <row r="24" spans="1:44" ht="16.5" customHeight="1">
      <c r="A24" s="936"/>
      <c r="B24" s="316">
        <f t="shared" si="2"/>
        <v>970</v>
      </c>
      <c r="C24" s="251"/>
      <c r="D24" s="938"/>
      <c r="E24" s="317" t="s">
        <v>7747</v>
      </c>
      <c r="F24" s="318" t="s">
        <v>7744</v>
      </c>
      <c r="G24" s="316">
        <v>3110</v>
      </c>
      <c r="H24" s="316">
        <v>3260</v>
      </c>
      <c r="I24" s="316">
        <v>3440</v>
      </c>
      <c r="J24" s="316">
        <v>3590</v>
      </c>
      <c r="K24" s="194"/>
      <c r="L24" s="319"/>
      <c r="M24" s="941"/>
      <c r="N24" s="317" t="s">
        <v>7748</v>
      </c>
      <c r="O24" s="318" t="s">
        <v>7744</v>
      </c>
      <c r="P24" s="316">
        <v>4080</v>
      </c>
      <c r="Q24" s="316">
        <v>4230</v>
      </c>
      <c r="R24" s="316">
        <v>4410</v>
      </c>
      <c r="S24" s="316">
        <v>4560</v>
      </c>
      <c r="T24" s="194"/>
      <c r="U24" s="319"/>
      <c r="W24" s="320" t="s">
        <v>7749</v>
      </c>
      <c r="X24" s="321"/>
      <c r="Y24" s="322"/>
      <c r="Z24" s="322"/>
      <c r="AA24" s="322"/>
    </row>
    <row r="25" spans="1:44" ht="16.5" customHeight="1">
      <c r="A25" s="936"/>
      <c r="B25" s="316">
        <f t="shared" si="2"/>
        <v>810</v>
      </c>
      <c r="C25" s="251"/>
      <c r="D25" s="938"/>
      <c r="E25" s="317" t="s">
        <v>7750</v>
      </c>
      <c r="F25" s="318" t="s">
        <v>7744</v>
      </c>
      <c r="G25" s="316">
        <v>2950</v>
      </c>
      <c r="H25" s="316">
        <v>3100</v>
      </c>
      <c r="I25" s="316">
        <v>3280</v>
      </c>
      <c r="J25" s="316">
        <v>3430</v>
      </c>
      <c r="K25" s="323">
        <v>2220</v>
      </c>
      <c r="L25" s="324">
        <v>2720</v>
      </c>
      <c r="M25" s="941"/>
      <c r="N25" s="317" t="s">
        <v>7750</v>
      </c>
      <c r="O25" s="318" t="s">
        <v>7744</v>
      </c>
      <c r="P25" s="316">
        <v>3920</v>
      </c>
      <c r="Q25" s="316">
        <v>4070</v>
      </c>
      <c r="R25" s="316">
        <v>4250</v>
      </c>
      <c r="S25" s="316">
        <v>4400</v>
      </c>
      <c r="T25" s="325">
        <v>3080</v>
      </c>
      <c r="U25" s="326">
        <v>3440</v>
      </c>
      <c r="W25" s="943" t="s">
        <v>7751</v>
      </c>
      <c r="X25" s="943"/>
      <c r="Y25" s="930" t="s">
        <v>7752</v>
      </c>
      <c r="Z25" s="932" t="s">
        <v>7753</v>
      </c>
      <c r="AA25" s="927" t="s">
        <v>7754</v>
      </c>
      <c r="AB25" s="328"/>
      <c r="AR25" s="237"/>
    </row>
    <row r="26" spans="1:44" ht="16.5" customHeight="1">
      <c r="A26" s="936"/>
      <c r="B26" s="316">
        <f t="shared" si="2"/>
        <v>470</v>
      </c>
      <c r="C26" s="251"/>
      <c r="D26" s="938"/>
      <c r="E26" s="317" t="s">
        <v>7755</v>
      </c>
      <c r="F26" s="318" t="s">
        <v>7744</v>
      </c>
      <c r="G26" s="316">
        <v>2610</v>
      </c>
      <c r="H26" s="316">
        <v>2760</v>
      </c>
      <c r="I26" s="316">
        <v>2940</v>
      </c>
      <c r="J26" s="316">
        <v>3090</v>
      </c>
      <c r="K26" s="323">
        <v>1880</v>
      </c>
      <c r="L26" s="324">
        <v>2380</v>
      </c>
      <c r="M26" s="941"/>
      <c r="N26" s="317">
        <v>8</v>
      </c>
      <c r="O26" s="318" t="s">
        <v>7744</v>
      </c>
      <c r="P26" s="316">
        <v>3580</v>
      </c>
      <c r="Q26" s="316">
        <v>3730</v>
      </c>
      <c r="R26" s="316">
        <v>3910</v>
      </c>
      <c r="S26" s="316">
        <v>4060</v>
      </c>
      <c r="T26" s="325">
        <v>2740</v>
      </c>
      <c r="U26" s="326">
        <v>3100</v>
      </c>
      <c r="W26" s="327" t="s">
        <v>7756</v>
      </c>
      <c r="X26" s="327" t="s">
        <v>7757</v>
      </c>
      <c r="Y26" s="931"/>
      <c r="Z26" s="932"/>
      <c r="AA26" s="927"/>
      <c r="AB26" s="328" t="s">
        <v>7758</v>
      </c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</row>
    <row r="27" spans="1:44" ht="16.5" customHeight="1">
      <c r="A27" s="936"/>
      <c r="B27" s="316">
        <f t="shared" si="2"/>
        <v>540</v>
      </c>
      <c r="C27" s="251"/>
      <c r="D27" s="938"/>
      <c r="E27" s="317" t="s">
        <v>7755</v>
      </c>
      <c r="F27" s="318" t="s">
        <v>7287</v>
      </c>
      <c r="G27" s="316">
        <v>2680</v>
      </c>
      <c r="H27" s="316">
        <v>2830</v>
      </c>
      <c r="I27" s="329">
        <v>3010</v>
      </c>
      <c r="J27" s="316">
        <v>3160</v>
      </c>
      <c r="K27" s="316">
        <v>1950</v>
      </c>
      <c r="L27" s="329">
        <v>2450</v>
      </c>
      <c r="M27" s="941"/>
      <c r="N27" s="317">
        <v>8</v>
      </c>
      <c r="O27" s="318" t="s">
        <v>7759</v>
      </c>
      <c r="P27" s="316">
        <v>3650</v>
      </c>
      <c r="Q27" s="316">
        <v>3800</v>
      </c>
      <c r="R27" s="329">
        <v>3980</v>
      </c>
      <c r="S27" s="316">
        <v>4130</v>
      </c>
      <c r="T27" s="316">
        <v>2810</v>
      </c>
      <c r="U27" s="329">
        <v>3170</v>
      </c>
      <c r="W27" s="327" t="s">
        <v>7760</v>
      </c>
      <c r="X27" s="327" t="s">
        <v>7761</v>
      </c>
      <c r="Y27" s="327"/>
      <c r="Z27" s="330">
        <v>40</v>
      </c>
      <c r="AA27" s="331">
        <f>ROUNDUP(Z27*(1+0.08)*(1+0.2), -1)</f>
        <v>60</v>
      </c>
      <c r="AB27" s="331">
        <f>(Z27*1.08)/(1-0.1)</f>
        <v>48</v>
      </c>
      <c r="AC27" s="332">
        <f>AB27*1400</f>
        <v>67200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</row>
    <row r="28" spans="1:44" ht="16.5" customHeight="1">
      <c r="A28" s="936"/>
      <c r="B28" s="316">
        <f t="shared" si="2"/>
        <v>470</v>
      </c>
      <c r="C28" s="251"/>
      <c r="D28" s="938"/>
      <c r="E28" s="317">
        <v>12</v>
      </c>
      <c r="F28" s="318" t="s">
        <v>7744</v>
      </c>
      <c r="G28" s="316">
        <v>2610</v>
      </c>
      <c r="H28" s="316">
        <v>2760</v>
      </c>
      <c r="I28" s="316">
        <v>2940</v>
      </c>
      <c r="J28" s="316">
        <v>3090</v>
      </c>
      <c r="K28" s="323">
        <v>1880</v>
      </c>
      <c r="L28" s="324">
        <v>2380</v>
      </c>
      <c r="M28" s="941"/>
      <c r="N28" s="317">
        <v>12</v>
      </c>
      <c r="O28" s="318" t="s">
        <v>7744</v>
      </c>
      <c r="P28" s="316">
        <v>3580</v>
      </c>
      <c r="Q28" s="316">
        <v>3730</v>
      </c>
      <c r="R28" s="316">
        <v>3910</v>
      </c>
      <c r="S28" s="316">
        <v>4060</v>
      </c>
      <c r="T28" s="323">
        <v>2740</v>
      </c>
      <c r="U28" s="324">
        <v>3100</v>
      </c>
      <c r="W28" s="327" t="s">
        <v>7762</v>
      </c>
      <c r="X28" s="327" t="s">
        <v>7761</v>
      </c>
      <c r="Y28" s="327">
        <v>62.3</v>
      </c>
      <c r="Z28" s="330">
        <v>60</v>
      </c>
      <c r="AA28" s="331">
        <f t="shared" ref="AA28:AA34" si="3">ROUNDUP(Z28*(1+0.08)*(1+0.2), -1)</f>
        <v>80</v>
      </c>
      <c r="AB28" s="331">
        <f t="shared" ref="AB28:AB34" si="4">(Z28*1.08)/(1-0.1)</f>
        <v>72.000000000000014</v>
      </c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</row>
    <row r="29" spans="1:44" ht="16.5" customHeight="1">
      <c r="A29" s="936"/>
      <c r="B29" s="316">
        <f t="shared" si="2"/>
        <v>560</v>
      </c>
      <c r="C29" s="251"/>
      <c r="D29" s="938"/>
      <c r="E29" s="317">
        <v>12</v>
      </c>
      <c r="F29" s="318" t="s">
        <v>7763</v>
      </c>
      <c r="G29" s="316">
        <v>2700</v>
      </c>
      <c r="H29" s="316">
        <v>2850</v>
      </c>
      <c r="I29" s="316">
        <v>3030</v>
      </c>
      <c r="J29" s="316">
        <v>3180</v>
      </c>
      <c r="K29" s="323">
        <v>1970</v>
      </c>
      <c r="L29" s="324">
        <v>2470</v>
      </c>
      <c r="M29" s="941"/>
      <c r="N29" s="317">
        <v>12</v>
      </c>
      <c r="O29" s="318" t="s">
        <v>7763</v>
      </c>
      <c r="P29" s="316">
        <v>3670</v>
      </c>
      <c r="Q29" s="316">
        <v>3820</v>
      </c>
      <c r="R29" s="316">
        <v>4000</v>
      </c>
      <c r="S29" s="316">
        <v>4150</v>
      </c>
      <c r="T29" s="323">
        <v>2830</v>
      </c>
      <c r="U29" s="324">
        <v>3190</v>
      </c>
      <c r="W29" s="327" t="s">
        <v>7764</v>
      </c>
      <c r="X29" s="327" t="s">
        <v>7765</v>
      </c>
      <c r="Y29" s="327">
        <v>155.6</v>
      </c>
      <c r="Z29" s="330">
        <v>187</v>
      </c>
      <c r="AA29" s="331">
        <f t="shared" si="3"/>
        <v>250</v>
      </c>
      <c r="AB29" s="331">
        <f t="shared" si="4"/>
        <v>224.4</v>
      </c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</row>
    <row r="30" spans="1:44" ht="16.5" customHeight="1">
      <c r="A30" s="936"/>
      <c r="B30" s="316">
        <f t="shared" si="2"/>
        <v>420</v>
      </c>
      <c r="C30" s="251"/>
      <c r="D30" s="938"/>
      <c r="E30" s="317">
        <v>20</v>
      </c>
      <c r="F30" s="318" t="s">
        <v>7744</v>
      </c>
      <c r="G30" s="316">
        <v>2560</v>
      </c>
      <c r="H30" s="316">
        <v>2710</v>
      </c>
      <c r="I30" s="316">
        <v>2890</v>
      </c>
      <c r="J30" s="316">
        <v>3040</v>
      </c>
      <c r="K30" s="323">
        <v>1830</v>
      </c>
      <c r="L30" s="324">
        <v>2330</v>
      </c>
      <c r="M30" s="941"/>
      <c r="N30" s="317">
        <v>20</v>
      </c>
      <c r="O30" s="318" t="s">
        <v>7744</v>
      </c>
      <c r="P30" s="316">
        <v>3530</v>
      </c>
      <c r="Q30" s="316">
        <v>3680</v>
      </c>
      <c r="R30" s="316">
        <v>3860</v>
      </c>
      <c r="S30" s="316">
        <v>4010</v>
      </c>
      <c r="T30" s="323">
        <v>2690</v>
      </c>
      <c r="U30" s="324">
        <v>3050</v>
      </c>
      <c r="W30" s="327" t="s">
        <v>7766</v>
      </c>
      <c r="X30" s="327" t="s">
        <v>7765</v>
      </c>
      <c r="Y30" s="327">
        <v>306.35000000000002</v>
      </c>
      <c r="Z30" s="330">
        <v>359</v>
      </c>
      <c r="AA30" s="331">
        <f t="shared" si="3"/>
        <v>470</v>
      </c>
      <c r="AB30" s="331">
        <f t="shared" si="4"/>
        <v>430.8</v>
      </c>
      <c r="AC30" s="53"/>
      <c r="AD30" s="332">
        <f>AA30*1200</f>
        <v>564000</v>
      </c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</row>
    <row r="31" spans="1:44" ht="16.5" customHeight="1">
      <c r="A31" s="936"/>
      <c r="B31" s="316">
        <f t="shared" si="2"/>
        <v>470</v>
      </c>
      <c r="C31" s="251"/>
      <c r="D31" s="938"/>
      <c r="E31" s="317">
        <v>20</v>
      </c>
      <c r="F31" s="318" t="s">
        <v>7763</v>
      </c>
      <c r="G31" s="316">
        <v>2610</v>
      </c>
      <c r="H31" s="316">
        <v>2760</v>
      </c>
      <c r="I31" s="316">
        <v>2940</v>
      </c>
      <c r="J31" s="316">
        <v>3090</v>
      </c>
      <c r="K31" s="323">
        <v>1880</v>
      </c>
      <c r="L31" s="324">
        <v>2380</v>
      </c>
      <c r="M31" s="941"/>
      <c r="N31" s="317">
        <v>20</v>
      </c>
      <c r="O31" s="318" t="s">
        <v>7763</v>
      </c>
      <c r="P31" s="316">
        <v>3580</v>
      </c>
      <c r="Q31" s="316">
        <v>3730</v>
      </c>
      <c r="R31" s="316">
        <v>3910</v>
      </c>
      <c r="S31" s="316">
        <v>4060</v>
      </c>
      <c r="T31" s="323">
        <v>2740</v>
      </c>
      <c r="U31" s="324">
        <v>3100</v>
      </c>
      <c r="W31" s="327" t="s">
        <v>7767</v>
      </c>
      <c r="X31" s="327" t="s">
        <v>7768</v>
      </c>
      <c r="Y31" s="327"/>
      <c r="Z31" s="330">
        <v>640</v>
      </c>
      <c r="AA31" s="331">
        <f t="shared" si="3"/>
        <v>830</v>
      </c>
      <c r="AB31" s="331">
        <f t="shared" si="4"/>
        <v>768</v>
      </c>
      <c r="AC31" s="53"/>
      <c r="AD31" s="332">
        <f>AA31*1200</f>
        <v>996000</v>
      </c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</row>
    <row r="32" spans="1:44" ht="16.5" customHeight="1">
      <c r="A32" s="936"/>
      <c r="B32" s="316">
        <f t="shared" si="2"/>
        <v>610</v>
      </c>
      <c r="C32" s="251"/>
      <c r="D32" s="938"/>
      <c r="E32" s="317">
        <v>35</v>
      </c>
      <c r="F32" s="318" t="s">
        <v>7744</v>
      </c>
      <c r="G32" s="316">
        <v>2750</v>
      </c>
      <c r="H32" s="316">
        <v>2900</v>
      </c>
      <c r="I32" s="316">
        <v>3080</v>
      </c>
      <c r="J32" s="316">
        <v>3230</v>
      </c>
      <c r="K32" s="323">
        <v>2020</v>
      </c>
      <c r="L32" s="324">
        <v>2520</v>
      </c>
      <c r="M32" s="941"/>
      <c r="N32" s="317">
        <v>35</v>
      </c>
      <c r="O32" s="318" t="s">
        <v>7744</v>
      </c>
      <c r="P32" s="316">
        <v>3720</v>
      </c>
      <c r="Q32" s="316">
        <v>3870</v>
      </c>
      <c r="R32" s="316">
        <v>4050</v>
      </c>
      <c r="S32" s="316">
        <v>4200</v>
      </c>
      <c r="T32" s="323">
        <v>2880</v>
      </c>
      <c r="U32" s="324">
        <v>3240</v>
      </c>
      <c r="W32" s="327" t="s">
        <v>7767</v>
      </c>
      <c r="X32" s="327" t="s">
        <v>7769</v>
      </c>
      <c r="Y32" s="327"/>
      <c r="Z32" s="330">
        <v>718</v>
      </c>
      <c r="AA32" s="331">
        <f t="shared" si="3"/>
        <v>940</v>
      </c>
      <c r="AB32" s="331">
        <f t="shared" si="4"/>
        <v>861.6</v>
      </c>
      <c r="AC32" s="53"/>
      <c r="AD32" s="332">
        <f>AA32*1200</f>
        <v>1128000</v>
      </c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</row>
    <row r="33" spans="1:43" ht="16.5" customHeight="1">
      <c r="A33" s="936"/>
      <c r="B33" s="316">
        <f t="shared" si="2"/>
        <v>680</v>
      </c>
      <c r="C33" s="251"/>
      <c r="D33" s="938"/>
      <c r="E33" s="317">
        <v>35</v>
      </c>
      <c r="F33" s="318" t="s">
        <v>7763</v>
      </c>
      <c r="G33" s="316">
        <v>2820</v>
      </c>
      <c r="H33" s="316">
        <v>2970</v>
      </c>
      <c r="I33" s="316">
        <v>3150</v>
      </c>
      <c r="J33" s="316">
        <v>3300</v>
      </c>
      <c r="K33" s="323">
        <v>2090</v>
      </c>
      <c r="L33" s="324">
        <v>2590</v>
      </c>
      <c r="M33" s="941"/>
      <c r="N33" s="317">
        <v>35</v>
      </c>
      <c r="O33" s="318" t="s">
        <v>7763</v>
      </c>
      <c r="P33" s="316">
        <v>3790</v>
      </c>
      <c r="Q33" s="316">
        <v>3940</v>
      </c>
      <c r="R33" s="316">
        <v>4120</v>
      </c>
      <c r="S33" s="316">
        <v>4270</v>
      </c>
      <c r="T33" s="323">
        <v>2950</v>
      </c>
      <c r="U33" s="324">
        <v>3310</v>
      </c>
      <c r="W33" s="327" t="s">
        <v>7770</v>
      </c>
      <c r="X33" s="327" t="s">
        <v>7769</v>
      </c>
      <c r="Y33" s="327"/>
      <c r="Z33" s="330">
        <v>750</v>
      </c>
      <c r="AA33" s="331">
        <f t="shared" si="3"/>
        <v>980</v>
      </c>
      <c r="AB33" s="331">
        <f t="shared" si="4"/>
        <v>900</v>
      </c>
      <c r="AC33" s="53"/>
      <c r="AD33" s="332">
        <f>AA33*1200</f>
        <v>1176000</v>
      </c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</row>
    <row r="34" spans="1:43" ht="16.5" customHeight="1">
      <c r="A34" s="936"/>
      <c r="B34" s="316">
        <f t="shared" si="2"/>
        <v>1280</v>
      </c>
      <c r="C34" s="251"/>
      <c r="D34" s="938"/>
      <c r="E34" s="317">
        <v>50</v>
      </c>
      <c r="F34" s="318" t="s">
        <v>7744</v>
      </c>
      <c r="G34" s="316">
        <v>3420</v>
      </c>
      <c r="H34" s="316">
        <v>3570</v>
      </c>
      <c r="I34" s="316">
        <v>3750</v>
      </c>
      <c r="J34" s="316">
        <v>3900</v>
      </c>
      <c r="K34" s="323">
        <v>2690</v>
      </c>
      <c r="L34" s="324">
        <v>3190</v>
      </c>
      <c r="M34" s="941"/>
      <c r="N34" s="317">
        <v>50</v>
      </c>
      <c r="O34" s="318" t="s">
        <v>7744</v>
      </c>
      <c r="P34" s="316">
        <v>4390</v>
      </c>
      <c r="Q34" s="316">
        <v>4540</v>
      </c>
      <c r="R34" s="316">
        <v>4720</v>
      </c>
      <c r="S34" s="316">
        <v>4870</v>
      </c>
      <c r="T34" s="323">
        <v>3550</v>
      </c>
      <c r="U34" s="324">
        <v>3910</v>
      </c>
      <c r="W34" s="327">
        <v>175</v>
      </c>
      <c r="X34" s="327">
        <v>6</v>
      </c>
      <c r="Y34" s="327"/>
      <c r="Z34" s="330">
        <v>2200</v>
      </c>
      <c r="AA34" s="331">
        <f t="shared" si="3"/>
        <v>2860</v>
      </c>
      <c r="AB34" s="331">
        <f t="shared" si="4"/>
        <v>2640</v>
      </c>
      <c r="AC34" s="53"/>
      <c r="AD34" s="53">
        <f>1200*690</f>
        <v>828000</v>
      </c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</row>
    <row r="35" spans="1:43" ht="16.5" customHeight="1">
      <c r="A35" s="936"/>
      <c r="B35" s="316">
        <f t="shared" si="2"/>
        <v>1370</v>
      </c>
      <c r="C35" s="251"/>
      <c r="D35" s="938"/>
      <c r="E35" s="317">
        <v>50</v>
      </c>
      <c r="F35" s="318" t="s">
        <v>7763</v>
      </c>
      <c r="G35" s="316">
        <v>3510</v>
      </c>
      <c r="H35" s="316">
        <v>3660</v>
      </c>
      <c r="I35" s="316">
        <v>3840</v>
      </c>
      <c r="J35" s="316">
        <v>3990</v>
      </c>
      <c r="K35" s="323">
        <v>2780</v>
      </c>
      <c r="L35" s="324">
        <v>3280</v>
      </c>
      <c r="M35" s="941"/>
      <c r="N35" s="317">
        <v>50</v>
      </c>
      <c r="O35" s="318" t="s">
        <v>7763</v>
      </c>
      <c r="P35" s="316">
        <v>4480</v>
      </c>
      <c r="Q35" s="316">
        <v>4630</v>
      </c>
      <c r="R35" s="316">
        <v>4810</v>
      </c>
      <c r="S35" s="316">
        <v>4960</v>
      </c>
      <c r="T35" s="323">
        <v>3640</v>
      </c>
      <c r="U35" s="324">
        <v>4000</v>
      </c>
      <c r="W35" s="294">
        <v>112</v>
      </c>
      <c r="X35" s="294">
        <v>5</v>
      </c>
      <c r="Y35" s="294">
        <v>956</v>
      </c>
      <c r="Z35" s="295"/>
      <c r="AA35" s="295">
        <v>690</v>
      </c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</row>
    <row r="36" spans="1:43" ht="16.5" customHeight="1">
      <c r="A36" s="936"/>
      <c r="B36" s="316">
        <f t="shared" si="2"/>
        <v>1770</v>
      </c>
      <c r="C36" s="251"/>
      <c r="D36" s="938"/>
      <c r="E36" s="317">
        <v>75</v>
      </c>
      <c r="F36" s="318" t="s">
        <v>7744</v>
      </c>
      <c r="G36" s="316">
        <v>3910</v>
      </c>
      <c r="H36" s="316">
        <v>4060</v>
      </c>
      <c r="I36" s="316">
        <v>4240</v>
      </c>
      <c r="J36" s="316">
        <v>4390</v>
      </c>
      <c r="K36" s="323">
        <v>3180</v>
      </c>
      <c r="L36" s="324">
        <v>3680</v>
      </c>
      <c r="M36" s="941"/>
      <c r="N36" s="317">
        <v>75</v>
      </c>
      <c r="O36" s="318" t="s">
        <v>7744</v>
      </c>
      <c r="P36" s="316">
        <v>4880</v>
      </c>
      <c r="Q36" s="316">
        <v>5030</v>
      </c>
      <c r="R36" s="316">
        <v>5210</v>
      </c>
      <c r="S36" s="316">
        <v>5360</v>
      </c>
      <c r="T36" s="323">
        <v>4040</v>
      </c>
      <c r="U36" s="324">
        <v>4400</v>
      </c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</row>
    <row r="37" spans="1:43" ht="16.5" customHeight="1">
      <c r="A37" s="936"/>
      <c r="B37" s="316">
        <f t="shared" si="2"/>
        <v>1820</v>
      </c>
      <c r="C37" s="251"/>
      <c r="D37" s="938"/>
      <c r="E37" s="317">
        <v>75</v>
      </c>
      <c r="F37" s="318" t="s">
        <v>7763</v>
      </c>
      <c r="G37" s="316">
        <v>3960</v>
      </c>
      <c r="H37" s="316">
        <v>4110</v>
      </c>
      <c r="I37" s="316">
        <v>4290</v>
      </c>
      <c r="J37" s="316">
        <v>4440</v>
      </c>
      <c r="K37" s="323">
        <v>3230</v>
      </c>
      <c r="L37" s="324">
        <v>3730</v>
      </c>
      <c r="M37" s="941"/>
      <c r="N37" s="317">
        <v>75</v>
      </c>
      <c r="O37" s="318" t="s">
        <v>7763</v>
      </c>
      <c r="P37" s="316">
        <v>4930</v>
      </c>
      <c r="Q37" s="316">
        <v>5080</v>
      </c>
      <c r="R37" s="316">
        <v>5260</v>
      </c>
      <c r="S37" s="316">
        <v>5410</v>
      </c>
      <c r="T37" s="323">
        <v>4090</v>
      </c>
      <c r="U37" s="324">
        <v>4450</v>
      </c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</row>
    <row r="38" spans="1:43" ht="16.5" customHeight="1">
      <c r="A38" s="936"/>
      <c r="B38" s="316">
        <f t="shared" si="2"/>
        <v>2870</v>
      </c>
      <c r="C38" s="251"/>
      <c r="D38" s="938"/>
      <c r="E38" s="317">
        <v>100</v>
      </c>
      <c r="F38" s="318" t="s">
        <v>7744</v>
      </c>
      <c r="G38" s="316">
        <v>5010</v>
      </c>
      <c r="H38" s="316">
        <v>5160</v>
      </c>
      <c r="I38" s="316">
        <v>5340</v>
      </c>
      <c r="J38" s="316">
        <v>5490</v>
      </c>
      <c r="K38" s="325">
        <v>4180</v>
      </c>
      <c r="L38" s="326">
        <v>4680</v>
      </c>
      <c r="M38" s="941"/>
      <c r="N38" s="317">
        <v>100</v>
      </c>
      <c r="O38" s="318" t="s">
        <v>7744</v>
      </c>
      <c r="P38" s="316">
        <v>5880</v>
      </c>
      <c r="Q38" s="316">
        <v>6030</v>
      </c>
      <c r="R38" s="316">
        <v>6210</v>
      </c>
      <c r="S38" s="316">
        <v>6360</v>
      </c>
      <c r="T38" s="323">
        <v>5040</v>
      </c>
      <c r="U38" s="324">
        <v>5400</v>
      </c>
      <c r="W38" s="928" t="s">
        <v>7771</v>
      </c>
      <c r="X38" s="928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</row>
    <row r="39" spans="1:43" ht="16.5" customHeight="1">
      <c r="A39" s="936"/>
      <c r="B39" s="316">
        <f t="shared" si="2"/>
        <v>2950</v>
      </c>
      <c r="C39" s="251"/>
      <c r="D39" s="938"/>
      <c r="E39" s="317">
        <v>100</v>
      </c>
      <c r="F39" s="318" t="s">
        <v>7763</v>
      </c>
      <c r="G39" s="316">
        <v>5090</v>
      </c>
      <c r="H39" s="316">
        <v>5240</v>
      </c>
      <c r="I39" s="316">
        <v>5420</v>
      </c>
      <c r="J39" s="316">
        <v>5570</v>
      </c>
      <c r="K39" s="325">
        <v>4260</v>
      </c>
      <c r="L39" s="326">
        <v>4760</v>
      </c>
      <c r="M39" s="941"/>
      <c r="N39" s="317">
        <v>100</v>
      </c>
      <c r="O39" s="318" t="s">
        <v>7763</v>
      </c>
      <c r="P39" s="316">
        <v>5960</v>
      </c>
      <c r="Q39" s="316">
        <v>6110</v>
      </c>
      <c r="R39" s="316">
        <v>6290</v>
      </c>
      <c r="S39" s="316">
        <v>6440</v>
      </c>
      <c r="T39" s="323">
        <v>5120</v>
      </c>
      <c r="U39" s="324">
        <v>5480</v>
      </c>
      <c r="W39" s="333" t="s">
        <v>7772</v>
      </c>
      <c r="X39" s="333">
        <v>1840</v>
      </c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</row>
    <row r="40" spans="1:43" ht="16.5" customHeight="1">
      <c r="A40" s="936"/>
      <c r="B40" s="316">
        <f t="shared" si="2"/>
        <v>2460</v>
      </c>
      <c r="C40" s="251"/>
      <c r="D40" s="938"/>
      <c r="E40" s="317" t="s">
        <v>7773</v>
      </c>
      <c r="F40" s="318" t="s">
        <v>7763</v>
      </c>
      <c r="G40" s="316">
        <v>4600</v>
      </c>
      <c r="H40" s="316">
        <v>4750</v>
      </c>
      <c r="I40" s="316">
        <v>4930</v>
      </c>
      <c r="J40" s="316">
        <v>5080</v>
      </c>
      <c r="K40" s="325">
        <v>3770</v>
      </c>
      <c r="L40" s="326">
        <v>4270</v>
      </c>
      <c r="M40" s="941"/>
      <c r="N40" s="317" t="s">
        <v>7773</v>
      </c>
      <c r="O40" s="318" t="s">
        <v>7763</v>
      </c>
      <c r="P40" s="316">
        <v>5470</v>
      </c>
      <c r="Q40" s="316">
        <v>5620</v>
      </c>
      <c r="R40" s="316">
        <v>5800</v>
      </c>
      <c r="S40" s="316">
        <v>5950</v>
      </c>
      <c r="T40" s="323">
        <v>4630</v>
      </c>
      <c r="U40" s="324">
        <v>4990</v>
      </c>
      <c r="W40" s="333" t="s">
        <v>7774</v>
      </c>
      <c r="X40" s="333">
        <v>1850</v>
      </c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</row>
    <row r="41" spans="1:43" ht="16.5" customHeight="1">
      <c r="A41" s="936"/>
      <c r="B41" s="316">
        <f t="shared" si="2"/>
        <v>4220</v>
      </c>
      <c r="C41" s="251"/>
      <c r="D41" s="938"/>
      <c r="E41" s="317" t="s">
        <v>7775</v>
      </c>
      <c r="F41" s="318" t="s">
        <v>7763</v>
      </c>
      <c r="G41" s="316">
        <v>6360</v>
      </c>
      <c r="H41" s="316">
        <v>6510</v>
      </c>
      <c r="I41" s="316">
        <v>6690</v>
      </c>
      <c r="J41" s="316">
        <v>6840</v>
      </c>
      <c r="K41" s="325">
        <v>5530</v>
      </c>
      <c r="L41" s="326">
        <v>6030</v>
      </c>
      <c r="M41" s="941"/>
      <c r="N41" s="317" t="s">
        <v>7775</v>
      </c>
      <c r="O41" s="318" t="s">
        <v>7763</v>
      </c>
      <c r="P41" s="316">
        <v>7230</v>
      </c>
      <c r="Q41" s="316">
        <v>7380</v>
      </c>
      <c r="R41" s="316">
        <v>7560</v>
      </c>
      <c r="S41" s="316">
        <v>7710</v>
      </c>
      <c r="T41" s="323">
        <v>6390</v>
      </c>
      <c r="U41" s="324">
        <v>6750</v>
      </c>
      <c r="W41" s="333" t="s">
        <v>7776</v>
      </c>
      <c r="X41" s="333">
        <v>2250</v>
      </c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</row>
    <row r="42" spans="1:43" ht="16.5" customHeight="1">
      <c r="A42" s="936"/>
      <c r="B42" s="316">
        <f t="shared" si="2"/>
        <v>7590</v>
      </c>
      <c r="C42" s="251"/>
      <c r="D42" s="938"/>
      <c r="E42" s="317" t="s">
        <v>7777</v>
      </c>
      <c r="F42" s="318" t="s">
        <v>7763</v>
      </c>
      <c r="G42" s="316">
        <v>9730</v>
      </c>
      <c r="H42" s="316">
        <v>9880</v>
      </c>
      <c r="I42" s="316">
        <v>10060</v>
      </c>
      <c r="J42" s="316">
        <v>10210</v>
      </c>
      <c r="K42" s="325">
        <v>8900</v>
      </c>
      <c r="L42" s="326">
        <v>9400</v>
      </c>
      <c r="M42" s="941"/>
      <c r="N42" s="317" t="s">
        <v>7777</v>
      </c>
      <c r="O42" s="318" t="s">
        <v>7763</v>
      </c>
      <c r="P42" s="316">
        <v>10600</v>
      </c>
      <c r="Q42" s="316">
        <v>10750</v>
      </c>
      <c r="R42" s="316">
        <v>10930</v>
      </c>
      <c r="S42" s="316">
        <v>11080</v>
      </c>
      <c r="T42" s="323">
        <v>9760</v>
      </c>
      <c r="U42" s="324">
        <v>10120</v>
      </c>
      <c r="W42" s="333" t="s">
        <v>7778</v>
      </c>
      <c r="X42" s="333">
        <f>X41-X40</f>
        <v>400</v>
      </c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</row>
    <row r="43" spans="1:43" ht="16.5" customHeight="1">
      <c r="A43" s="936"/>
      <c r="B43" s="316">
        <f t="shared" si="2"/>
        <v>5030</v>
      </c>
      <c r="C43" s="251"/>
      <c r="D43" s="938"/>
      <c r="E43" s="317" t="s">
        <v>7779</v>
      </c>
      <c r="F43" s="318" t="s">
        <v>7763</v>
      </c>
      <c r="G43" s="316">
        <v>7170</v>
      </c>
      <c r="H43" s="316">
        <v>7320</v>
      </c>
      <c r="I43" s="316">
        <v>7500</v>
      </c>
      <c r="J43" s="316">
        <v>7650</v>
      </c>
      <c r="K43" s="325">
        <v>6340</v>
      </c>
      <c r="L43" s="326">
        <v>6840</v>
      </c>
      <c r="M43" s="941"/>
      <c r="N43" s="317" t="s">
        <v>7779</v>
      </c>
      <c r="O43" s="318" t="s">
        <v>7763</v>
      </c>
      <c r="P43" s="316">
        <v>8040</v>
      </c>
      <c r="Q43" s="316">
        <v>8190</v>
      </c>
      <c r="R43" s="316">
        <v>8370</v>
      </c>
      <c r="S43" s="316">
        <v>8520</v>
      </c>
      <c r="T43" s="323">
        <v>7200</v>
      </c>
      <c r="U43" s="324">
        <v>7560</v>
      </c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</row>
    <row r="44" spans="1:43" ht="16.5" customHeight="1">
      <c r="A44" s="936"/>
      <c r="B44" s="316">
        <f t="shared" si="2"/>
        <v>10700</v>
      </c>
      <c r="C44" s="251"/>
      <c r="D44" s="938"/>
      <c r="E44" s="317" t="s">
        <v>7780</v>
      </c>
      <c r="F44" s="318" t="s">
        <v>7763</v>
      </c>
      <c r="G44" s="316">
        <v>12840</v>
      </c>
      <c r="H44" s="316">
        <v>12990</v>
      </c>
      <c r="I44" s="316">
        <v>13170</v>
      </c>
      <c r="J44" s="316">
        <v>13320</v>
      </c>
      <c r="K44" s="325">
        <v>12010</v>
      </c>
      <c r="L44" s="326">
        <v>12510</v>
      </c>
      <c r="M44" s="941"/>
      <c r="N44" s="317" t="s">
        <v>7780</v>
      </c>
      <c r="O44" s="318" t="s">
        <v>7763</v>
      </c>
      <c r="P44" s="316">
        <v>13710</v>
      </c>
      <c r="Q44" s="316">
        <v>13860</v>
      </c>
      <c r="R44" s="316">
        <v>14040</v>
      </c>
      <c r="S44" s="316">
        <v>14190</v>
      </c>
      <c r="T44" s="325">
        <v>12870</v>
      </c>
      <c r="U44" s="326">
        <v>13230</v>
      </c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</row>
    <row r="45" spans="1:43" ht="16.5" customHeight="1">
      <c r="A45" s="936"/>
      <c r="B45" s="316">
        <f t="shared" si="2"/>
        <v>6510</v>
      </c>
      <c r="C45" s="251"/>
      <c r="D45" s="938"/>
      <c r="E45" s="317" t="s">
        <v>7296</v>
      </c>
      <c r="F45" s="318" t="s">
        <v>7763</v>
      </c>
      <c r="G45" s="316">
        <v>8650</v>
      </c>
      <c r="H45" s="316">
        <v>8800</v>
      </c>
      <c r="I45" s="316">
        <v>8980</v>
      </c>
      <c r="J45" s="316">
        <v>9130</v>
      </c>
      <c r="K45" s="325">
        <v>7820</v>
      </c>
      <c r="L45" s="326">
        <v>8320</v>
      </c>
      <c r="M45" s="941"/>
      <c r="N45" s="317" t="s">
        <v>7296</v>
      </c>
      <c r="O45" s="318" t="s">
        <v>7763</v>
      </c>
      <c r="P45" s="316">
        <v>9520</v>
      </c>
      <c r="Q45" s="316">
        <v>9670</v>
      </c>
      <c r="R45" s="316">
        <v>9850</v>
      </c>
      <c r="S45" s="316">
        <v>10000</v>
      </c>
      <c r="T45" s="325">
        <v>8680</v>
      </c>
      <c r="U45" s="326">
        <v>9040</v>
      </c>
      <c r="W45" s="929" t="s">
        <v>7781</v>
      </c>
      <c r="X45" s="929"/>
      <c r="Y45" s="929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</row>
    <row r="46" spans="1:43" ht="16.5" customHeight="1">
      <c r="A46" s="936"/>
      <c r="B46" s="316">
        <f t="shared" si="2"/>
        <v>19200</v>
      </c>
      <c r="C46" s="251"/>
      <c r="D46" s="938"/>
      <c r="E46" s="317" t="s">
        <v>7782</v>
      </c>
      <c r="F46" s="318" t="s">
        <v>7763</v>
      </c>
      <c r="G46" s="316">
        <v>21340</v>
      </c>
      <c r="H46" s="316">
        <v>21490</v>
      </c>
      <c r="I46" s="316">
        <v>21670</v>
      </c>
      <c r="J46" s="316">
        <v>21820</v>
      </c>
      <c r="K46" s="325">
        <v>20510</v>
      </c>
      <c r="L46" s="326">
        <v>21010</v>
      </c>
      <c r="M46" s="941"/>
      <c r="N46" s="317" t="s">
        <v>7782</v>
      </c>
      <c r="O46" s="318" t="s">
        <v>7763</v>
      </c>
      <c r="P46" s="316">
        <v>22210</v>
      </c>
      <c r="Q46" s="316">
        <v>22360</v>
      </c>
      <c r="R46" s="316">
        <v>22540</v>
      </c>
      <c r="S46" s="316">
        <v>22690</v>
      </c>
      <c r="T46" s="325">
        <v>21370</v>
      </c>
      <c r="U46" s="326">
        <v>21730</v>
      </c>
      <c r="W46" s="929" t="s">
        <v>7783</v>
      </c>
      <c r="X46" s="929" t="s">
        <v>7784</v>
      </c>
      <c r="Y46" s="929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</row>
    <row r="47" spans="1:43" ht="16.5" customHeight="1">
      <c r="A47" s="936"/>
      <c r="B47" s="316">
        <f t="shared" si="2"/>
        <v>9080</v>
      </c>
      <c r="C47" s="251"/>
      <c r="D47" s="938"/>
      <c r="E47" s="317" t="s">
        <v>7785</v>
      </c>
      <c r="F47" s="318" t="s">
        <v>7763</v>
      </c>
      <c r="G47" s="316">
        <v>11220</v>
      </c>
      <c r="H47" s="316">
        <v>11370</v>
      </c>
      <c r="I47" s="316">
        <v>11550</v>
      </c>
      <c r="J47" s="316">
        <v>11700</v>
      </c>
      <c r="K47" s="325">
        <v>10390</v>
      </c>
      <c r="L47" s="326">
        <v>10890</v>
      </c>
      <c r="M47" s="941"/>
      <c r="N47" s="317" t="s">
        <v>7785</v>
      </c>
      <c r="O47" s="318" t="s">
        <v>7763</v>
      </c>
      <c r="P47" s="316">
        <v>12090</v>
      </c>
      <c r="Q47" s="316">
        <v>12240</v>
      </c>
      <c r="R47" s="316">
        <v>12420</v>
      </c>
      <c r="S47" s="316">
        <v>12570</v>
      </c>
      <c r="T47" s="325">
        <v>11250</v>
      </c>
      <c r="U47" s="326">
        <v>11610</v>
      </c>
      <c r="W47" s="929"/>
      <c r="X47" s="334" t="s">
        <v>7175</v>
      </c>
      <c r="Y47" s="334" t="s">
        <v>7786</v>
      </c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</row>
    <row r="48" spans="1:43" ht="16.5" customHeight="1">
      <c r="A48" s="936"/>
      <c r="B48" s="316">
        <f t="shared" si="2"/>
        <v>7590</v>
      </c>
      <c r="C48" s="251"/>
      <c r="D48" s="938"/>
      <c r="E48" s="317" t="s">
        <v>7787</v>
      </c>
      <c r="F48" s="318" t="s">
        <v>7763</v>
      </c>
      <c r="G48" s="316">
        <v>9730</v>
      </c>
      <c r="H48" s="316">
        <v>9880</v>
      </c>
      <c r="I48" s="316">
        <v>10060</v>
      </c>
      <c r="J48" s="316">
        <v>10210</v>
      </c>
      <c r="K48" s="325">
        <v>8900</v>
      </c>
      <c r="L48" s="326">
        <v>9400</v>
      </c>
      <c r="M48" s="941"/>
      <c r="N48" s="317" t="s">
        <v>7787</v>
      </c>
      <c r="O48" s="318" t="s">
        <v>7763</v>
      </c>
      <c r="P48" s="316">
        <v>10600</v>
      </c>
      <c r="Q48" s="316">
        <v>10750</v>
      </c>
      <c r="R48" s="316">
        <v>10930</v>
      </c>
      <c r="S48" s="316">
        <v>11080</v>
      </c>
      <c r="T48" s="325">
        <v>9760</v>
      </c>
      <c r="U48" s="326">
        <v>10120</v>
      </c>
      <c r="W48" s="334" t="s">
        <v>7788</v>
      </c>
      <c r="X48" s="335" t="s">
        <v>7789</v>
      </c>
      <c r="Y48" s="335" t="s">
        <v>7790</v>
      </c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</row>
    <row r="49" spans="1:43" ht="16.5" customHeight="1">
      <c r="A49" s="936"/>
      <c r="B49" s="316">
        <f t="shared" si="2"/>
        <v>12120</v>
      </c>
      <c r="C49" s="251"/>
      <c r="D49" s="938"/>
      <c r="E49" s="317" t="s">
        <v>7791</v>
      </c>
      <c r="F49" s="318" t="s">
        <v>7763</v>
      </c>
      <c r="G49" s="316">
        <v>14260</v>
      </c>
      <c r="H49" s="316">
        <v>14410</v>
      </c>
      <c r="I49" s="316">
        <v>14590</v>
      </c>
      <c r="J49" s="316">
        <v>14740</v>
      </c>
      <c r="K49" s="325">
        <v>13430</v>
      </c>
      <c r="L49" s="326">
        <v>13930</v>
      </c>
      <c r="M49" s="941"/>
      <c r="N49" s="317" t="s">
        <v>7791</v>
      </c>
      <c r="O49" s="318" t="s">
        <v>7763</v>
      </c>
      <c r="P49" s="316">
        <v>15130</v>
      </c>
      <c r="Q49" s="316">
        <v>15280</v>
      </c>
      <c r="R49" s="316">
        <v>15460</v>
      </c>
      <c r="S49" s="316">
        <v>15610</v>
      </c>
      <c r="T49" s="325">
        <v>14290</v>
      </c>
      <c r="U49" s="326">
        <v>14650</v>
      </c>
      <c r="W49" s="334" t="s">
        <v>7792</v>
      </c>
      <c r="X49" s="335" t="s">
        <v>7789</v>
      </c>
      <c r="Y49" s="335" t="s">
        <v>7790</v>
      </c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</row>
    <row r="50" spans="1:43" ht="16.5" customHeight="1">
      <c r="A50" s="936"/>
      <c r="B50" s="316">
        <f t="shared" si="2"/>
        <v>27300</v>
      </c>
      <c r="C50" s="251"/>
      <c r="D50" s="938"/>
      <c r="E50" s="317" t="s">
        <v>7793</v>
      </c>
      <c r="F50" s="318" t="s">
        <v>7763</v>
      </c>
      <c r="G50" s="316">
        <v>29440</v>
      </c>
      <c r="H50" s="316">
        <v>29590</v>
      </c>
      <c r="I50" s="316">
        <v>29770</v>
      </c>
      <c r="J50" s="316">
        <v>29920</v>
      </c>
      <c r="K50" s="325">
        <v>28610</v>
      </c>
      <c r="L50" s="326">
        <v>29110</v>
      </c>
      <c r="M50" s="941"/>
      <c r="N50" s="317" t="s">
        <v>7793</v>
      </c>
      <c r="O50" s="318" t="s">
        <v>7763</v>
      </c>
      <c r="P50" s="316">
        <v>30310</v>
      </c>
      <c r="Q50" s="316">
        <v>30460</v>
      </c>
      <c r="R50" s="316">
        <v>30640</v>
      </c>
      <c r="S50" s="316">
        <v>30790</v>
      </c>
      <c r="T50" s="325">
        <v>29470</v>
      </c>
      <c r="U50" s="326">
        <v>29830</v>
      </c>
      <c r="W50" s="334" t="s">
        <v>7794</v>
      </c>
      <c r="X50" s="335" t="s">
        <v>7789</v>
      </c>
      <c r="Y50" s="335" t="s">
        <v>7790</v>
      </c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</row>
    <row r="51" spans="1:43" ht="16.5" customHeight="1">
      <c r="A51" s="936"/>
      <c r="B51" s="316">
        <f t="shared" si="2"/>
        <v>23250</v>
      </c>
      <c r="C51" s="251"/>
      <c r="D51" s="938"/>
      <c r="E51" s="317" t="s">
        <v>7795</v>
      </c>
      <c r="F51" s="318" t="s">
        <v>7763</v>
      </c>
      <c r="G51" s="316">
        <v>25390</v>
      </c>
      <c r="H51" s="316">
        <v>25540</v>
      </c>
      <c r="I51" s="316">
        <v>25720</v>
      </c>
      <c r="J51" s="316">
        <v>25870</v>
      </c>
      <c r="K51" s="325">
        <v>24560</v>
      </c>
      <c r="L51" s="326">
        <v>25060</v>
      </c>
      <c r="M51" s="941"/>
      <c r="N51" s="317" t="s">
        <v>7795</v>
      </c>
      <c r="O51" s="318" t="s">
        <v>7763</v>
      </c>
      <c r="P51" s="316">
        <v>26260</v>
      </c>
      <c r="Q51" s="316">
        <v>26410</v>
      </c>
      <c r="R51" s="316">
        <v>26590</v>
      </c>
      <c r="S51" s="316">
        <v>26740</v>
      </c>
      <c r="T51" s="325">
        <v>25420</v>
      </c>
      <c r="U51" s="326">
        <v>25780</v>
      </c>
      <c r="W51" s="334" t="s">
        <v>7796</v>
      </c>
      <c r="X51" s="335" t="s">
        <v>7789</v>
      </c>
      <c r="Y51" s="335" t="s">
        <v>7789</v>
      </c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</row>
    <row r="52" spans="1:43" ht="16.5" customHeight="1">
      <c r="A52" s="936"/>
      <c r="B52" s="316">
        <f t="shared" si="2"/>
        <v>10560</v>
      </c>
      <c r="C52" s="251"/>
      <c r="D52" s="938"/>
      <c r="E52" s="317" t="s">
        <v>7797</v>
      </c>
      <c r="F52" s="318" t="s">
        <v>7763</v>
      </c>
      <c r="G52" s="316">
        <v>12700</v>
      </c>
      <c r="H52" s="316">
        <v>12850</v>
      </c>
      <c r="I52" s="316">
        <v>13030</v>
      </c>
      <c r="J52" s="316">
        <v>13180</v>
      </c>
      <c r="K52" s="325">
        <v>11870</v>
      </c>
      <c r="L52" s="326">
        <v>12370</v>
      </c>
      <c r="M52" s="941"/>
      <c r="N52" s="317" t="s">
        <v>7797</v>
      </c>
      <c r="O52" s="318" t="s">
        <v>7763</v>
      </c>
      <c r="P52" s="316">
        <v>13570</v>
      </c>
      <c r="Q52" s="316">
        <v>13720</v>
      </c>
      <c r="R52" s="316">
        <v>13900</v>
      </c>
      <c r="S52" s="316">
        <v>14050</v>
      </c>
      <c r="T52" s="325">
        <v>12730</v>
      </c>
      <c r="U52" s="326">
        <v>13090</v>
      </c>
      <c r="W52" s="334" t="s">
        <v>7798</v>
      </c>
      <c r="X52" s="335" t="s">
        <v>7789</v>
      </c>
      <c r="Y52" s="335" t="s">
        <v>7789</v>
      </c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</row>
    <row r="53" spans="1:43" ht="16.5" customHeight="1">
      <c r="A53" s="936"/>
      <c r="B53" s="316"/>
      <c r="C53" s="251"/>
      <c r="D53" s="938"/>
      <c r="E53" s="317"/>
      <c r="F53" s="318"/>
      <c r="G53" s="316"/>
      <c r="H53" s="316"/>
      <c r="I53" s="316"/>
      <c r="J53" s="316"/>
      <c r="K53" s="325"/>
      <c r="L53" s="326"/>
      <c r="M53" s="941"/>
      <c r="N53" s="317" t="s">
        <v>7799</v>
      </c>
      <c r="O53" s="318" t="s">
        <v>7763</v>
      </c>
      <c r="P53" s="316">
        <v>31160</v>
      </c>
      <c r="Q53" s="316">
        <v>31310</v>
      </c>
      <c r="R53" s="316">
        <v>31490</v>
      </c>
      <c r="S53" s="316">
        <v>31640</v>
      </c>
      <c r="T53" s="325">
        <v>30320</v>
      </c>
      <c r="U53" s="326">
        <v>30680</v>
      </c>
      <c r="W53" s="334" t="s">
        <v>7800</v>
      </c>
      <c r="X53" s="335" t="s">
        <v>7789</v>
      </c>
      <c r="Y53" s="335" t="s">
        <v>7789</v>
      </c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</row>
    <row r="54" spans="1:43" ht="16.5" customHeight="1">
      <c r="A54" s="936"/>
      <c r="B54" s="316">
        <f t="shared" ref="B54:B63" si="5">G54-$G$3</f>
        <v>5940</v>
      </c>
      <c r="C54" s="251"/>
      <c r="D54" s="938"/>
      <c r="E54" s="317" t="s">
        <v>7801</v>
      </c>
      <c r="F54" s="318" t="s">
        <v>7802</v>
      </c>
      <c r="G54" s="316">
        <v>8080</v>
      </c>
      <c r="H54" s="316">
        <v>8230</v>
      </c>
      <c r="I54" s="316">
        <v>8410</v>
      </c>
      <c r="J54" s="316">
        <v>8560</v>
      </c>
      <c r="K54" s="323">
        <v>7550</v>
      </c>
      <c r="L54" s="324">
        <v>8050</v>
      </c>
      <c r="M54" s="941"/>
      <c r="N54" s="336"/>
      <c r="O54" s="194"/>
      <c r="P54" s="316"/>
      <c r="Q54" s="316"/>
      <c r="R54" s="316"/>
      <c r="S54" s="316"/>
      <c r="T54" s="194"/>
      <c r="U54" s="319"/>
      <c r="W54" s="334" t="s">
        <v>7803</v>
      </c>
      <c r="X54" s="337" t="s">
        <v>7804</v>
      </c>
      <c r="Y54" s="337" t="s">
        <v>7804</v>
      </c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</row>
    <row r="55" spans="1:43" ht="16.5" customHeight="1">
      <c r="A55" s="936"/>
      <c r="B55" s="316">
        <f t="shared" si="5"/>
        <v>4730</v>
      </c>
      <c r="C55" s="251"/>
      <c r="D55" s="938"/>
      <c r="E55" s="317" t="s">
        <v>7805</v>
      </c>
      <c r="F55" s="318" t="s">
        <v>7802</v>
      </c>
      <c r="G55" s="316">
        <v>6870</v>
      </c>
      <c r="H55" s="316">
        <v>7020</v>
      </c>
      <c r="I55" s="316">
        <v>7200</v>
      </c>
      <c r="J55" s="316">
        <v>7350</v>
      </c>
      <c r="K55" s="323">
        <v>6340</v>
      </c>
      <c r="L55" s="324">
        <v>6840</v>
      </c>
      <c r="M55" s="941"/>
      <c r="N55" s="317" t="s">
        <v>7801</v>
      </c>
      <c r="O55" s="318" t="s">
        <v>7802</v>
      </c>
      <c r="P55" s="316">
        <v>9250</v>
      </c>
      <c r="Q55" s="316">
        <v>9400</v>
      </c>
      <c r="R55" s="316">
        <v>9580</v>
      </c>
      <c r="S55" s="316">
        <v>9730</v>
      </c>
      <c r="T55" s="323">
        <v>8410</v>
      </c>
      <c r="U55" s="324">
        <v>8770</v>
      </c>
      <c r="W55" s="334" t="s">
        <v>7806</v>
      </c>
      <c r="X55" s="337" t="s">
        <v>7804</v>
      </c>
      <c r="Y55" s="337" t="s">
        <v>7804</v>
      </c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</row>
    <row r="56" spans="1:43" ht="16.5" customHeight="1">
      <c r="A56" s="936"/>
      <c r="B56" s="316">
        <f t="shared" si="5"/>
        <v>8100</v>
      </c>
      <c r="C56" s="251"/>
      <c r="D56" s="938"/>
      <c r="E56" s="317" t="s">
        <v>7807</v>
      </c>
      <c r="F56" s="318" t="s">
        <v>7808</v>
      </c>
      <c r="G56" s="316">
        <v>10240</v>
      </c>
      <c r="H56" s="316">
        <v>10390</v>
      </c>
      <c r="I56" s="316">
        <v>10570</v>
      </c>
      <c r="J56" s="316">
        <v>10720</v>
      </c>
      <c r="K56" s="323">
        <v>9710</v>
      </c>
      <c r="L56" s="324">
        <v>10210</v>
      </c>
      <c r="M56" s="941"/>
      <c r="N56" s="317" t="s">
        <v>7805</v>
      </c>
      <c r="O56" s="318" t="s">
        <v>7802</v>
      </c>
      <c r="P56" s="316">
        <v>8040</v>
      </c>
      <c r="Q56" s="316">
        <v>8190</v>
      </c>
      <c r="R56" s="316">
        <v>8370</v>
      </c>
      <c r="S56" s="316">
        <v>8520</v>
      </c>
      <c r="T56" s="323">
        <v>7200</v>
      </c>
      <c r="U56" s="324">
        <v>7560</v>
      </c>
      <c r="W56" s="334" t="s">
        <v>7809</v>
      </c>
      <c r="X56" s="335" t="s">
        <v>7789</v>
      </c>
      <c r="Y56" s="337" t="s">
        <v>7804</v>
      </c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</row>
    <row r="57" spans="1:43" ht="16.5" customHeight="1">
      <c r="A57" s="936"/>
      <c r="B57" s="329">
        <f t="shared" si="5"/>
        <v>9320</v>
      </c>
      <c r="C57" s="251"/>
      <c r="D57" s="938"/>
      <c r="E57" s="338" t="s">
        <v>7810</v>
      </c>
      <c r="F57" s="318" t="s">
        <v>7802</v>
      </c>
      <c r="G57" s="316">
        <v>11460</v>
      </c>
      <c r="H57" s="316">
        <v>11610</v>
      </c>
      <c r="I57" s="316">
        <v>11790</v>
      </c>
      <c r="J57" s="316">
        <v>11940</v>
      </c>
      <c r="K57" s="323">
        <v>10930</v>
      </c>
      <c r="L57" s="324">
        <v>11430</v>
      </c>
      <c r="M57" s="941"/>
      <c r="N57" s="317" t="s">
        <v>7807</v>
      </c>
      <c r="O57" s="318" t="s">
        <v>7808</v>
      </c>
      <c r="P57" s="316">
        <v>11410</v>
      </c>
      <c r="Q57" s="316">
        <v>11560</v>
      </c>
      <c r="R57" s="329">
        <v>11740</v>
      </c>
      <c r="S57" s="316">
        <v>11890</v>
      </c>
      <c r="T57" s="323">
        <v>10570</v>
      </c>
      <c r="U57" s="324">
        <v>10930</v>
      </c>
      <c r="W57" s="334" t="s">
        <v>7811</v>
      </c>
      <c r="X57" s="335" t="s">
        <v>7789</v>
      </c>
      <c r="Y57" s="337" t="s">
        <v>7804</v>
      </c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</row>
    <row r="58" spans="1:43" ht="16.5" customHeight="1">
      <c r="A58" s="936"/>
      <c r="B58" s="329">
        <f t="shared" si="5"/>
        <v>20250</v>
      </c>
      <c r="C58" s="251"/>
      <c r="D58" s="938"/>
      <c r="E58" s="338" t="s">
        <v>7812</v>
      </c>
      <c r="F58" s="318" t="s">
        <v>7813</v>
      </c>
      <c r="G58" s="316">
        <v>22390</v>
      </c>
      <c r="H58" s="316">
        <v>22540</v>
      </c>
      <c r="I58" s="316">
        <v>22720</v>
      </c>
      <c r="J58" s="316">
        <v>22870</v>
      </c>
      <c r="K58" s="323">
        <v>21860</v>
      </c>
      <c r="L58" s="324">
        <v>22360</v>
      </c>
      <c r="M58" s="941"/>
      <c r="N58" s="317" t="s">
        <v>7810</v>
      </c>
      <c r="O58" s="318" t="s">
        <v>7802</v>
      </c>
      <c r="P58" s="316">
        <v>12630</v>
      </c>
      <c r="Q58" s="316">
        <v>12780</v>
      </c>
      <c r="R58" s="329">
        <v>12960</v>
      </c>
      <c r="S58" s="316">
        <v>13110</v>
      </c>
      <c r="T58" s="323">
        <v>11790</v>
      </c>
      <c r="U58" s="324">
        <v>12150</v>
      </c>
      <c r="W58" s="334" t="s">
        <v>7814</v>
      </c>
      <c r="X58" s="335" t="s">
        <v>7789</v>
      </c>
      <c r="Y58" s="335" t="s">
        <v>7789</v>
      </c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</row>
    <row r="59" spans="1:43" ht="16.5" customHeight="1">
      <c r="A59" s="936"/>
      <c r="B59" s="316">
        <f t="shared" si="5"/>
        <v>16200</v>
      </c>
      <c r="C59" s="251"/>
      <c r="D59" s="938"/>
      <c r="E59" s="317" t="s">
        <v>7812</v>
      </c>
      <c r="F59" s="318" t="s">
        <v>7815</v>
      </c>
      <c r="G59" s="316">
        <v>18340</v>
      </c>
      <c r="H59" s="316">
        <v>18490</v>
      </c>
      <c r="I59" s="316">
        <v>18670</v>
      </c>
      <c r="J59" s="316">
        <v>18820</v>
      </c>
      <c r="K59" s="323">
        <v>17810</v>
      </c>
      <c r="L59" s="324">
        <v>18310</v>
      </c>
      <c r="M59" s="941"/>
      <c r="N59" s="317" t="s">
        <v>7812</v>
      </c>
      <c r="O59" s="318" t="s">
        <v>7813</v>
      </c>
      <c r="P59" s="316">
        <v>23560</v>
      </c>
      <c r="Q59" s="316">
        <v>23710</v>
      </c>
      <c r="R59" s="316">
        <v>23890</v>
      </c>
      <c r="S59" s="316">
        <v>24040</v>
      </c>
      <c r="T59" s="323">
        <v>22720</v>
      </c>
      <c r="U59" s="324">
        <v>23080</v>
      </c>
      <c r="W59" s="334" t="s">
        <v>7816</v>
      </c>
      <c r="X59" s="335" t="s">
        <v>7789</v>
      </c>
      <c r="Y59" s="335" t="s">
        <v>7789</v>
      </c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</row>
    <row r="60" spans="1:43" ht="16.5" customHeight="1">
      <c r="A60" s="936"/>
      <c r="B60" s="316">
        <f t="shared" si="5"/>
        <v>10800</v>
      </c>
      <c r="C60" s="251"/>
      <c r="D60" s="938"/>
      <c r="E60" s="317" t="s">
        <v>7817</v>
      </c>
      <c r="F60" s="318" t="s">
        <v>7802</v>
      </c>
      <c r="G60" s="316">
        <v>12940</v>
      </c>
      <c r="H60" s="316">
        <v>13090</v>
      </c>
      <c r="I60" s="316">
        <v>13270</v>
      </c>
      <c r="J60" s="316">
        <v>13420</v>
      </c>
      <c r="K60" s="323">
        <v>12410</v>
      </c>
      <c r="L60" s="324">
        <v>12910</v>
      </c>
      <c r="M60" s="941"/>
      <c r="N60" s="317" t="s">
        <v>7812</v>
      </c>
      <c r="O60" s="318" t="s">
        <v>7815</v>
      </c>
      <c r="P60" s="316">
        <v>19510</v>
      </c>
      <c r="Q60" s="316">
        <v>19660</v>
      </c>
      <c r="R60" s="316">
        <v>19840</v>
      </c>
      <c r="S60" s="316">
        <v>19990</v>
      </c>
      <c r="T60" s="323">
        <v>18670</v>
      </c>
      <c r="U60" s="324">
        <v>19030</v>
      </c>
      <c r="W60" s="334" t="s">
        <v>7818</v>
      </c>
      <c r="X60" s="335" t="s">
        <v>7789</v>
      </c>
      <c r="Y60" s="335" t="s">
        <v>7789</v>
      </c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</row>
    <row r="61" spans="1:43" ht="16.5" customHeight="1">
      <c r="A61" s="936"/>
      <c r="B61" s="316">
        <f t="shared" si="5"/>
        <v>13500</v>
      </c>
      <c r="C61" s="251"/>
      <c r="D61" s="938"/>
      <c r="E61" s="317" t="s">
        <v>7819</v>
      </c>
      <c r="F61" s="318" t="s">
        <v>7802</v>
      </c>
      <c r="G61" s="316">
        <v>15640</v>
      </c>
      <c r="H61" s="316">
        <v>15790</v>
      </c>
      <c r="I61" s="316">
        <v>15970</v>
      </c>
      <c r="J61" s="316">
        <v>16120</v>
      </c>
      <c r="K61" s="323">
        <v>15110</v>
      </c>
      <c r="L61" s="324">
        <v>15610</v>
      </c>
      <c r="M61" s="941"/>
      <c r="N61" s="317" t="s">
        <v>7820</v>
      </c>
      <c r="O61" s="318" t="s">
        <v>7802</v>
      </c>
      <c r="P61" s="316">
        <v>14110</v>
      </c>
      <c r="Q61" s="316">
        <v>14260</v>
      </c>
      <c r="R61" s="316">
        <v>14440</v>
      </c>
      <c r="S61" s="316">
        <v>14590</v>
      </c>
      <c r="T61" s="323">
        <v>13270</v>
      </c>
      <c r="U61" s="324">
        <v>13630</v>
      </c>
      <c r="W61" s="334" t="s">
        <v>7821</v>
      </c>
      <c r="X61" s="335" t="s">
        <v>7789</v>
      </c>
      <c r="Y61" s="335" t="s">
        <v>7789</v>
      </c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</row>
    <row r="62" spans="1:43" ht="16.5" customHeight="1">
      <c r="A62" s="936"/>
      <c r="B62" s="329">
        <f t="shared" si="5"/>
        <v>12150</v>
      </c>
      <c r="C62" s="251"/>
      <c r="D62" s="938"/>
      <c r="E62" s="338" t="s">
        <v>7822</v>
      </c>
      <c r="F62" s="318" t="s">
        <v>7823</v>
      </c>
      <c r="G62" s="316">
        <v>14290</v>
      </c>
      <c r="H62" s="316">
        <v>14440</v>
      </c>
      <c r="I62" s="316">
        <v>14620</v>
      </c>
      <c r="J62" s="316">
        <v>14770</v>
      </c>
      <c r="K62" s="323">
        <v>13760</v>
      </c>
      <c r="L62" s="324">
        <v>14260</v>
      </c>
      <c r="M62" s="941"/>
      <c r="N62" s="317" t="s">
        <v>7819</v>
      </c>
      <c r="O62" s="318" t="s">
        <v>7802</v>
      </c>
      <c r="P62" s="316">
        <v>16810</v>
      </c>
      <c r="Q62" s="316">
        <v>16960</v>
      </c>
      <c r="R62" s="329">
        <v>17140</v>
      </c>
      <c r="S62" s="316">
        <v>17290</v>
      </c>
      <c r="T62" s="323">
        <v>15970</v>
      </c>
      <c r="U62" s="324">
        <v>16330</v>
      </c>
      <c r="W62" s="334" t="s">
        <v>7824</v>
      </c>
      <c r="X62" s="337" t="s">
        <v>7804</v>
      </c>
      <c r="Y62" s="337" t="s">
        <v>7804</v>
      </c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</row>
    <row r="63" spans="1:43" ht="16.5" customHeight="1">
      <c r="A63" s="936"/>
      <c r="B63" s="316">
        <f t="shared" si="5"/>
        <v>11340</v>
      </c>
      <c r="C63" s="251"/>
      <c r="D63" s="938"/>
      <c r="E63" s="317" t="s">
        <v>7825</v>
      </c>
      <c r="F63" s="318" t="s">
        <v>7823</v>
      </c>
      <c r="G63" s="316">
        <v>13480</v>
      </c>
      <c r="H63" s="316">
        <v>13630</v>
      </c>
      <c r="I63" s="316">
        <v>13810</v>
      </c>
      <c r="J63" s="316">
        <v>13960</v>
      </c>
      <c r="K63" s="323">
        <v>12950</v>
      </c>
      <c r="L63" s="324">
        <v>13450</v>
      </c>
      <c r="M63" s="941"/>
      <c r="N63" s="317" t="s">
        <v>7822</v>
      </c>
      <c r="O63" s="318" t="s">
        <v>7823</v>
      </c>
      <c r="P63" s="316">
        <v>15460</v>
      </c>
      <c r="Q63" s="316">
        <v>15610</v>
      </c>
      <c r="R63" s="316">
        <v>15790</v>
      </c>
      <c r="S63" s="316">
        <v>15940</v>
      </c>
      <c r="T63" s="323">
        <v>14620</v>
      </c>
      <c r="U63" s="324">
        <v>14980</v>
      </c>
      <c r="W63" s="334" t="s">
        <v>7826</v>
      </c>
      <c r="X63" s="337" t="s">
        <v>7804</v>
      </c>
      <c r="Y63" s="337" t="s">
        <v>7804</v>
      </c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</row>
    <row r="64" spans="1:43" ht="16.5" customHeight="1">
      <c r="A64" s="936"/>
      <c r="B64" s="316"/>
      <c r="C64" s="251"/>
      <c r="D64" s="938"/>
      <c r="E64" s="317"/>
      <c r="F64" s="318"/>
      <c r="G64" s="316"/>
      <c r="H64" s="316"/>
      <c r="I64" s="316"/>
      <c r="J64" s="316"/>
      <c r="K64" s="194"/>
      <c r="L64" s="319"/>
      <c r="M64" s="941"/>
      <c r="N64" s="317" t="s">
        <v>7825</v>
      </c>
      <c r="O64" s="318" t="s">
        <v>7823</v>
      </c>
      <c r="P64" s="316">
        <v>14650</v>
      </c>
      <c r="Q64" s="316">
        <v>14800</v>
      </c>
      <c r="R64" s="316">
        <v>14980</v>
      </c>
      <c r="S64" s="316">
        <v>15130</v>
      </c>
      <c r="T64" s="323">
        <v>13810</v>
      </c>
      <c r="U64" s="324">
        <v>14170</v>
      </c>
      <c r="W64" s="334" t="s">
        <v>7827</v>
      </c>
      <c r="X64" s="337" t="s">
        <v>7804</v>
      </c>
      <c r="Y64" s="337" t="s">
        <v>7804</v>
      </c>
      <c r="AB64" s="53"/>
      <c r="AC64" s="53"/>
      <c r="AD64" s="53"/>
      <c r="AE64" s="53"/>
      <c r="AF64" s="53"/>
      <c r="AG64" s="53"/>
      <c r="AH64" s="53"/>
      <c r="AI64" s="53"/>
      <c r="AJ64" s="53"/>
      <c r="AK64" s="53"/>
      <c r="AL64" s="53"/>
      <c r="AM64" s="53"/>
      <c r="AN64" s="53"/>
      <c r="AO64" s="53"/>
      <c r="AP64" s="53"/>
      <c r="AQ64" s="53"/>
    </row>
    <row r="65" spans="1:43" ht="16.5" customHeight="1">
      <c r="A65" s="936"/>
      <c r="B65" s="316">
        <f t="shared" ref="B65:B74" si="6">G65-$G$3</f>
        <v>4050</v>
      </c>
      <c r="C65" s="251"/>
      <c r="D65" s="938"/>
      <c r="E65" s="317" t="s">
        <v>7828</v>
      </c>
      <c r="F65" s="318" t="s">
        <v>7829</v>
      </c>
      <c r="G65" s="316">
        <v>6190</v>
      </c>
      <c r="H65" s="316">
        <v>6340</v>
      </c>
      <c r="I65" s="316">
        <v>6520</v>
      </c>
      <c r="J65" s="316">
        <v>6670</v>
      </c>
      <c r="K65" s="339">
        <v>5660</v>
      </c>
      <c r="L65" s="340">
        <v>6160</v>
      </c>
      <c r="M65" s="941"/>
      <c r="N65" s="336"/>
      <c r="O65" s="194"/>
      <c r="P65" s="316"/>
      <c r="Q65" s="316"/>
      <c r="R65" s="316"/>
      <c r="S65" s="316"/>
      <c r="T65" s="194"/>
      <c r="U65" s="319"/>
      <c r="W65" s="334" t="s">
        <v>7830</v>
      </c>
      <c r="X65" s="337" t="s">
        <v>7804</v>
      </c>
      <c r="Y65" s="337" t="s">
        <v>7804</v>
      </c>
      <c r="AB65" s="53"/>
      <c r="AC65" s="53"/>
      <c r="AD65" s="53"/>
      <c r="AE65" s="53"/>
      <c r="AF65" s="53"/>
      <c r="AG65" s="53"/>
      <c r="AH65" s="53"/>
      <c r="AI65" s="53"/>
      <c r="AJ65" s="53"/>
      <c r="AK65" s="53"/>
      <c r="AL65" s="53"/>
      <c r="AM65" s="53"/>
      <c r="AN65" s="53"/>
      <c r="AO65" s="53"/>
      <c r="AP65" s="53"/>
      <c r="AQ65" s="53"/>
    </row>
    <row r="66" spans="1:43" ht="16.5" customHeight="1">
      <c r="A66" s="936"/>
      <c r="B66" s="316">
        <f t="shared" si="6"/>
        <v>5000</v>
      </c>
      <c r="C66" s="251"/>
      <c r="D66" s="938"/>
      <c r="E66" s="317" t="s">
        <v>7831</v>
      </c>
      <c r="F66" s="318" t="s">
        <v>7832</v>
      </c>
      <c r="G66" s="316">
        <v>7140</v>
      </c>
      <c r="H66" s="316">
        <v>7290</v>
      </c>
      <c r="I66" s="316">
        <v>7470</v>
      </c>
      <c r="J66" s="316">
        <v>7620</v>
      </c>
      <c r="K66" s="339">
        <v>6610</v>
      </c>
      <c r="L66" s="340">
        <v>7110</v>
      </c>
      <c r="M66" s="941"/>
      <c r="N66" s="317" t="s">
        <v>7828</v>
      </c>
      <c r="O66" s="318" t="s">
        <v>7829</v>
      </c>
      <c r="P66" s="316">
        <v>7360</v>
      </c>
      <c r="Q66" s="316">
        <v>7510</v>
      </c>
      <c r="R66" s="316">
        <v>7690</v>
      </c>
      <c r="S66" s="316">
        <v>7840</v>
      </c>
      <c r="T66" s="339">
        <v>6520</v>
      </c>
      <c r="U66" s="340">
        <v>6880</v>
      </c>
      <c r="W66" s="334" t="s">
        <v>7833</v>
      </c>
      <c r="X66" s="341" t="s">
        <v>7834</v>
      </c>
      <c r="Y66" s="341" t="s">
        <v>7834</v>
      </c>
      <c r="AB66" s="53"/>
      <c r="AC66" s="53"/>
      <c r="AD66" s="53"/>
      <c r="AE66" s="53"/>
      <c r="AF66" s="53"/>
      <c r="AG66" s="53"/>
      <c r="AH66" s="53"/>
      <c r="AI66" s="53"/>
      <c r="AJ66" s="53"/>
      <c r="AK66" s="53"/>
      <c r="AL66" s="53"/>
      <c r="AM66" s="53"/>
      <c r="AN66" s="53"/>
      <c r="AO66" s="53"/>
      <c r="AP66" s="53"/>
      <c r="AQ66" s="53"/>
    </row>
    <row r="67" spans="1:43" ht="16.5" customHeight="1">
      <c r="A67" s="936"/>
      <c r="B67" s="316">
        <f t="shared" si="6"/>
        <v>5400</v>
      </c>
      <c r="C67" s="251"/>
      <c r="D67" s="938"/>
      <c r="E67" s="317" t="s">
        <v>7835</v>
      </c>
      <c r="F67" s="318" t="s">
        <v>7832</v>
      </c>
      <c r="G67" s="316">
        <v>7540</v>
      </c>
      <c r="H67" s="316">
        <v>7690</v>
      </c>
      <c r="I67" s="316">
        <v>7870</v>
      </c>
      <c r="J67" s="316">
        <v>8020</v>
      </c>
      <c r="K67" s="339">
        <v>7010</v>
      </c>
      <c r="L67" s="340">
        <v>7510</v>
      </c>
      <c r="M67" s="941"/>
      <c r="N67" s="317" t="s">
        <v>7831</v>
      </c>
      <c r="O67" s="318" t="s">
        <v>7832</v>
      </c>
      <c r="P67" s="316">
        <v>8310</v>
      </c>
      <c r="Q67" s="316">
        <v>8460</v>
      </c>
      <c r="R67" s="316">
        <v>8640</v>
      </c>
      <c r="S67" s="316">
        <v>8790</v>
      </c>
      <c r="T67" s="339">
        <v>7470</v>
      </c>
      <c r="U67" s="340">
        <v>7830</v>
      </c>
      <c r="W67" s="334" t="s">
        <v>7836</v>
      </c>
      <c r="X67" s="341" t="s">
        <v>7834</v>
      </c>
      <c r="Y67" s="341" t="s">
        <v>7834</v>
      </c>
      <c r="AB67" s="53"/>
      <c r="AC67" s="53"/>
      <c r="AD67" s="53"/>
      <c r="AE67" s="53"/>
      <c r="AF67" s="53"/>
      <c r="AG67" s="53"/>
      <c r="AH67" s="53"/>
      <c r="AI67" s="53"/>
      <c r="AJ67" s="53"/>
      <c r="AK67" s="53"/>
      <c r="AL67" s="53"/>
      <c r="AM67" s="53"/>
      <c r="AN67" s="53"/>
      <c r="AO67" s="53"/>
      <c r="AP67" s="53"/>
      <c r="AQ67" s="53"/>
    </row>
    <row r="68" spans="1:43" ht="16.5" customHeight="1">
      <c r="A68" s="936"/>
      <c r="B68" s="316">
        <f t="shared" si="6"/>
        <v>8100</v>
      </c>
      <c r="C68" s="251"/>
      <c r="D68" s="938"/>
      <c r="E68" s="317" t="s">
        <v>7837</v>
      </c>
      <c r="F68" s="318" t="s">
        <v>7838</v>
      </c>
      <c r="G68" s="316">
        <v>10240</v>
      </c>
      <c r="H68" s="316">
        <v>10390</v>
      </c>
      <c r="I68" s="316">
        <v>10570</v>
      </c>
      <c r="J68" s="316">
        <v>10720</v>
      </c>
      <c r="K68" s="339">
        <v>9710</v>
      </c>
      <c r="L68" s="340">
        <v>10210</v>
      </c>
      <c r="M68" s="941"/>
      <c r="N68" s="317" t="s">
        <v>7835</v>
      </c>
      <c r="O68" s="318" t="s">
        <v>7832</v>
      </c>
      <c r="P68" s="316">
        <v>8710</v>
      </c>
      <c r="Q68" s="316">
        <v>8860</v>
      </c>
      <c r="R68" s="316">
        <v>9040</v>
      </c>
      <c r="S68" s="316">
        <v>9190</v>
      </c>
      <c r="T68" s="339">
        <v>7870</v>
      </c>
      <c r="U68" s="340">
        <v>8230</v>
      </c>
      <c r="AB68" s="53"/>
      <c r="AC68" s="53"/>
      <c r="AD68" s="53"/>
      <c r="AE68" s="53"/>
      <c r="AF68" s="53"/>
      <c r="AG68" s="53"/>
      <c r="AH68" s="53"/>
      <c r="AI68" s="53"/>
      <c r="AJ68" s="53"/>
      <c r="AK68" s="53"/>
      <c r="AL68" s="53"/>
      <c r="AM68" s="53"/>
      <c r="AN68" s="53"/>
      <c r="AO68" s="53"/>
      <c r="AP68" s="53"/>
      <c r="AQ68" s="53"/>
    </row>
    <row r="69" spans="1:43" ht="17.25" customHeight="1">
      <c r="A69" s="936"/>
      <c r="B69" s="316">
        <f t="shared" si="6"/>
        <v>8690</v>
      </c>
      <c r="C69" s="251"/>
      <c r="D69" s="938"/>
      <c r="E69" s="317" t="s">
        <v>7839</v>
      </c>
      <c r="F69" s="318" t="s">
        <v>7840</v>
      </c>
      <c r="G69" s="316">
        <v>10830</v>
      </c>
      <c r="H69" s="316">
        <v>10980</v>
      </c>
      <c r="I69" s="316">
        <v>11160</v>
      </c>
      <c r="J69" s="316">
        <v>11310</v>
      </c>
      <c r="K69" s="339">
        <v>10300</v>
      </c>
      <c r="L69" s="340">
        <v>10800</v>
      </c>
      <c r="M69" s="941"/>
      <c r="N69" s="317" t="s">
        <v>7837</v>
      </c>
      <c r="O69" s="318" t="s">
        <v>7838</v>
      </c>
      <c r="P69" s="316">
        <v>11410</v>
      </c>
      <c r="Q69" s="316">
        <v>11560</v>
      </c>
      <c r="R69" s="316">
        <v>11740</v>
      </c>
      <c r="S69" s="316">
        <v>11890</v>
      </c>
      <c r="T69" s="339">
        <v>10570</v>
      </c>
      <c r="U69" s="340">
        <v>10930</v>
      </c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</row>
    <row r="70" spans="1:43" ht="17.25" customHeight="1">
      <c r="A70" s="936"/>
      <c r="B70" s="316">
        <f t="shared" si="6"/>
        <v>8400</v>
      </c>
      <c r="C70" s="251"/>
      <c r="D70" s="938"/>
      <c r="E70" s="317" t="s">
        <v>7841</v>
      </c>
      <c r="F70" s="318" t="s">
        <v>7838</v>
      </c>
      <c r="G70" s="316">
        <v>10540</v>
      </c>
      <c r="H70" s="316">
        <v>10690</v>
      </c>
      <c r="I70" s="316">
        <v>10870</v>
      </c>
      <c r="J70" s="316">
        <v>11020</v>
      </c>
      <c r="K70" s="339">
        <v>10010</v>
      </c>
      <c r="L70" s="340">
        <v>10510</v>
      </c>
      <c r="M70" s="941"/>
      <c r="N70" s="317" t="s">
        <v>7839</v>
      </c>
      <c r="O70" s="318" t="s">
        <v>7840</v>
      </c>
      <c r="P70" s="316">
        <v>12000</v>
      </c>
      <c r="Q70" s="316">
        <v>12150</v>
      </c>
      <c r="R70" s="316">
        <v>12330</v>
      </c>
      <c r="S70" s="316">
        <v>12480</v>
      </c>
      <c r="T70" s="339">
        <v>11160</v>
      </c>
      <c r="U70" s="340">
        <v>11520</v>
      </c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  <c r="AM70" s="53"/>
      <c r="AN70" s="53"/>
      <c r="AO70" s="53"/>
      <c r="AP70" s="53"/>
      <c r="AQ70" s="53"/>
    </row>
    <row r="71" spans="1:43" ht="16.5" customHeight="1">
      <c r="A71" s="936"/>
      <c r="B71" s="316">
        <f t="shared" si="6"/>
        <v>8620</v>
      </c>
      <c r="C71" s="251"/>
      <c r="D71" s="938"/>
      <c r="E71" s="317" t="s">
        <v>7842</v>
      </c>
      <c r="F71" s="318" t="s">
        <v>7843</v>
      </c>
      <c r="G71" s="316">
        <v>10760</v>
      </c>
      <c r="H71" s="316">
        <v>10910</v>
      </c>
      <c r="I71" s="316">
        <v>11090</v>
      </c>
      <c r="J71" s="316">
        <v>11240</v>
      </c>
      <c r="K71" s="339">
        <v>10230</v>
      </c>
      <c r="L71" s="340">
        <v>10730</v>
      </c>
      <c r="M71" s="941"/>
      <c r="N71" s="317" t="s">
        <v>7841</v>
      </c>
      <c r="O71" s="318" t="s">
        <v>7838</v>
      </c>
      <c r="P71" s="316">
        <v>11710</v>
      </c>
      <c r="Q71" s="316">
        <v>11860</v>
      </c>
      <c r="R71" s="316">
        <v>12040</v>
      </c>
      <c r="S71" s="316">
        <v>12190</v>
      </c>
      <c r="T71" s="339">
        <v>10870</v>
      </c>
      <c r="U71" s="340">
        <v>11230</v>
      </c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53"/>
      <c r="AM71" s="53"/>
      <c r="AN71" s="53"/>
      <c r="AO71" s="53"/>
      <c r="AP71" s="53"/>
      <c r="AQ71" s="53"/>
    </row>
    <row r="72" spans="1:43" ht="17.25" customHeight="1">
      <c r="A72" s="936"/>
      <c r="B72" s="316">
        <f t="shared" si="6"/>
        <v>9250</v>
      </c>
      <c r="C72" s="251"/>
      <c r="D72" s="938"/>
      <c r="E72" s="317" t="s">
        <v>7844</v>
      </c>
      <c r="F72" s="318" t="s">
        <v>7845</v>
      </c>
      <c r="G72" s="316">
        <v>11390</v>
      </c>
      <c r="H72" s="316">
        <v>11540</v>
      </c>
      <c r="I72" s="316">
        <v>11720</v>
      </c>
      <c r="J72" s="316">
        <v>11870</v>
      </c>
      <c r="K72" s="339">
        <v>10860</v>
      </c>
      <c r="L72" s="340">
        <v>11360</v>
      </c>
      <c r="M72" s="941"/>
      <c r="N72" s="317" t="s">
        <v>7842</v>
      </c>
      <c r="O72" s="318" t="s">
        <v>7843</v>
      </c>
      <c r="P72" s="316">
        <v>11930</v>
      </c>
      <c r="Q72" s="316">
        <v>12080</v>
      </c>
      <c r="R72" s="316">
        <v>12260</v>
      </c>
      <c r="S72" s="316">
        <v>12410</v>
      </c>
      <c r="T72" s="339">
        <v>11090</v>
      </c>
      <c r="U72" s="340">
        <v>11450</v>
      </c>
      <c r="AB72" s="53"/>
      <c r="AC72" s="53"/>
      <c r="AD72" s="53"/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</row>
    <row r="73" spans="1:43" ht="17.25" thickBot="1">
      <c r="A73" s="936"/>
      <c r="B73" s="316">
        <f t="shared" si="6"/>
        <v>15660</v>
      </c>
      <c r="C73" s="251"/>
      <c r="D73" s="938"/>
      <c r="E73" s="317" t="s">
        <v>7846</v>
      </c>
      <c r="F73" s="318" t="s">
        <v>7847</v>
      </c>
      <c r="G73" s="316">
        <v>17800</v>
      </c>
      <c r="H73" s="316">
        <v>17950</v>
      </c>
      <c r="I73" s="316">
        <v>18130</v>
      </c>
      <c r="J73" s="316">
        <v>18280</v>
      </c>
      <c r="K73" s="339">
        <v>17270</v>
      </c>
      <c r="L73" s="340">
        <v>17770</v>
      </c>
      <c r="M73" s="942"/>
      <c r="N73" s="342" t="s">
        <v>7844</v>
      </c>
      <c r="O73" s="343" t="s">
        <v>7845</v>
      </c>
      <c r="P73" s="344">
        <v>12560</v>
      </c>
      <c r="Q73" s="344">
        <v>12710</v>
      </c>
      <c r="R73" s="344">
        <v>12890</v>
      </c>
      <c r="S73" s="344">
        <v>13040</v>
      </c>
      <c r="T73" s="345">
        <v>11720</v>
      </c>
      <c r="U73" s="346">
        <v>12080</v>
      </c>
      <c r="AB73" s="53"/>
      <c r="AC73" s="53"/>
      <c r="AD73" s="53"/>
      <c r="AE73" s="53"/>
      <c r="AF73" s="53"/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</row>
    <row r="74" spans="1:43">
      <c r="A74" s="936"/>
      <c r="B74" s="316">
        <f t="shared" si="6"/>
        <v>1330</v>
      </c>
      <c r="C74" s="251"/>
      <c r="D74" s="938"/>
      <c r="E74" s="317" t="s">
        <v>7311</v>
      </c>
      <c r="F74" s="318" t="s">
        <v>7802</v>
      </c>
      <c r="G74" s="316">
        <v>3470</v>
      </c>
      <c r="H74" s="316">
        <v>3620</v>
      </c>
      <c r="I74" s="316">
        <v>3800</v>
      </c>
      <c r="J74" s="316">
        <v>3950</v>
      </c>
      <c r="K74" s="339">
        <v>2940</v>
      </c>
      <c r="L74" s="340">
        <v>3440</v>
      </c>
      <c r="M74" s="237"/>
      <c r="N74" s="237"/>
      <c r="O74" s="237"/>
      <c r="P74" s="237"/>
      <c r="Q74" s="237"/>
      <c r="AB74" s="53"/>
      <c r="AC74" s="53"/>
      <c r="AD74" s="53"/>
      <c r="AE74" s="53"/>
      <c r="AF74" s="53"/>
      <c r="AG74" s="53"/>
      <c r="AH74" s="53"/>
      <c r="AI74" s="53"/>
      <c r="AJ74" s="53"/>
      <c r="AK74" s="53"/>
      <c r="AL74" s="53"/>
      <c r="AM74" s="53"/>
      <c r="AN74" s="53"/>
      <c r="AO74" s="53"/>
      <c r="AP74" s="53"/>
      <c r="AQ74" s="53"/>
    </row>
    <row r="75" spans="1:43" ht="18.75">
      <c r="A75" s="936"/>
      <c r="B75" s="316"/>
      <c r="C75" s="251"/>
      <c r="D75" s="938"/>
      <c r="E75" s="317"/>
      <c r="F75" s="318"/>
      <c r="G75" s="194"/>
      <c r="H75" s="194"/>
      <c r="I75" s="194"/>
      <c r="J75" s="194"/>
      <c r="K75" s="333"/>
      <c r="L75" s="347"/>
      <c r="M75" s="237"/>
      <c r="N75" s="237"/>
      <c r="O75" s="237"/>
      <c r="P75" s="237"/>
      <c r="Q75" s="237"/>
      <c r="AC75" s="53"/>
      <c r="AD75" s="53"/>
      <c r="AE75" s="53"/>
      <c r="AF75" s="53"/>
      <c r="AG75" s="53"/>
      <c r="AH75" s="53"/>
      <c r="AI75" s="53"/>
      <c r="AJ75" s="53"/>
      <c r="AK75" s="53"/>
      <c r="AL75" s="53"/>
      <c r="AM75" s="53"/>
      <c r="AN75" s="53"/>
      <c r="AO75" s="53"/>
      <c r="AP75" s="53"/>
      <c r="AQ75" s="53"/>
    </row>
    <row r="76" spans="1:43">
      <c r="A76" s="936"/>
      <c r="B76" s="316">
        <f>K76-$G$7</f>
        <v>1220</v>
      </c>
      <c r="C76" s="251"/>
      <c r="D76" s="938"/>
      <c r="E76" s="348" t="s">
        <v>7848</v>
      </c>
      <c r="F76" s="318"/>
      <c r="G76" s="194"/>
      <c r="H76" s="194"/>
      <c r="I76" s="194"/>
      <c r="J76" s="194"/>
      <c r="K76" s="339">
        <v>2830</v>
      </c>
      <c r="L76" s="340">
        <v>3330</v>
      </c>
      <c r="M76" s="237"/>
      <c r="N76" s="237"/>
      <c r="O76" s="237"/>
      <c r="P76" s="237"/>
      <c r="Q76" s="237"/>
      <c r="AC76" s="53"/>
      <c r="AD76" s="53"/>
      <c r="AE76" s="53"/>
      <c r="AF76" s="53"/>
      <c r="AG76" s="53"/>
      <c r="AH76" s="53"/>
      <c r="AI76" s="53"/>
      <c r="AJ76" s="53"/>
      <c r="AK76" s="53"/>
      <c r="AL76" s="53"/>
      <c r="AM76" s="53"/>
      <c r="AN76" s="53"/>
      <c r="AO76" s="53"/>
      <c r="AP76" s="53"/>
      <c r="AQ76" s="53"/>
    </row>
    <row r="77" spans="1:43" ht="17.25" thickBot="1">
      <c r="A77" s="936"/>
      <c r="B77" s="316">
        <f>K77-$G$7</f>
        <v>680</v>
      </c>
      <c r="C77" s="251"/>
      <c r="D77" s="939"/>
      <c r="E77" s="349" t="s">
        <v>7849</v>
      </c>
      <c r="F77" s="343"/>
      <c r="G77" s="350"/>
      <c r="H77" s="350"/>
      <c r="I77" s="350"/>
      <c r="J77" s="350"/>
      <c r="K77" s="345">
        <v>2290</v>
      </c>
      <c r="L77" s="346">
        <v>2790</v>
      </c>
      <c r="M77" s="237"/>
      <c r="N77" s="237"/>
      <c r="O77" s="237"/>
      <c r="P77" s="237"/>
      <c r="Q77" s="237"/>
      <c r="AC77" s="53"/>
      <c r="AD77" s="53"/>
      <c r="AE77" s="53"/>
      <c r="AF77" s="53"/>
      <c r="AG77" s="53"/>
      <c r="AH77" s="53"/>
      <c r="AI77" s="53"/>
      <c r="AJ77" s="53"/>
      <c r="AK77" s="53"/>
      <c r="AL77" s="53"/>
      <c r="AM77" s="53"/>
      <c r="AN77" s="53"/>
      <c r="AO77" s="53"/>
      <c r="AP77" s="53"/>
      <c r="AQ77" s="53"/>
    </row>
    <row r="78" spans="1:43" s="237" customFormat="1" ht="32.25" thickBot="1">
      <c r="D78" s="351"/>
      <c r="E78" s="352"/>
      <c r="F78" s="353"/>
      <c r="G78" s="288"/>
      <c r="H78" s="288"/>
      <c r="I78" s="288"/>
      <c r="J78" s="288"/>
      <c r="K78" s="354"/>
      <c r="L78" s="354"/>
    </row>
    <row r="79" spans="1:43" ht="34.5" thickBot="1">
      <c r="A79" s="237"/>
      <c r="B79" s="237"/>
      <c r="D79" s="933" t="s">
        <v>7850</v>
      </c>
      <c r="E79" s="934"/>
      <c r="F79" s="934"/>
      <c r="G79" s="934"/>
      <c r="H79" s="934"/>
      <c r="I79" s="934"/>
      <c r="J79" s="934"/>
      <c r="K79" s="934"/>
      <c r="L79" s="935"/>
      <c r="M79" s="237"/>
      <c r="N79" s="355" t="s">
        <v>7851</v>
      </c>
      <c r="O79" s="356"/>
      <c r="P79" s="356"/>
      <c r="Q79" s="356"/>
      <c r="R79" s="357"/>
      <c r="AC79" s="53"/>
      <c r="AD79" s="53"/>
      <c r="AE79" s="53"/>
      <c r="AF79" s="53"/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</row>
    <row r="80" spans="1:43" ht="53.25" thickBot="1">
      <c r="A80" s="237"/>
      <c r="B80" s="237"/>
      <c r="D80" s="358" t="s">
        <v>7852</v>
      </c>
      <c r="E80" s="914" t="s">
        <v>7269</v>
      </c>
      <c r="F80" s="915"/>
      <c r="G80" s="304" t="s">
        <v>7699</v>
      </c>
      <c r="H80" s="304" t="s">
        <v>7703</v>
      </c>
      <c r="I80" s="304" t="s">
        <v>7730</v>
      </c>
      <c r="J80" s="304" t="s">
        <v>7731</v>
      </c>
      <c r="K80" s="304" t="s">
        <v>7732</v>
      </c>
      <c r="L80" s="305" t="s">
        <v>7733</v>
      </c>
      <c r="M80" s="237"/>
      <c r="N80" s="359" t="s">
        <v>7727</v>
      </c>
      <c r="O80" s="916" t="s">
        <v>7087</v>
      </c>
      <c r="P80" s="917"/>
      <c r="Q80" s="360" t="s">
        <v>7853</v>
      </c>
      <c r="R80" s="361" t="s">
        <v>7854</v>
      </c>
      <c r="AC80" s="53"/>
      <c r="AD80" s="53"/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</row>
    <row r="81" spans="1:43" ht="16.5" customHeight="1">
      <c r="A81" s="237"/>
      <c r="B81" s="237"/>
      <c r="D81" s="918" t="s">
        <v>7855</v>
      </c>
      <c r="E81" s="362" t="s">
        <v>7856</v>
      </c>
      <c r="F81" s="312" t="s">
        <v>7857</v>
      </c>
      <c r="G81" s="313">
        <v>1950</v>
      </c>
      <c r="H81" s="313">
        <v>2450</v>
      </c>
      <c r="I81" s="313">
        <v>2310</v>
      </c>
      <c r="J81" s="313">
        <v>2460</v>
      </c>
      <c r="K81" s="313">
        <v>2640</v>
      </c>
      <c r="L81" s="363">
        <v>2790</v>
      </c>
      <c r="M81" s="251">
        <f>I81-$G$3</f>
        <v>170</v>
      </c>
      <c r="N81" s="921" t="s">
        <v>7858</v>
      </c>
      <c r="O81" s="364">
        <v>35</v>
      </c>
      <c r="P81" s="365" t="s">
        <v>7859</v>
      </c>
      <c r="Q81" s="366">
        <v>10040</v>
      </c>
      <c r="R81" s="367">
        <v>12040</v>
      </c>
      <c r="S81" s="251">
        <f>R81-$G$12</f>
        <v>550</v>
      </c>
      <c r="AC81" s="53"/>
      <c r="AD81" s="53"/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</row>
    <row r="82" spans="1:43" ht="16.5" customHeight="1">
      <c r="A82" s="237"/>
      <c r="B82" s="237"/>
      <c r="D82" s="919"/>
      <c r="E82" s="368" t="s">
        <v>7860</v>
      </c>
      <c r="F82" s="318" t="s">
        <v>7857</v>
      </c>
      <c r="G82" s="316">
        <v>1930</v>
      </c>
      <c r="H82" s="316">
        <v>2430</v>
      </c>
      <c r="I82" s="316">
        <v>2460</v>
      </c>
      <c r="J82" s="316">
        <v>2610</v>
      </c>
      <c r="K82" s="316">
        <v>2790</v>
      </c>
      <c r="L82" s="369">
        <v>2940</v>
      </c>
      <c r="M82" s="251">
        <f t="shared" ref="M82:M92" si="7">I82-$G$3</f>
        <v>320</v>
      </c>
      <c r="N82" s="922"/>
      <c r="O82" s="370">
        <v>35</v>
      </c>
      <c r="P82" s="371" t="s">
        <v>7759</v>
      </c>
      <c r="Q82" s="323">
        <v>10130</v>
      </c>
      <c r="R82" s="324">
        <v>12130</v>
      </c>
      <c r="S82" s="251">
        <f t="shared" ref="S82:S96" si="8">R82-$G$12</f>
        <v>640</v>
      </c>
      <c r="AC82" s="53"/>
      <c r="AD82" s="53"/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</row>
    <row r="83" spans="1:43" ht="16.5" customHeight="1">
      <c r="A83" s="237"/>
      <c r="B83" s="237"/>
      <c r="D83" s="919"/>
      <c r="E83" s="368" t="s">
        <v>7861</v>
      </c>
      <c r="F83" s="318" t="s">
        <v>7857</v>
      </c>
      <c r="G83" s="316">
        <v>1890</v>
      </c>
      <c r="H83" s="329">
        <v>2390</v>
      </c>
      <c r="I83" s="316">
        <v>2420</v>
      </c>
      <c r="J83" s="316">
        <v>2570</v>
      </c>
      <c r="K83" s="316">
        <v>2750</v>
      </c>
      <c r="L83" s="369">
        <v>2900</v>
      </c>
      <c r="M83" s="251">
        <f t="shared" si="7"/>
        <v>280</v>
      </c>
      <c r="N83" s="922"/>
      <c r="O83" s="370">
        <v>50</v>
      </c>
      <c r="P83" s="371" t="s">
        <v>7859</v>
      </c>
      <c r="Q83" s="323">
        <v>11460</v>
      </c>
      <c r="R83" s="324">
        <v>13460</v>
      </c>
      <c r="S83" s="251">
        <f t="shared" si="8"/>
        <v>1970</v>
      </c>
      <c r="AC83" s="53"/>
      <c r="AD83" s="53"/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</row>
    <row r="84" spans="1:43" ht="16.5" customHeight="1">
      <c r="A84" s="237"/>
      <c r="B84" s="237"/>
      <c r="D84" s="919"/>
      <c r="E84" s="368" t="s">
        <v>7862</v>
      </c>
      <c r="F84" s="318" t="s">
        <v>7857</v>
      </c>
      <c r="G84" s="316">
        <v>1860</v>
      </c>
      <c r="H84" s="316">
        <v>2360</v>
      </c>
      <c r="I84" s="316">
        <v>2390</v>
      </c>
      <c r="J84" s="316">
        <v>2540</v>
      </c>
      <c r="K84" s="316">
        <v>2720</v>
      </c>
      <c r="L84" s="369">
        <v>2870</v>
      </c>
      <c r="M84" s="251">
        <f t="shared" si="7"/>
        <v>250</v>
      </c>
      <c r="N84" s="922"/>
      <c r="O84" s="370">
        <v>50</v>
      </c>
      <c r="P84" s="371" t="s">
        <v>7759</v>
      </c>
      <c r="Q84" s="323">
        <v>11530</v>
      </c>
      <c r="R84" s="324">
        <v>13530</v>
      </c>
      <c r="S84" s="251">
        <f t="shared" si="8"/>
        <v>2040</v>
      </c>
      <c r="AC84" s="53"/>
      <c r="AD84" s="53"/>
      <c r="AE84" s="53"/>
      <c r="AF84" s="53"/>
      <c r="AG84" s="53"/>
      <c r="AH84" s="53"/>
      <c r="AI84" s="53"/>
      <c r="AJ84" s="53"/>
      <c r="AK84" s="53"/>
      <c r="AL84" s="53"/>
      <c r="AM84" s="53"/>
      <c r="AN84" s="53"/>
      <c r="AO84" s="53"/>
      <c r="AP84" s="53"/>
      <c r="AQ84" s="53"/>
    </row>
    <row r="85" spans="1:43" ht="16.5" customHeight="1">
      <c r="A85" s="237"/>
      <c r="B85" s="237"/>
      <c r="D85" s="919"/>
      <c r="E85" s="368" t="s">
        <v>7863</v>
      </c>
      <c r="F85" s="318" t="s">
        <v>7857</v>
      </c>
      <c r="G85" s="316">
        <v>1790</v>
      </c>
      <c r="H85" s="316">
        <v>2290</v>
      </c>
      <c r="I85" s="316">
        <v>2320</v>
      </c>
      <c r="J85" s="316">
        <v>2470</v>
      </c>
      <c r="K85" s="316">
        <v>2650</v>
      </c>
      <c r="L85" s="369">
        <v>2800</v>
      </c>
      <c r="M85" s="251">
        <f t="shared" si="7"/>
        <v>180</v>
      </c>
      <c r="N85" s="922"/>
      <c r="O85" s="370">
        <v>75</v>
      </c>
      <c r="P85" s="371" t="s">
        <v>7859</v>
      </c>
      <c r="Q85" s="323">
        <v>11600</v>
      </c>
      <c r="R85" s="324">
        <v>13600</v>
      </c>
      <c r="S85" s="251">
        <f t="shared" si="8"/>
        <v>2110</v>
      </c>
      <c r="AC85" s="53"/>
      <c r="AD85" s="53"/>
      <c r="AE85" s="53"/>
      <c r="AF85" s="53"/>
      <c r="AG85" s="53"/>
      <c r="AH85" s="53"/>
      <c r="AI85" s="53"/>
      <c r="AJ85" s="53"/>
      <c r="AK85" s="53"/>
      <c r="AL85" s="53"/>
      <c r="AM85" s="53"/>
      <c r="AN85" s="53"/>
      <c r="AO85" s="53"/>
      <c r="AP85" s="53"/>
      <c r="AQ85" s="53"/>
    </row>
    <row r="86" spans="1:43" ht="16.5" customHeight="1">
      <c r="A86" s="237"/>
      <c r="B86" s="237"/>
      <c r="D86" s="919"/>
      <c r="E86" s="368" t="s">
        <v>7864</v>
      </c>
      <c r="F86" s="318" t="s">
        <v>7857</v>
      </c>
      <c r="G86" s="316">
        <v>1890</v>
      </c>
      <c r="H86" s="316">
        <v>2390</v>
      </c>
      <c r="I86" s="316">
        <v>2420</v>
      </c>
      <c r="J86" s="316">
        <v>2570</v>
      </c>
      <c r="K86" s="316">
        <v>2750</v>
      </c>
      <c r="L86" s="369">
        <v>2900</v>
      </c>
      <c r="M86" s="251">
        <f t="shared" si="7"/>
        <v>280</v>
      </c>
      <c r="N86" s="922"/>
      <c r="O86" s="370">
        <v>75</v>
      </c>
      <c r="P86" s="371" t="s">
        <v>7759</v>
      </c>
      <c r="Q86" s="323">
        <v>11670</v>
      </c>
      <c r="R86" s="324">
        <v>13670</v>
      </c>
      <c r="S86" s="251">
        <f t="shared" si="8"/>
        <v>2180</v>
      </c>
      <c r="AC86" s="53"/>
      <c r="AD86" s="53"/>
      <c r="AE86" s="53"/>
      <c r="AF86" s="53"/>
      <c r="AG86" s="53"/>
      <c r="AH86" s="53"/>
      <c r="AI86" s="53"/>
      <c r="AJ86" s="53"/>
      <c r="AK86" s="53"/>
      <c r="AL86" s="53"/>
      <c r="AM86" s="53"/>
      <c r="AN86" s="53"/>
      <c r="AO86" s="53"/>
      <c r="AP86" s="53"/>
      <c r="AQ86" s="53"/>
    </row>
    <row r="87" spans="1:43" ht="16.5" customHeight="1">
      <c r="A87" s="237"/>
      <c r="B87" s="237"/>
      <c r="D87" s="919"/>
      <c r="E87" s="368" t="s">
        <v>7865</v>
      </c>
      <c r="F87" s="318" t="s">
        <v>7857</v>
      </c>
      <c r="G87" s="316">
        <v>1870</v>
      </c>
      <c r="H87" s="316">
        <v>2370</v>
      </c>
      <c r="I87" s="316">
        <v>2400</v>
      </c>
      <c r="J87" s="316">
        <v>2550</v>
      </c>
      <c r="K87" s="316">
        <v>2730</v>
      </c>
      <c r="L87" s="369">
        <v>2880</v>
      </c>
      <c r="M87" s="251">
        <f t="shared" si="7"/>
        <v>260</v>
      </c>
      <c r="N87" s="922"/>
      <c r="O87" s="370">
        <v>100</v>
      </c>
      <c r="P87" s="371" t="s">
        <v>7859</v>
      </c>
      <c r="Q87" s="323">
        <v>13480</v>
      </c>
      <c r="R87" s="324">
        <v>15480</v>
      </c>
      <c r="S87" s="251">
        <f t="shared" si="8"/>
        <v>3990</v>
      </c>
      <c r="AC87" s="53"/>
      <c r="AD87" s="53"/>
      <c r="AE87" s="53"/>
      <c r="AF87" s="53"/>
      <c r="AG87" s="53"/>
      <c r="AH87" s="53"/>
      <c r="AI87" s="53"/>
      <c r="AJ87" s="53"/>
      <c r="AK87" s="53"/>
      <c r="AL87" s="53"/>
      <c r="AM87" s="53"/>
      <c r="AN87" s="53"/>
      <c r="AO87" s="53"/>
      <c r="AP87" s="53"/>
      <c r="AQ87" s="53"/>
    </row>
    <row r="88" spans="1:43" ht="16.5" customHeight="1">
      <c r="A88" s="237"/>
      <c r="B88" s="237"/>
      <c r="D88" s="919"/>
      <c r="E88" s="368" t="s">
        <v>7866</v>
      </c>
      <c r="F88" s="318" t="s">
        <v>7857</v>
      </c>
      <c r="G88" s="316">
        <v>2380</v>
      </c>
      <c r="H88" s="329">
        <v>2880</v>
      </c>
      <c r="I88" s="316">
        <v>2910</v>
      </c>
      <c r="J88" s="316">
        <v>3060</v>
      </c>
      <c r="K88" s="316">
        <v>3240</v>
      </c>
      <c r="L88" s="369">
        <v>3390</v>
      </c>
      <c r="M88" s="251">
        <f t="shared" si="7"/>
        <v>770</v>
      </c>
      <c r="N88" s="922"/>
      <c r="O88" s="370">
        <v>100</v>
      </c>
      <c r="P88" s="371" t="s">
        <v>7759</v>
      </c>
      <c r="Q88" s="323">
        <v>13560</v>
      </c>
      <c r="R88" s="324">
        <v>15560</v>
      </c>
      <c r="S88" s="251">
        <f t="shared" si="8"/>
        <v>4070</v>
      </c>
      <c r="AC88" s="53"/>
      <c r="AD88" s="53"/>
      <c r="AE88" s="53"/>
      <c r="AF88" s="53"/>
      <c r="AG88" s="53"/>
      <c r="AH88" s="53"/>
      <c r="AI88" s="53"/>
      <c r="AJ88" s="53"/>
      <c r="AK88" s="53"/>
      <c r="AL88" s="53"/>
      <c r="AM88" s="53"/>
      <c r="AN88" s="53"/>
      <c r="AO88" s="53"/>
      <c r="AP88" s="53"/>
      <c r="AQ88" s="53"/>
    </row>
    <row r="89" spans="1:43" ht="16.5" customHeight="1">
      <c r="A89" s="237"/>
      <c r="B89" s="237"/>
      <c r="D89" s="919"/>
      <c r="E89" s="368" t="s">
        <v>7867</v>
      </c>
      <c r="F89" s="318" t="s">
        <v>7857</v>
      </c>
      <c r="G89" s="316">
        <v>2500</v>
      </c>
      <c r="H89" s="329">
        <v>3000</v>
      </c>
      <c r="I89" s="316">
        <v>3030</v>
      </c>
      <c r="J89" s="316">
        <v>3180</v>
      </c>
      <c r="K89" s="316">
        <v>3360</v>
      </c>
      <c r="L89" s="369">
        <v>3510</v>
      </c>
      <c r="M89" s="251">
        <f t="shared" si="7"/>
        <v>890</v>
      </c>
      <c r="N89" s="922"/>
      <c r="O89" s="372" t="s">
        <v>7868</v>
      </c>
      <c r="P89" s="371" t="s">
        <v>7759</v>
      </c>
      <c r="Q89" s="323">
        <v>19300</v>
      </c>
      <c r="R89" s="324">
        <v>21300</v>
      </c>
      <c r="S89" s="251">
        <f t="shared" si="8"/>
        <v>9810</v>
      </c>
      <c r="AC89" s="53"/>
      <c r="AD89" s="53"/>
      <c r="AE89" s="53"/>
      <c r="AF89" s="53"/>
      <c r="AG89" s="53"/>
      <c r="AH89" s="53"/>
      <c r="AI89" s="53"/>
      <c r="AJ89" s="53"/>
      <c r="AK89" s="53"/>
      <c r="AL89" s="53"/>
      <c r="AM89" s="53"/>
      <c r="AN89" s="53"/>
      <c r="AO89" s="53"/>
      <c r="AP89" s="53"/>
      <c r="AQ89" s="53"/>
    </row>
    <row r="90" spans="1:43" ht="16.5" customHeight="1">
      <c r="A90" s="237"/>
      <c r="B90" s="237"/>
      <c r="D90" s="919"/>
      <c r="E90" s="368" t="s">
        <v>7869</v>
      </c>
      <c r="F90" s="318" t="s">
        <v>7857</v>
      </c>
      <c r="G90" s="316">
        <v>2680</v>
      </c>
      <c r="H90" s="316">
        <v>3180</v>
      </c>
      <c r="I90" s="316">
        <v>3210</v>
      </c>
      <c r="J90" s="316">
        <v>3360</v>
      </c>
      <c r="K90" s="316">
        <v>3540</v>
      </c>
      <c r="L90" s="369">
        <v>3690</v>
      </c>
      <c r="M90" s="251">
        <f t="shared" si="7"/>
        <v>1070</v>
      </c>
      <c r="N90" s="922"/>
      <c r="O90" s="372" t="s">
        <v>7870</v>
      </c>
      <c r="P90" s="371" t="s">
        <v>7763</v>
      </c>
      <c r="Q90" s="323">
        <v>15850</v>
      </c>
      <c r="R90" s="324">
        <v>17850</v>
      </c>
      <c r="S90" s="251">
        <f t="shared" si="8"/>
        <v>6360</v>
      </c>
      <c r="AC90" s="53"/>
      <c r="AD90" s="53"/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</row>
    <row r="91" spans="1:43" ht="16.5" customHeight="1">
      <c r="A91" s="237"/>
      <c r="B91" s="237"/>
      <c r="D91" s="919"/>
      <c r="E91" s="368" t="s">
        <v>7871</v>
      </c>
      <c r="F91" s="318" t="s">
        <v>7857</v>
      </c>
      <c r="G91" s="316">
        <v>3350</v>
      </c>
      <c r="H91" s="316">
        <v>3850</v>
      </c>
      <c r="I91" s="316">
        <v>3880</v>
      </c>
      <c r="J91" s="316">
        <v>4030</v>
      </c>
      <c r="K91" s="316">
        <v>4210</v>
      </c>
      <c r="L91" s="369">
        <v>4360</v>
      </c>
      <c r="M91" s="251">
        <f t="shared" si="7"/>
        <v>1740</v>
      </c>
      <c r="N91" s="922"/>
      <c r="O91" s="372" t="s">
        <v>7872</v>
      </c>
      <c r="P91" s="371" t="s">
        <v>7763</v>
      </c>
      <c r="Q91" s="323">
        <v>17840</v>
      </c>
      <c r="R91" s="324">
        <v>19840</v>
      </c>
      <c r="S91" s="251">
        <f t="shared" si="8"/>
        <v>8350</v>
      </c>
      <c r="AC91" s="53"/>
      <c r="AD91" s="53"/>
      <c r="AE91" s="53"/>
      <c r="AF91" s="53"/>
      <c r="AG91" s="53"/>
      <c r="AH91" s="53"/>
      <c r="AI91" s="53"/>
      <c r="AJ91" s="53"/>
      <c r="AK91" s="53"/>
      <c r="AL91" s="53"/>
      <c r="AM91" s="53"/>
      <c r="AN91" s="53"/>
      <c r="AO91" s="53"/>
      <c r="AP91" s="53"/>
      <c r="AQ91" s="53"/>
    </row>
    <row r="92" spans="1:43" ht="17.25" customHeight="1" thickBot="1">
      <c r="A92" s="237"/>
      <c r="B92" s="237"/>
      <c r="D92" s="920"/>
      <c r="E92" s="373" t="s">
        <v>7873</v>
      </c>
      <c r="F92" s="374" t="s">
        <v>7857</v>
      </c>
      <c r="G92" s="375">
        <v>4020</v>
      </c>
      <c r="H92" s="375">
        <v>4520</v>
      </c>
      <c r="I92" s="375">
        <v>4550</v>
      </c>
      <c r="J92" s="375">
        <v>4700</v>
      </c>
      <c r="K92" s="375">
        <v>4880</v>
      </c>
      <c r="L92" s="376">
        <v>5030</v>
      </c>
      <c r="M92" s="251">
        <f t="shared" si="7"/>
        <v>2410</v>
      </c>
      <c r="N92" s="922"/>
      <c r="O92" s="372" t="s">
        <v>7787</v>
      </c>
      <c r="P92" s="371" t="s">
        <v>7763</v>
      </c>
      <c r="Q92" s="323">
        <v>19300</v>
      </c>
      <c r="R92" s="324">
        <v>21300</v>
      </c>
      <c r="S92" s="251">
        <f t="shared" si="8"/>
        <v>9810</v>
      </c>
      <c r="AC92" s="53"/>
      <c r="AD92" s="53"/>
      <c r="AE92" s="53"/>
      <c r="AF92" s="53"/>
      <c r="AG92" s="53"/>
      <c r="AH92" s="53"/>
      <c r="AI92" s="53"/>
      <c r="AJ92" s="53"/>
      <c r="AK92" s="53"/>
      <c r="AL92" s="53"/>
      <c r="AM92" s="53"/>
      <c r="AN92" s="53"/>
      <c r="AO92" s="53"/>
      <c r="AP92" s="53"/>
      <c r="AQ92" s="53"/>
    </row>
    <row r="93" spans="1:43" ht="53.25" thickBot="1">
      <c r="A93" s="237"/>
      <c r="B93" s="237"/>
      <c r="D93" s="358" t="s">
        <v>7852</v>
      </c>
      <c r="E93" s="924" t="s">
        <v>7269</v>
      </c>
      <c r="F93" s="925"/>
      <c r="G93" s="304" t="s">
        <v>7706</v>
      </c>
      <c r="H93" s="304" t="s">
        <v>7709</v>
      </c>
      <c r="I93" s="304" t="s">
        <v>7736</v>
      </c>
      <c r="J93" s="304" t="s">
        <v>7737</v>
      </c>
      <c r="K93" s="304" t="s">
        <v>7738</v>
      </c>
      <c r="L93" s="305" t="s">
        <v>7739</v>
      </c>
      <c r="M93" s="237"/>
      <c r="N93" s="922"/>
      <c r="O93" s="372" t="s">
        <v>7874</v>
      </c>
      <c r="P93" s="371" t="s">
        <v>7763</v>
      </c>
      <c r="Q93" s="323">
        <v>25380</v>
      </c>
      <c r="R93" s="324">
        <v>27380</v>
      </c>
      <c r="S93" s="251">
        <f t="shared" si="8"/>
        <v>15890</v>
      </c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</row>
    <row r="94" spans="1:43" ht="16.5" customHeight="1">
      <c r="A94" s="237"/>
      <c r="B94" s="237"/>
      <c r="D94" s="918" t="s">
        <v>7875</v>
      </c>
      <c r="E94" s="362" t="s">
        <v>7856</v>
      </c>
      <c r="F94" s="312" t="s">
        <v>7857</v>
      </c>
      <c r="G94" s="313" t="s">
        <v>377</v>
      </c>
      <c r="H94" s="313" t="s">
        <v>377</v>
      </c>
      <c r="I94" s="313" t="s">
        <v>377</v>
      </c>
      <c r="J94" s="313"/>
      <c r="K94" s="313" t="s">
        <v>377</v>
      </c>
      <c r="L94" s="363"/>
      <c r="M94" s="237"/>
      <c r="N94" s="922"/>
      <c r="O94" s="372" t="s">
        <v>7793</v>
      </c>
      <c r="P94" s="371" t="s">
        <v>7763</v>
      </c>
      <c r="Q94" s="323">
        <v>45800</v>
      </c>
      <c r="R94" s="324">
        <v>47800</v>
      </c>
      <c r="S94" s="251">
        <f t="shared" si="8"/>
        <v>36310</v>
      </c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</row>
    <row r="95" spans="1:43" ht="16.5" customHeight="1">
      <c r="A95" s="237"/>
      <c r="B95" s="237"/>
      <c r="D95" s="919"/>
      <c r="E95" s="368" t="s">
        <v>7860</v>
      </c>
      <c r="F95" s="318" t="s">
        <v>7857</v>
      </c>
      <c r="G95" s="316">
        <v>2790</v>
      </c>
      <c r="H95" s="316">
        <v>3150</v>
      </c>
      <c r="I95" s="316">
        <v>3630</v>
      </c>
      <c r="J95" s="316">
        <v>3780</v>
      </c>
      <c r="K95" s="316">
        <v>3960</v>
      </c>
      <c r="L95" s="369">
        <v>4110</v>
      </c>
      <c r="M95" s="237">
        <f>4110*1400</f>
        <v>5754000</v>
      </c>
      <c r="N95" s="922"/>
      <c r="O95" s="372" t="s">
        <v>7795</v>
      </c>
      <c r="P95" s="371" t="s">
        <v>7763</v>
      </c>
      <c r="Q95" s="323">
        <v>40350</v>
      </c>
      <c r="R95" s="324">
        <v>42350</v>
      </c>
      <c r="S95" s="251">
        <f t="shared" si="8"/>
        <v>30860</v>
      </c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</row>
    <row r="96" spans="1:43" ht="17.25" customHeight="1" thickBot="1">
      <c r="A96" s="237"/>
      <c r="B96" s="237"/>
      <c r="D96" s="919"/>
      <c r="E96" s="368" t="s">
        <v>7861</v>
      </c>
      <c r="F96" s="318" t="s">
        <v>7857</v>
      </c>
      <c r="G96" s="316" t="s">
        <v>377</v>
      </c>
      <c r="H96" s="316" t="s">
        <v>377</v>
      </c>
      <c r="I96" s="316" t="s">
        <v>377</v>
      </c>
      <c r="J96" s="316"/>
      <c r="K96" s="316" t="s">
        <v>377</v>
      </c>
      <c r="L96" s="369"/>
      <c r="M96" s="237"/>
      <c r="N96" s="923"/>
      <c r="O96" s="377" t="s">
        <v>7876</v>
      </c>
      <c r="P96" s="378" t="s">
        <v>7759</v>
      </c>
      <c r="Q96" s="379">
        <v>35700</v>
      </c>
      <c r="R96" s="380">
        <v>37700</v>
      </c>
      <c r="S96" s="251">
        <f t="shared" si="8"/>
        <v>26210</v>
      </c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</row>
    <row r="97" spans="1:43">
      <c r="A97" s="237"/>
      <c r="B97" s="237"/>
      <c r="D97" s="919"/>
      <c r="E97" s="368" t="s">
        <v>7862</v>
      </c>
      <c r="F97" s="318" t="s">
        <v>7857</v>
      </c>
      <c r="G97" s="316">
        <v>2720</v>
      </c>
      <c r="H97" s="316">
        <v>3080</v>
      </c>
      <c r="I97" s="316">
        <v>3560</v>
      </c>
      <c r="J97" s="316">
        <v>3710</v>
      </c>
      <c r="K97" s="316">
        <v>3890</v>
      </c>
      <c r="L97" s="369">
        <v>4040</v>
      </c>
      <c r="M97" s="237"/>
      <c r="N97" s="237"/>
      <c r="O97" s="237"/>
      <c r="P97" s="237"/>
      <c r="Q97" s="237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</row>
    <row r="98" spans="1:43">
      <c r="A98" s="237"/>
      <c r="B98" s="237"/>
      <c r="D98" s="919"/>
      <c r="E98" s="368" t="s">
        <v>7877</v>
      </c>
      <c r="F98" s="318" t="s">
        <v>7857</v>
      </c>
      <c r="G98" s="316">
        <v>2650</v>
      </c>
      <c r="H98" s="316">
        <v>3010</v>
      </c>
      <c r="I98" s="316">
        <v>3490</v>
      </c>
      <c r="J98" s="316">
        <v>3640</v>
      </c>
      <c r="K98" s="316">
        <v>3820</v>
      </c>
      <c r="L98" s="369">
        <v>3970</v>
      </c>
      <c r="M98" s="237"/>
      <c r="N98" s="237"/>
      <c r="O98" s="237"/>
      <c r="P98" s="237"/>
      <c r="Q98" s="237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</row>
    <row r="99" spans="1:43">
      <c r="A99" s="237"/>
      <c r="B99" s="237"/>
      <c r="D99" s="919"/>
      <c r="E99" s="368" t="s">
        <v>7864</v>
      </c>
      <c r="F99" s="318" t="s">
        <v>7857</v>
      </c>
      <c r="G99" s="316">
        <v>2750</v>
      </c>
      <c r="H99" s="316">
        <v>3110</v>
      </c>
      <c r="I99" s="316">
        <v>3590</v>
      </c>
      <c r="J99" s="316">
        <v>3740</v>
      </c>
      <c r="K99" s="316">
        <v>3920</v>
      </c>
      <c r="L99" s="369">
        <v>4070</v>
      </c>
      <c r="M99" s="237"/>
      <c r="N99" s="237"/>
      <c r="O99" s="237"/>
      <c r="P99" s="237"/>
      <c r="Q99" s="237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</row>
    <row r="100" spans="1:43">
      <c r="A100" s="237"/>
      <c r="B100" s="237"/>
      <c r="D100" s="919"/>
      <c r="E100" s="368" t="s">
        <v>7878</v>
      </c>
      <c r="F100" s="318" t="s">
        <v>7857</v>
      </c>
      <c r="G100" s="316">
        <v>2730</v>
      </c>
      <c r="H100" s="316">
        <v>3090</v>
      </c>
      <c r="I100" s="316">
        <v>3570</v>
      </c>
      <c r="J100" s="316">
        <v>3720</v>
      </c>
      <c r="K100" s="316">
        <v>3900</v>
      </c>
      <c r="L100" s="369">
        <v>4050</v>
      </c>
      <c r="M100" s="237"/>
      <c r="N100" s="237"/>
      <c r="O100" s="237"/>
      <c r="P100" s="237"/>
      <c r="Q100" s="237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</row>
    <row r="101" spans="1:43">
      <c r="A101" s="237"/>
      <c r="B101" s="237"/>
      <c r="D101" s="919"/>
      <c r="E101" s="368" t="s">
        <v>7879</v>
      </c>
      <c r="F101" s="318" t="s">
        <v>7857</v>
      </c>
      <c r="G101" s="316">
        <v>3240</v>
      </c>
      <c r="H101" s="316">
        <v>3600</v>
      </c>
      <c r="I101" s="316">
        <v>4080</v>
      </c>
      <c r="J101" s="316">
        <v>4230</v>
      </c>
      <c r="K101" s="316">
        <v>4410</v>
      </c>
      <c r="L101" s="369">
        <v>4560</v>
      </c>
      <c r="M101" s="237"/>
      <c r="N101" s="237"/>
      <c r="O101" s="237"/>
      <c r="P101" s="237"/>
      <c r="Q101" s="237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</row>
    <row r="102" spans="1:43">
      <c r="A102" s="237"/>
      <c r="B102" s="237"/>
      <c r="D102" s="919"/>
      <c r="E102" s="368" t="s">
        <v>7867</v>
      </c>
      <c r="F102" s="318" t="s">
        <v>7857</v>
      </c>
      <c r="G102" s="316">
        <v>3360</v>
      </c>
      <c r="H102" s="316">
        <v>3720</v>
      </c>
      <c r="I102" s="316">
        <v>4200</v>
      </c>
      <c r="J102" s="316">
        <v>4350</v>
      </c>
      <c r="K102" s="316">
        <v>4530</v>
      </c>
      <c r="L102" s="369">
        <v>4680</v>
      </c>
      <c r="M102" s="237"/>
      <c r="N102" s="237"/>
      <c r="O102" s="237"/>
      <c r="P102" s="237"/>
      <c r="Q102" s="237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</row>
    <row r="103" spans="1:43">
      <c r="A103" s="237"/>
      <c r="B103" s="237"/>
      <c r="D103" s="919"/>
      <c r="E103" s="368" t="s">
        <v>7880</v>
      </c>
      <c r="F103" s="318" t="s">
        <v>7857</v>
      </c>
      <c r="G103" s="316">
        <v>3540</v>
      </c>
      <c r="H103" s="316">
        <v>3900</v>
      </c>
      <c r="I103" s="316">
        <v>4380</v>
      </c>
      <c r="J103" s="316">
        <v>4530</v>
      </c>
      <c r="K103" s="316">
        <v>4710</v>
      </c>
      <c r="L103" s="369">
        <v>4860</v>
      </c>
      <c r="M103" s="237"/>
      <c r="N103" s="237"/>
      <c r="O103" s="237"/>
      <c r="P103" s="237"/>
      <c r="Q103" s="237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</row>
    <row r="104" spans="1:43">
      <c r="A104" s="237"/>
      <c r="B104" s="237"/>
      <c r="D104" s="919"/>
      <c r="E104" s="368" t="s">
        <v>7881</v>
      </c>
      <c r="F104" s="318" t="s">
        <v>7857</v>
      </c>
      <c r="G104" s="316">
        <v>4210</v>
      </c>
      <c r="H104" s="316">
        <v>4570</v>
      </c>
      <c r="I104" s="316">
        <v>5050</v>
      </c>
      <c r="J104" s="316">
        <v>5200</v>
      </c>
      <c r="K104" s="316">
        <v>5380</v>
      </c>
      <c r="L104" s="369">
        <v>5530</v>
      </c>
      <c r="M104" s="237"/>
      <c r="N104" s="237"/>
      <c r="O104" s="237"/>
      <c r="P104" s="237"/>
      <c r="Q104" s="237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</row>
    <row r="105" spans="1:43" ht="17.25" thickBot="1">
      <c r="A105" s="237"/>
      <c r="B105" s="237"/>
      <c r="D105" s="926"/>
      <c r="E105" s="381" t="s">
        <v>7882</v>
      </c>
      <c r="F105" s="343" t="s">
        <v>7857</v>
      </c>
      <c r="G105" s="344">
        <v>4880</v>
      </c>
      <c r="H105" s="344">
        <v>5240</v>
      </c>
      <c r="I105" s="344">
        <v>5720</v>
      </c>
      <c r="J105" s="344">
        <v>5870</v>
      </c>
      <c r="K105" s="344">
        <v>6050</v>
      </c>
      <c r="L105" s="382">
        <v>6200</v>
      </c>
      <c r="M105" s="237"/>
      <c r="N105" s="237"/>
      <c r="O105" s="237"/>
      <c r="P105" s="237"/>
      <c r="Q105" s="237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</row>
    <row r="106" spans="1:43">
      <c r="A106" s="237"/>
      <c r="B106" s="237"/>
      <c r="D106" s="237"/>
      <c r="E106" s="269"/>
      <c r="F106" s="269"/>
      <c r="G106" s="237"/>
      <c r="H106" s="237"/>
      <c r="I106" s="237"/>
      <c r="J106" s="237"/>
      <c r="K106" s="237"/>
      <c r="L106" s="237"/>
      <c r="M106" s="237"/>
      <c r="N106" s="237"/>
      <c r="O106" s="237"/>
      <c r="P106" s="237"/>
      <c r="Q106" s="237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</row>
    <row r="107" spans="1:43">
      <c r="A107" s="237"/>
      <c r="B107" s="237"/>
      <c r="D107" s="237"/>
      <c r="E107" s="269"/>
      <c r="F107" s="269"/>
      <c r="G107" s="237"/>
      <c r="H107" s="237"/>
      <c r="I107" s="237"/>
      <c r="J107" s="251"/>
      <c r="K107" s="237"/>
      <c r="L107" s="237"/>
      <c r="M107" s="237"/>
      <c r="N107" s="237"/>
      <c r="O107" s="237"/>
      <c r="P107" s="237"/>
      <c r="Q107" s="237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</row>
    <row r="108" spans="1:43" ht="17.25" thickBot="1">
      <c r="A108" s="237"/>
      <c r="B108" s="237"/>
      <c r="D108" s="237"/>
      <c r="E108" s="269"/>
      <c r="F108" s="269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</row>
    <row r="109" spans="1:43" ht="24" customHeight="1">
      <c r="A109" s="237"/>
      <c r="B109" s="237"/>
      <c r="D109" s="898" t="s">
        <v>7883</v>
      </c>
      <c r="E109" s="899"/>
      <c r="F109" s="899"/>
      <c r="G109" s="899"/>
      <c r="H109" s="899"/>
      <c r="I109" s="899"/>
      <c r="J109" s="899"/>
      <c r="K109" s="899"/>
      <c r="L109" s="899"/>
      <c r="M109" s="899"/>
      <c r="N109" s="899"/>
      <c r="O109" s="900"/>
      <c r="P109" s="237"/>
      <c r="Q109" s="237"/>
    </row>
    <row r="110" spans="1:43" ht="24" customHeight="1">
      <c r="A110" s="237"/>
      <c r="B110" s="237"/>
      <c r="D110" s="901"/>
      <c r="E110" s="902"/>
      <c r="F110" s="902"/>
      <c r="G110" s="902"/>
      <c r="H110" s="902"/>
      <c r="I110" s="902"/>
      <c r="J110" s="902"/>
      <c r="K110" s="902"/>
      <c r="L110" s="902"/>
      <c r="M110" s="902"/>
      <c r="N110" s="902"/>
      <c r="O110" s="903"/>
      <c r="P110" s="237"/>
      <c r="Q110" s="237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</row>
    <row r="111" spans="1:43" ht="55.5" customHeight="1">
      <c r="A111" s="237"/>
      <c r="B111" s="383"/>
      <c r="C111" s="383"/>
      <c r="D111" s="904" t="s">
        <v>7884</v>
      </c>
      <c r="E111" s="384" t="s">
        <v>7087</v>
      </c>
      <c r="F111" s="907" t="s">
        <v>7885</v>
      </c>
      <c r="G111" s="908"/>
      <c r="H111" s="907" t="s">
        <v>7886</v>
      </c>
      <c r="I111" s="908"/>
      <c r="J111" s="909" t="s">
        <v>7887</v>
      </c>
      <c r="K111" s="384" t="s">
        <v>7087</v>
      </c>
      <c r="L111" s="912" t="s">
        <v>7888</v>
      </c>
      <c r="M111" s="912"/>
      <c r="N111" s="912" t="s">
        <v>7889</v>
      </c>
      <c r="O111" s="913"/>
      <c r="P111" s="237"/>
      <c r="Q111" s="237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</row>
    <row r="112" spans="1:43" ht="17.25" customHeight="1">
      <c r="A112" s="237"/>
      <c r="B112" s="383"/>
      <c r="C112" s="383"/>
      <c r="D112" s="905"/>
      <c r="E112" s="385" t="s">
        <v>7890</v>
      </c>
      <c r="F112" s="386">
        <v>2530</v>
      </c>
      <c r="G112" s="387" t="s">
        <v>7891</v>
      </c>
      <c r="H112" s="386">
        <v>2330</v>
      </c>
      <c r="I112" s="387" t="s">
        <v>7892</v>
      </c>
      <c r="J112" s="910"/>
      <c r="K112" s="385" t="s">
        <v>7890</v>
      </c>
      <c r="L112" s="386" t="s">
        <v>355</v>
      </c>
      <c r="M112" s="386" t="s">
        <v>355</v>
      </c>
      <c r="N112" s="386" t="s">
        <v>355</v>
      </c>
      <c r="O112" s="388" t="s">
        <v>355</v>
      </c>
      <c r="P112" s="237"/>
      <c r="Q112" s="237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</row>
    <row r="113" spans="1:43">
      <c r="A113" s="237"/>
      <c r="B113" s="383"/>
      <c r="C113" s="383"/>
      <c r="D113" s="905"/>
      <c r="E113" s="385" t="s">
        <v>7893</v>
      </c>
      <c r="F113" s="386">
        <v>3040</v>
      </c>
      <c r="G113" s="387" t="s">
        <v>7894</v>
      </c>
      <c r="H113" s="386">
        <v>2840</v>
      </c>
      <c r="I113" s="387" t="s">
        <v>7895</v>
      </c>
      <c r="J113" s="910"/>
      <c r="K113" s="385" t="s">
        <v>7893</v>
      </c>
      <c r="L113" s="386">
        <v>3940</v>
      </c>
      <c r="M113" s="387" t="s">
        <v>7891</v>
      </c>
      <c r="N113" s="386">
        <v>3740</v>
      </c>
      <c r="O113" s="389" t="s">
        <v>7896</v>
      </c>
      <c r="P113" s="237"/>
      <c r="Q113" s="237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</row>
    <row r="114" spans="1:43">
      <c r="A114" s="237"/>
      <c r="B114" s="383"/>
      <c r="C114" s="383"/>
      <c r="D114" s="905"/>
      <c r="E114" s="385" t="s">
        <v>7849</v>
      </c>
      <c r="F114" s="386">
        <v>2020</v>
      </c>
      <c r="G114" s="387" t="s">
        <v>7897</v>
      </c>
      <c r="H114" s="386">
        <v>1820</v>
      </c>
      <c r="I114" s="387" t="s">
        <v>7898</v>
      </c>
      <c r="J114" s="910"/>
      <c r="K114" s="385" t="s">
        <v>7849</v>
      </c>
      <c r="L114" s="386" t="s">
        <v>355</v>
      </c>
      <c r="M114" s="386" t="s">
        <v>355</v>
      </c>
      <c r="N114" s="386" t="s">
        <v>355</v>
      </c>
      <c r="O114" s="388" t="s">
        <v>355</v>
      </c>
      <c r="P114" s="237"/>
      <c r="Q114" s="237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</row>
    <row r="115" spans="1:43">
      <c r="A115" s="237"/>
      <c r="B115" s="383"/>
      <c r="C115" s="383"/>
      <c r="D115" s="905"/>
      <c r="E115" s="385" t="s">
        <v>7899</v>
      </c>
      <c r="F115" s="386">
        <v>1670</v>
      </c>
      <c r="G115" s="387" t="s">
        <v>7900</v>
      </c>
      <c r="H115" s="386">
        <v>1470</v>
      </c>
      <c r="I115" s="387" t="s">
        <v>7901</v>
      </c>
      <c r="J115" s="910"/>
      <c r="K115" s="385" t="s">
        <v>7899</v>
      </c>
      <c r="L115" s="386">
        <v>2570</v>
      </c>
      <c r="M115" s="387" t="s">
        <v>7902</v>
      </c>
      <c r="N115" s="386">
        <v>2370</v>
      </c>
      <c r="O115" s="389" t="s">
        <v>7903</v>
      </c>
      <c r="P115" s="237"/>
      <c r="Q115" s="237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</row>
    <row r="116" spans="1:43">
      <c r="A116" s="237"/>
      <c r="B116" s="383"/>
      <c r="C116" s="383"/>
      <c r="D116" s="905"/>
      <c r="E116" s="385" t="s">
        <v>7904</v>
      </c>
      <c r="F116" s="386">
        <v>1640</v>
      </c>
      <c r="G116" s="387" t="s">
        <v>7905</v>
      </c>
      <c r="H116" s="386">
        <v>1440</v>
      </c>
      <c r="I116" s="387" t="s">
        <v>7906</v>
      </c>
      <c r="J116" s="910"/>
      <c r="K116" s="385" t="s">
        <v>7904</v>
      </c>
      <c r="L116" s="386">
        <v>2540</v>
      </c>
      <c r="M116" s="387" t="s">
        <v>355</v>
      </c>
      <c r="N116" s="386">
        <v>2540</v>
      </c>
      <c r="O116" s="389" t="s">
        <v>355</v>
      </c>
      <c r="P116" s="237"/>
      <c r="Q116" s="390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</row>
    <row r="117" spans="1:43">
      <c r="A117" s="237"/>
      <c r="B117" s="383"/>
      <c r="C117" s="383"/>
      <c r="D117" s="905"/>
      <c r="E117" s="385" t="s">
        <v>7907</v>
      </c>
      <c r="F117" s="386">
        <v>1620</v>
      </c>
      <c r="G117" s="387" t="s">
        <v>7908</v>
      </c>
      <c r="H117" s="386">
        <v>1420</v>
      </c>
      <c r="I117" s="387" t="s">
        <v>7909</v>
      </c>
      <c r="J117" s="910"/>
      <c r="K117" s="385" t="s">
        <v>7907</v>
      </c>
      <c r="L117" s="386" t="s">
        <v>355</v>
      </c>
      <c r="M117" s="386" t="s">
        <v>355</v>
      </c>
      <c r="N117" s="386" t="s">
        <v>355</v>
      </c>
      <c r="O117" s="388" t="s">
        <v>355</v>
      </c>
      <c r="P117" s="237"/>
      <c r="Q117" s="237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</row>
    <row r="118" spans="1:43">
      <c r="A118" s="237"/>
      <c r="B118" s="383"/>
      <c r="C118" s="383"/>
      <c r="D118" s="905"/>
      <c r="E118" s="385" t="s">
        <v>7877</v>
      </c>
      <c r="F118" s="386">
        <v>1560</v>
      </c>
      <c r="G118" s="387" t="s">
        <v>7910</v>
      </c>
      <c r="H118" s="386">
        <v>1360</v>
      </c>
      <c r="I118" s="387" t="s">
        <v>7911</v>
      </c>
      <c r="J118" s="910"/>
      <c r="K118" s="385" t="s">
        <v>7877</v>
      </c>
      <c r="L118" s="386">
        <v>2460</v>
      </c>
      <c r="M118" s="387" t="s">
        <v>7912</v>
      </c>
      <c r="N118" s="386">
        <v>2260</v>
      </c>
      <c r="O118" s="389" t="s">
        <v>7913</v>
      </c>
      <c r="P118" s="237"/>
      <c r="Q118" s="237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</row>
    <row r="119" spans="1:43">
      <c r="A119" s="237"/>
      <c r="B119" s="383"/>
      <c r="C119" s="383"/>
      <c r="D119" s="905"/>
      <c r="E119" s="385" t="s">
        <v>7878</v>
      </c>
      <c r="F119" s="386">
        <v>1640</v>
      </c>
      <c r="G119" s="387" t="s">
        <v>7914</v>
      </c>
      <c r="H119" s="386">
        <v>1440</v>
      </c>
      <c r="I119" s="387" t="s">
        <v>7915</v>
      </c>
      <c r="J119" s="910"/>
      <c r="K119" s="385" t="s">
        <v>7878</v>
      </c>
      <c r="L119" s="386">
        <v>2540</v>
      </c>
      <c r="M119" s="387" t="s">
        <v>7916</v>
      </c>
      <c r="N119" s="386">
        <v>2340</v>
      </c>
      <c r="O119" s="389" t="s">
        <v>7917</v>
      </c>
      <c r="P119" s="237"/>
      <c r="Q119" s="237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</row>
    <row r="120" spans="1:43">
      <c r="A120" s="237"/>
      <c r="B120" s="383"/>
      <c r="C120" s="383"/>
      <c r="D120" s="905"/>
      <c r="E120" s="385" t="s">
        <v>7918</v>
      </c>
      <c r="F120" s="386">
        <v>2080</v>
      </c>
      <c r="G120" s="387" t="s">
        <v>7919</v>
      </c>
      <c r="H120" s="386">
        <v>1880</v>
      </c>
      <c r="I120" s="387" t="s">
        <v>7920</v>
      </c>
      <c r="J120" s="910"/>
      <c r="K120" s="385" t="s">
        <v>7918</v>
      </c>
      <c r="L120" s="386">
        <v>2980</v>
      </c>
      <c r="M120" s="387" t="s">
        <v>7921</v>
      </c>
      <c r="N120" s="386">
        <v>2780</v>
      </c>
      <c r="O120" s="389" t="s">
        <v>7922</v>
      </c>
      <c r="P120" s="237"/>
      <c r="Q120" s="237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</row>
    <row r="121" spans="1:43">
      <c r="A121" s="237"/>
      <c r="B121" s="383"/>
      <c r="C121" s="383"/>
      <c r="D121" s="905"/>
      <c r="E121" s="385" t="s">
        <v>7923</v>
      </c>
      <c r="F121" s="386">
        <v>2220</v>
      </c>
      <c r="G121" s="387" t="s">
        <v>7924</v>
      </c>
      <c r="H121" s="386">
        <v>2020</v>
      </c>
      <c r="I121" s="387" t="s">
        <v>7925</v>
      </c>
      <c r="J121" s="910"/>
      <c r="K121" s="385" t="s">
        <v>7923</v>
      </c>
      <c r="L121" s="386">
        <v>3120</v>
      </c>
      <c r="M121" s="387" t="s">
        <v>7926</v>
      </c>
      <c r="N121" s="386">
        <v>2920</v>
      </c>
      <c r="O121" s="389" t="s">
        <v>7927</v>
      </c>
      <c r="P121" s="237"/>
      <c r="Q121" s="237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</row>
    <row r="122" spans="1:43" ht="17.25" thickBot="1">
      <c r="A122" s="237"/>
      <c r="B122" s="383"/>
      <c r="C122" s="383"/>
      <c r="D122" s="906"/>
      <c r="E122" s="391" t="s">
        <v>7880</v>
      </c>
      <c r="F122" s="392">
        <v>2480</v>
      </c>
      <c r="G122" s="393" t="s">
        <v>7928</v>
      </c>
      <c r="H122" s="392">
        <v>2280</v>
      </c>
      <c r="I122" s="393" t="s">
        <v>7929</v>
      </c>
      <c r="J122" s="911"/>
      <c r="K122" s="391" t="s">
        <v>7880</v>
      </c>
      <c r="L122" s="392">
        <v>3380</v>
      </c>
      <c r="M122" s="393" t="s">
        <v>7930</v>
      </c>
      <c r="N122" s="392">
        <v>3180</v>
      </c>
      <c r="O122" s="394" t="s">
        <v>7931</v>
      </c>
      <c r="P122" s="237"/>
      <c r="Q122" s="237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</row>
    <row r="123" spans="1:43">
      <c r="A123" s="237"/>
      <c r="C123" s="383"/>
      <c r="D123" s="897" t="s">
        <v>7932</v>
      </c>
      <c r="E123" s="897"/>
      <c r="F123" s="897"/>
      <c r="G123" s="897"/>
      <c r="H123" s="237"/>
      <c r="I123" s="237"/>
      <c r="J123" s="237"/>
      <c r="K123" s="237"/>
      <c r="L123" s="237"/>
      <c r="M123" s="237"/>
      <c r="N123" s="237"/>
      <c r="O123" s="237"/>
      <c r="P123" s="237"/>
      <c r="Q123" s="237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</row>
    <row r="124" spans="1:43" ht="17.25" customHeight="1">
      <c r="A124" s="237"/>
      <c r="B124" s="237"/>
      <c r="D124" s="237"/>
      <c r="E124" s="269"/>
      <c r="F124" s="269"/>
      <c r="G124" s="237"/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</row>
    <row r="125" spans="1:43" ht="17.25" customHeight="1">
      <c r="A125" s="237"/>
      <c r="B125" s="237"/>
      <c r="D125" s="237"/>
      <c r="E125" s="269"/>
      <c r="F125" s="269"/>
      <c r="G125" s="237"/>
      <c r="H125" s="237"/>
      <c r="I125" s="237"/>
      <c r="J125" s="237"/>
      <c r="K125" s="237"/>
      <c r="L125" s="237"/>
      <c r="M125" s="237"/>
      <c r="N125" s="237"/>
      <c r="O125" s="237"/>
      <c r="P125" s="237"/>
      <c r="Q125" s="237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</row>
    <row r="126" spans="1:43" ht="17.25" customHeight="1">
      <c r="A126" s="237"/>
      <c r="B126" s="237"/>
      <c r="D126" s="237"/>
      <c r="E126" s="269"/>
      <c r="F126" s="269"/>
      <c r="G126" s="237"/>
      <c r="H126" s="237"/>
      <c r="I126" s="237"/>
      <c r="J126" s="237"/>
      <c r="K126" s="237"/>
      <c r="L126" s="237"/>
      <c r="M126" s="237"/>
      <c r="N126" s="395">
        <f>N121*1400</f>
        <v>4088000</v>
      </c>
      <c r="O126" s="237"/>
      <c r="P126" s="237"/>
      <c r="Q126" s="237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</row>
    <row r="127" spans="1:43" ht="17.25" customHeight="1">
      <c r="A127" s="237"/>
      <c r="B127" s="237"/>
      <c r="D127" s="237"/>
      <c r="E127" s="269"/>
      <c r="F127" s="269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</row>
    <row r="128" spans="1:43" ht="17.25" customHeight="1">
      <c r="A128" s="237"/>
      <c r="B128" s="237"/>
      <c r="D128" s="237"/>
      <c r="E128" s="269"/>
      <c r="F128" s="269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</row>
    <row r="129" spans="1:43" ht="17.25" customHeight="1">
      <c r="A129" s="237"/>
      <c r="B129" s="237"/>
      <c r="D129" s="237"/>
      <c r="E129" s="269"/>
      <c r="F129" s="269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</row>
    <row r="130" spans="1:43" ht="17.25" customHeight="1">
      <c r="A130" s="237"/>
      <c r="B130" s="237"/>
      <c r="D130" s="237"/>
      <c r="E130" s="269"/>
      <c r="F130" s="269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</row>
    <row r="131" spans="1:43">
      <c r="A131" s="237"/>
      <c r="B131" s="237"/>
      <c r="D131" s="237"/>
      <c r="E131" s="269"/>
      <c r="F131" s="269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</row>
    <row r="132" spans="1:43">
      <c r="A132" s="237"/>
      <c r="B132" s="237"/>
      <c r="D132" s="237"/>
      <c r="E132" s="269"/>
      <c r="F132" s="269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</row>
    <row r="133" spans="1:43">
      <c r="A133" s="237"/>
      <c r="B133" s="237"/>
      <c r="D133" s="237"/>
      <c r="E133" s="269"/>
      <c r="F133" s="269"/>
      <c r="G133" s="237"/>
      <c r="H133" s="237"/>
      <c r="I133" s="237"/>
      <c r="J133" s="237"/>
      <c r="K133" s="237"/>
      <c r="L133" s="237"/>
      <c r="M133" s="237"/>
      <c r="N133" s="237"/>
      <c r="O133" s="237"/>
      <c r="P133" s="237"/>
      <c r="Q133" s="237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</row>
    <row r="134" spans="1:43">
      <c r="A134" s="237"/>
      <c r="B134" s="237"/>
      <c r="D134" s="237"/>
      <c r="E134" s="269"/>
      <c r="F134" s="269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</row>
    <row r="135" spans="1:43">
      <c r="A135" s="237"/>
      <c r="B135" s="237"/>
      <c r="D135" s="237"/>
      <c r="E135" s="269"/>
      <c r="F135" s="269"/>
      <c r="G135" s="237"/>
      <c r="H135" s="237"/>
      <c r="I135" s="237"/>
      <c r="J135" s="237"/>
      <c r="K135" s="237"/>
      <c r="L135" s="237"/>
      <c r="M135" s="237"/>
      <c r="O135" s="237"/>
      <c r="P135" s="237"/>
      <c r="Q135" s="237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</row>
    <row r="136" spans="1:43">
      <c r="A136" s="237"/>
      <c r="B136" s="237"/>
      <c r="D136" s="236"/>
      <c r="E136" s="396" t="s">
        <v>7933</v>
      </c>
      <c r="F136" s="396" t="s">
        <v>7934</v>
      </c>
      <c r="G136" s="396" t="s">
        <v>7935</v>
      </c>
      <c r="H136" s="333"/>
      <c r="I136" s="237"/>
      <c r="J136" s="237"/>
      <c r="K136" s="237"/>
      <c r="L136" s="237"/>
      <c r="M136" s="237"/>
      <c r="O136" s="237"/>
      <c r="P136" s="237"/>
      <c r="Q136" s="237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</row>
    <row r="137" spans="1:43">
      <c r="A137" s="237"/>
      <c r="B137" s="237"/>
      <c r="D137" s="236" t="s">
        <v>7936</v>
      </c>
      <c r="E137" s="397">
        <v>558.8317757009346</v>
      </c>
      <c r="F137" s="397">
        <v>0.4</v>
      </c>
      <c r="G137" s="397">
        <v>940</v>
      </c>
      <c r="H137" s="398">
        <f>G137*1200</f>
        <v>1128000</v>
      </c>
      <c r="I137" s="237"/>
      <c r="J137" s="237"/>
      <c r="K137" s="237"/>
      <c r="L137" s="237"/>
      <c r="M137" s="237"/>
      <c r="O137" s="237"/>
      <c r="P137" s="237"/>
      <c r="Q137" s="237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</row>
    <row r="138" spans="1:43">
      <c r="A138" s="237"/>
      <c r="B138" s="237"/>
      <c r="D138" s="236" t="s">
        <v>7937</v>
      </c>
      <c r="E138" s="397">
        <v>1301.8691588785045</v>
      </c>
      <c r="F138" s="397">
        <v>0.4</v>
      </c>
      <c r="G138" s="397">
        <v>2170</v>
      </c>
      <c r="H138" s="398">
        <f>G138*1200</f>
        <v>2604000</v>
      </c>
      <c r="I138" s="237"/>
      <c r="J138" s="237"/>
      <c r="K138" s="237"/>
      <c r="L138" s="237"/>
      <c r="M138" s="237"/>
      <c r="O138" s="237"/>
      <c r="P138" s="237"/>
      <c r="Q138" s="237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</row>
    <row r="139" spans="1:43">
      <c r="A139" s="237"/>
      <c r="B139" s="237"/>
      <c r="D139" s="237"/>
      <c r="E139" s="269"/>
      <c r="F139" s="269"/>
      <c r="G139" s="237"/>
      <c r="H139" s="237"/>
      <c r="I139" s="333" t="s">
        <v>7938</v>
      </c>
      <c r="J139" s="333"/>
      <c r="K139" s="237"/>
      <c r="L139" s="237"/>
      <c r="M139" s="237"/>
      <c r="N139" s="237"/>
      <c r="O139" s="237"/>
      <c r="P139" s="237"/>
      <c r="Q139" s="237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</row>
    <row r="140" spans="1:43">
      <c r="A140" s="237"/>
      <c r="B140" s="237"/>
      <c r="D140" s="317" t="s">
        <v>7856</v>
      </c>
      <c r="E140" s="397">
        <v>170</v>
      </c>
      <c r="F140" s="399">
        <f>E140*1200</f>
        <v>204000</v>
      </c>
      <c r="G140" s="237"/>
      <c r="H140" s="237"/>
      <c r="I140" s="398">
        <f t="shared" ref="I140:I151" si="9">$H$137+F140</f>
        <v>1332000</v>
      </c>
      <c r="J140" s="398">
        <f t="shared" ref="J140:J151" si="10">$H$138+F140</f>
        <v>2808000</v>
      </c>
      <c r="K140" s="237"/>
      <c r="L140" s="237"/>
      <c r="M140" s="237"/>
      <c r="N140" s="237"/>
      <c r="O140" s="237"/>
      <c r="P140" s="237"/>
      <c r="Q140" s="237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</row>
    <row r="141" spans="1:43">
      <c r="A141" s="237"/>
      <c r="B141" s="237"/>
      <c r="D141" s="317" t="s">
        <v>7860</v>
      </c>
      <c r="E141" s="397">
        <v>320</v>
      </c>
      <c r="F141" s="399">
        <f t="shared" ref="F141:F151" si="11">E141*1200</f>
        <v>384000</v>
      </c>
      <c r="G141" s="237"/>
      <c r="H141" s="237"/>
      <c r="I141" s="398">
        <f t="shared" si="9"/>
        <v>1512000</v>
      </c>
      <c r="J141" s="398">
        <f t="shared" si="10"/>
        <v>2988000</v>
      </c>
      <c r="K141" s="237"/>
      <c r="L141" s="237"/>
      <c r="M141" s="237"/>
      <c r="N141" s="237"/>
      <c r="O141" s="237"/>
      <c r="P141" s="237"/>
      <c r="Q141" s="237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</row>
    <row r="142" spans="1:43">
      <c r="A142" s="237"/>
      <c r="B142" s="237"/>
      <c r="D142" s="317" t="s">
        <v>7861</v>
      </c>
      <c r="E142" s="397">
        <v>280</v>
      </c>
      <c r="F142" s="399">
        <f t="shared" si="11"/>
        <v>336000</v>
      </c>
      <c r="G142" s="237"/>
      <c r="H142" s="237"/>
      <c r="I142" s="398">
        <f t="shared" si="9"/>
        <v>1464000</v>
      </c>
      <c r="J142" s="398">
        <f t="shared" si="10"/>
        <v>2940000</v>
      </c>
      <c r="K142" s="237"/>
      <c r="L142" s="237"/>
      <c r="M142" s="237"/>
      <c r="N142" s="237"/>
      <c r="O142" s="237"/>
      <c r="P142" s="237"/>
      <c r="Q142" s="237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</row>
    <row r="143" spans="1:43">
      <c r="A143" s="237"/>
      <c r="B143" s="237"/>
      <c r="D143" s="317" t="s">
        <v>7862</v>
      </c>
      <c r="E143" s="397">
        <v>250</v>
      </c>
      <c r="F143" s="399">
        <f t="shared" si="11"/>
        <v>300000</v>
      </c>
      <c r="G143" s="237"/>
      <c r="H143" s="237"/>
      <c r="I143" s="398">
        <f t="shared" si="9"/>
        <v>1428000</v>
      </c>
      <c r="J143" s="398">
        <f t="shared" si="10"/>
        <v>2904000</v>
      </c>
      <c r="K143" s="237"/>
      <c r="L143" s="237"/>
      <c r="M143" s="237"/>
      <c r="N143" s="237"/>
      <c r="O143" s="237"/>
      <c r="P143" s="237"/>
      <c r="Q143" s="237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</row>
    <row r="144" spans="1:43">
      <c r="A144" s="237"/>
      <c r="B144" s="237"/>
      <c r="D144" s="317" t="s">
        <v>7863</v>
      </c>
      <c r="E144" s="397">
        <v>180</v>
      </c>
      <c r="F144" s="399">
        <f t="shared" si="11"/>
        <v>216000</v>
      </c>
      <c r="G144" s="237"/>
      <c r="H144" s="237"/>
      <c r="I144" s="398">
        <f t="shared" si="9"/>
        <v>1344000</v>
      </c>
      <c r="J144" s="400">
        <f t="shared" si="10"/>
        <v>2820000</v>
      </c>
      <c r="K144" s="237"/>
      <c r="L144" s="237"/>
      <c r="M144" s="237"/>
      <c r="N144" s="237"/>
      <c r="O144" s="237"/>
      <c r="P144" s="237"/>
      <c r="Q144" s="237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</row>
    <row r="145" spans="1:43">
      <c r="A145" s="237"/>
      <c r="B145" s="237"/>
      <c r="D145" s="317" t="s">
        <v>7864</v>
      </c>
      <c r="E145" s="397">
        <v>280</v>
      </c>
      <c r="F145" s="399">
        <f t="shared" si="11"/>
        <v>336000</v>
      </c>
      <c r="G145" s="237"/>
      <c r="H145" s="237"/>
      <c r="I145" s="398">
        <f t="shared" si="9"/>
        <v>1464000</v>
      </c>
      <c r="J145" s="400">
        <f t="shared" si="10"/>
        <v>2940000</v>
      </c>
      <c r="K145" s="237"/>
      <c r="L145" s="237"/>
      <c r="M145" s="237"/>
      <c r="N145" s="237"/>
      <c r="O145" s="237"/>
      <c r="P145" s="237"/>
      <c r="Q145" s="237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</row>
    <row r="146" spans="1:43">
      <c r="A146" s="237"/>
      <c r="B146" s="237"/>
      <c r="D146" s="317" t="s">
        <v>7865</v>
      </c>
      <c r="E146" s="397">
        <v>260</v>
      </c>
      <c r="F146" s="399">
        <f t="shared" si="11"/>
        <v>312000</v>
      </c>
      <c r="G146" s="237"/>
      <c r="H146" s="237"/>
      <c r="I146" s="398">
        <f t="shared" si="9"/>
        <v>1440000</v>
      </c>
      <c r="J146" s="400">
        <f t="shared" si="10"/>
        <v>2916000</v>
      </c>
      <c r="K146" s="237"/>
      <c r="L146" s="237"/>
      <c r="M146" s="237"/>
      <c r="N146" s="237"/>
      <c r="O146" s="237"/>
      <c r="P146" s="237"/>
      <c r="Q146" s="237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</row>
    <row r="147" spans="1:43">
      <c r="A147" s="237"/>
      <c r="B147" s="237"/>
      <c r="D147" s="317" t="s">
        <v>7866</v>
      </c>
      <c r="E147" s="397">
        <v>770</v>
      </c>
      <c r="F147" s="399">
        <f t="shared" si="11"/>
        <v>924000</v>
      </c>
      <c r="G147" s="237"/>
      <c r="H147" s="237"/>
      <c r="I147" s="398">
        <f t="shared" si="9"/>
        <v>2052000</v>
      </c>
      <c r="J147" s="400">
        <f t="shared" si="10"/>
        <v>3528000</v>
      </c>
      <c r="K147" s="237"/>
      <c r="L147" s="237"/>
      <c r="M147" s="237"/>
      <c r="N147" s="237"/>
      <c r="O147" s="237"/>
      <c r="P147" s="237"/>
      <c r="Q147" s="237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</row>
    <row r="148" spans="1:43">
      <c r="A148" s="237"/>
      <c r="B148" s="237"/>
      <c r="D148" s="317" t="s">
        <v>7867</v>
      </c>
      <c r="E148" s="397">
        <v>890</v>
      </c>
      <c r="F148" s="399">
        <f t="shared" si="11"/>
        <v>1068000</v>
      </c>
      <c r="G148" s="237"/>
      <c r="H148" s="237"/>
      <c r="I148" s="398">
        <f t="shared" si="9"/>
        <v>2196000</v>
      </c>
      <c r="J148" s="400">
        <f t="shared" si="10"/>
        <v>3672000</v>
      </c>
      <c r="K148" s="237"/>
      <c r="L148" s="237"/>
      <c r="M148" s="237"/>
      <c r="N148" s="237"/>
      <c r="O148" s="237"/>
      <c r="P148" s="237"/>
      <c r="Q148" s="237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</row>
    <row r="149" spans="1:43">
      <c r="A149" s="237"/>
      <c r="B149" s="237"/>
      <c r="D149" s="317" t="s">
        <v>7869</v>
      </c>
      <c r="E149" s="397">
        <v>1070</v>
      </c>
      <c r="F149" s="399">
        <f t="shared" si="11"/>
        <v>1284000</v>
      </c>
      <c r="G149" s="237"/>
      <c r="H149" s="237"/>
      <c r="I149" s="398">
        <f t="shared" si="9"/>
        <v>2412000</v>
      </c>
      <c r="J149" s="398">
        <f t="shared" si="10"/>
        <v>3888000</v>
      </c>
      <c r="K149" s="237"/>
      <c r="L149" s="237"/>
      <c r="M149" s="237"/>
      <c r="N149" s="237"/>
      <c r="O149" s="237"/>
      <c r="P149" s="237"/>
      <c r="Q149" s="237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</row>
    <row r="150" spans="1:43">
      <c r="A150" s="237"/>
      <c r="B150" s="237"/>
      <c r="D150" s="317" t="s">
        <v>7871</v>
      </c>
      <c r="E150" s="397">
        <v>1740</v>
      </c>
      <c r="F150" s="399">
        <f t="shared" si="11"/>
        <v>2088000</v>
      </c>
      <c r="G150" s="237"/>
      <c r="H150" s="237"/>
      <c r="I150" s="398">
        <f t="shared" si="9"/>
        <v>3216000</v>
      </c>
      <c r="J150" s="398">
        <f t="shared" si="10"/>
        <v>4692000</v>
      </c>
      <c r="K150" s="237"/>
      <c r="L150" s="237"/>
      <c r="M150" s="237"/>
      <c r="N150" s="237"/>
      <c r="O150" s="237"/>
      <c r="P150" s="237"/>
      <c r="Q150" s="237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</row>
    <row r="151" spans="1:43">
      <c r="A151" s="237"/>
      <c r="B151" s="237"/>
      <c r="D151" s="317" t="s">
        <v>7873</v>
      </c>
      <c r="E151" s="397">
        <v>2410</v>
      </c>
      <c r="F151" s="399">
        <f t="shared" si="11"/>
        <v>2892000</v>
      </c>
      <c r="G151" s="237"/>
      <c r="I151" s="398">
        <f t="shared" si="9"/>
        <v>4020000</v>
      </c>
      <c r="J151" s="398">
        <f t="shared" si="10"/>
        <v>5496000</v>
      </c>
      <c r="K151" s="237"/>
      <c r="L151" s="237"/>
      <c r="M151" s="237"/>
      <c r="N151" s="237"/>
      <c r="O151" s="237"/>
      <c r="P151" s="237"/>
      <c r="Q151" s="237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</row>
    <row r="152" spans="1:43">
      <c r="A152" s="237"/>
      <c r="B152" s="237"/>
      <c r="D152" s="237"/>
      <c r="E152" s="237"/>
      <c r="F152" s="237"/>
      <c r="G152" s="237"/>
      <c r="H152" s="237"/>
      <c r="I152" s="237"/>
      <c r="J152" s="237"/>
      <c r="K152" s="237"/>
      <c r="L152" s="237"/>
      <c r="M152" s="237"/>
      <c r="N152" s="237"/>
      <c r="O152" s="237"/>
      <c r="P152" s="237"/>
      <c r="Q152" s="237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</row>
    <row r="153" spans="1:43">
      <c r="A153" s="237"/>
      <c r="B153" s="237"/>
      <c r="D153" s="237"/>
      <c r="E153" s="237"/>
      <c r="F153" s="237"/>
      <c r="G153" s="237"/>
      <c r="H153" s="237"/>
      <c r="I153" s="237"/>
      <c r="J153" s="237"/>
      <c r="K153" s="237"/>
      <c r="L153" s="237"/>
      <c r="M153" s="237"/>
      <c r="N153" s="237"/>
      <c r="O153" s="237"/>
      <c r="P153" s="237"/>
      <c r="Q153" s="237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</row>
    <row r="154" spans="1:43">
      <c r="A154" s="237"/>
      <c r="B154" s="237"/>
      <c r="D154" s="237"/>
      <c r="E154" s="237"/>
      <c r="F154" s="237"/>
      <c r="G154" s="237"/>
      <c r="H154" s="237"/>
      <c r="I154" s="237"/>
      <c r="J154" s="237"/>
      <c r="K154" s="237"/>
      <c r="L154" s="237"/>
      <c r="M154" s="237"/>
      <c r="N154" s="237"/>
      <c r="O154" s="237"/>
      <c r="P154" s="237"/>
      <c r="Q154" s="237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</row>
    <row r="155" spans="1:43">
      <c r="A155" s="237"/>
      <c r="B155" s="237"/>
      <c r="D155" s="237"/>
      <c r="E155" s="237"/>
      <c r="F155" s="237"/>
      <c r="G155" s="237"/>
      <c r="H155" s="237"/>
      <c r="I155" s="237"/>
      <c r="J155" s="237"/>
      <c r="K155" s="237"/>
      <c r="L155" s="237"/>
      <c r="M155" s="237"/>
      <c r="N155" s="237"/>
      <c r="O155" s="237"/>
      <c r="P155" s="237"/>
      <c r="Q155" s="237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</row>
    <row r="156" spans="1:43">
      <c r="A156" s="237"/>
      <c r="B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37"/>
      <c r="O156" s="237"/>
      <c r="P156" s="237"/>
      <c r="Q156" s="237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</row>
    <row r="157" spans="1:43">
      <c r="A157" s="237"/>
      <c r="B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37"/>
      <c r="O157" s="237"/>
      <c r="P157" s="237"/>
      <c r="Q157" s="237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</row>
    <row r="158" spans="1:43">
      <c r="A158" s="237"/>
      <c r="B158" s="237"/>
      <c r="D158" s="237"/>
      <c r="E158" s="237"/>
      <c r="F158" s="237"/>
      <c r="G158" s="237"/>
      <c r="H158" s="237"/>
      <c r="I158" s="237"/>
      <c r="J158" s="237"/>
      <c r="K158" s="237"/>
      <c r="L158" s="237"/>
      <c r="M158" s="237"/>
      <c r="N158" s="237"/>
      <c r="O158" s="237"/>
      <c r="P158" s="237"/>
      <c r="Q158" s="237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</row>
    <row r="159" spans="1:43">
      <c r="A159" s="237"/>
      <c r="B159" s="237"/>
      <c r="D159" s="237"/>
      <c r="E159" s="237"/>
      <c r="F159" s="237"/>
      <c r="G159" s="237"/>
      <c r="H159" s="237"/>
      <c r="I159" s="237"/>
      <c r="J159" s="237"/>
      <c r="K159" s="237"/>
      <c r="L159" s="237"/>
      <c r="M159" s="237"/>
      <c r="N159" s="237"/>
      <c r="O159" s="237"/>
      <c r="P159" s="237"/>
      <c r="Q159" s="237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</row>
    <row r="160" spans="1:43">
      <c r="A160" s="237"/>
      <c r="B160" s="237"/>
      <c r="D160" s="237"/>
      <c r="E160" s="237"/>
      <c r="F160" s="237"/>
      <c r="G160" s="237"/>
      <c r="H160" s="237"/>
      <c r="I160" s="237"/>
      <c r="J160" s="237"/>
      <c r="K160" s="237"/>
      <c r="L160" s="237"/>
      <c r="M160" s="237"/>
      <c r="N160" s="237"/>
      <c r="O160" s="237"/>
      <c r="P160" s="237"/>
      <c r="Q160" s="237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</row>
    <row r="161" spans="1:43">
      <c r="A161" s="237"/>
      <c r="B161" s="237"/>
      <c r="D161" s="237"/>
      <c r="E161" s="237"/>
      <c r="F161" s="237"/>
      <c r="G161" s="237"/>
      <c r="H161" s="237"/>
      <c r="I161" s="237"/>
      <c r="J161" s="237"/>
      <c r="K161" s="237"/>
      <c r="L161" s="237"/>
      <c r="M161" s="237"/>
      <c r="N161" s="237"/>
      <c r="O161" s="237"/>
      <c r="P161" s="237"/>
      <c r="Q161" s="237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</row>
    <row r="162" spans="1:43">
      <c r="A162" s="237"/>
      <c r="B162" s="237"/>
      <c r="D162" s="237"/>
      <c r="E162" s="237"/>
      <c r="F162" s="237"/>
      <c r="G162" s="237"/>
      <c r="H162" s="237"/>
      <c r="I162" s="237"/>
      <c r="J162" s="237"/>
      <c r="K162" s="237"/>
      <c r="L162" s="237"/>
      <c r="M162" s="237"/>
      <c r="N162" s="237"/>
      <c r="O162" s="237"/>
      <c r="P162" s="237"/>
      <c r="Q162" s="237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</row>
    <row r="163" spans="1:43">
      <c r="A163" s="237"/>
      <c r="B163" s="237"/>
      <c r="D163" s="237"/>
      <c r="E163" s="237"/>
      <c r="F163" s="237"/>
      <c r="G163" s="237"/>
      <c r="H163" s="237"/>
      <c r="I163" s="237"/>
      <c r="J163" s="237"/>
      <c r="K163" s="237"/>
      <c r="L163" s="237"/>
      <c r="M163" s="237"/>
      <c r="N163" s="237"/>
      <c r="O163" s="237"/>
      <c r="P163" s="237"/>
      <c r="Q163" s="237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</row>
    <row r="164" spans="1:43">
      <c r="A164" s="237"/>
      <c r="B164" s="237"/>
      <c r="D164" s="237"/>
      <c r="E164" s="237"/>
      <c r="F164" s="237"/>
      <c r="G164" s="237"/>
      <c r="H164" s="237"/>
      <c r="I164" s="237"/>
      <c r="J164" s="237"/>
      <c r="K164" s="237"/>
      <c r="L164" s="237"/>
      <c r="M164" s="237"/>
      <c r="N164" s="237"/>
      <c r="O164" s="237"/>
      <c r="P164" s="237"/>
      <c r="Q164" s="237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</row>
    <row r="165" spans="1:43">
      <c r="A165" s="237"/>
      <c r="B165" s="237"/>
      <c r="D165" s="237"/>
      <c r="E165" s="237"/>
      <c r="F165" s="237"/>
      <c r="G165" s="237"/>
      <c r="H165" s="237"/>
      <c r="I165" s="237"/>
      <c r="J165" s="237"/>
      <c r="K165" s="237"/>
      <c r="L165" s="237"/>
      <c r="M165" s="237"/>
      <c r="N165" s="237"/>
      <c r="O165" s="237"/>
      <c r="P165" s="237"/>
      <c r="Q165" s="237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</row>
    <row r="166" spans="1:43">
      <c r="A166" s="237"/>
      <c r="B166" s="237"/>
      <c r="D166" s="237"/>
      <c r="E166" s="237"/>
      <c r="F166" s="237"/>
      <c r="G166" s="237"/>
      <c r="H166" s="237"/>
      <c r="I166" s="237"/>
      <c r="J166" s="237"/>
      <c r="K166" s="237"/>
      <c r="L166" s="237"/>
      <c r="M166" s="237"/>
      <c r="N166" s="237"/>
      <c r="O166" s="237"/>
      <c r="P166" s="237"/>
      <c r="Q166" s="237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</row>
    <row r="167" spans="1:43">
      <c r="A167" s="237"/>
      <c r="B167" s="237"/>
      <c r="D167" s="237"/>
      <c r="E167" s="237"/>
      <c r="F167" s="237"/>
      <c r="G167" s="237"/>
      <c r="H167" s="237"/>
      <c r="I167" s="237"/>
      <c r="J167" s="237"/>
      <c r="K167" s="237"/>
      <c r="L167" s="237"/>
      <c r="M167" s="237"/>
      <c r="N167" s="237"/>
      <c r="O167" s="237"/>
      <c r="P167" s="237"/>
      <c r="Q167" s="237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</row>
    <row r="168" spans="1:43">
      <c r="A168" s="237"/>
      <c r="B168" s="237"/>
      <c r="D168" s="237"/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</row>
    <row r="169" spans="1:43">
      <c r="A169" s="237"/>
      <c r="B169" s="237"/>
      <c r="D169" s="237"/>
      <c r="E169" s="237"/>
      <c r="F169" s="237"/>
      <c r="G169" s="237"/>
      <c r="H169" s="237"/>
      <c r="I169" s="237"/>
      <c r="J169" s="237"/>
      <c r="K169" s="237"/>
      <c r="L169" s="237"/>
      <c r="M169" s="237"/>
      <c r="N169" s="237"/>
      <c r="O169" s="237"/>
      <c r="P169" s="237"/>
      <c r="Q169" s="237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</row>
    <row r="170" spans="1:43">
      <c r="A170" s="237"/>
      <c r="B170" s="237"/>
      <c r="D170" s="237"/>
      <c r="E170" s="237"/>
      <c r="F170" s="237"/>
      <c r="G170" s="237"/>
      <c r="H170" s="237"/>
      <c r="I170" s="237"/>
      <c r="J170" s="237"/>
      <c r="K170" s="237"/>
      <c r="L170" s="237"/>
      <c r="M170" s="237"/>
      <c r="N170" s="237"/>
      <c r="O170" s="237"/>
      <c r="P170" s="237"/>
      <c r="Q170" s="237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</row>
    <row r="171" spans="1:43">
      <c r="A171" s="237"/>
      <c r="B171" s="237"/>
      <c r="D171" s="237"/>
      <c r="E171" s="237"/>
      <c r="F171" s="237"/>
      <c r="G171" s="237"/>
      <c r="H171" s="237"/>
      <c r="I171" s="237"/>
      <c r="J171" s="237"/>
      <c r="K171" s="237"/>
      <c r="L171" s="237"/>
      <c r="M171" s="237"/>
      <c r="N171" s="237"/>
      <c r="O171" s="237"/>
      <c r="P171" s="237"/>
      <c r="Q171" s="237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</row>
    <row r="172" spans="1:43">
      <c r="A172" s="237"/>
      <c r="B172" s="237"/>
      <c r="D172" s="237"/>
      <c r="E172" s="237"/>
      <c r="F172" s="237"/>
      <c r="G172" s="237"/>
      <c r="H172" s="237"/>
      <c r="I172" s="237"/>
      <c r="J172" s="237"/>
      <c r="K172" s="237"/>
      <c r="L172" s="237"/>
      <c r="M172" s="237"/>
      <c r="N172" s="237"/>
      <c r="O172" s="237"/>
      <c r="P172" s="237"/>
      <c r="Q172" s="237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</row>
    <row r="173" spans="1:43">
      <c r="A173" s="237"/>
      <c r="B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37"/>
      <c r="O173" s="237"/>
      <c r="P173" s="237"/>
      <c r="Q173" s="237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</row>
    <row r="174" spans="1:43">
      <c r="A174" s="237"/>
      <c r="B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37"/>
      <c r="O174" s="237"/>
      <c r="P174" s="237"/>
      <c r="Q174" s="237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</row>
    <row r="175" spans="1:43">
      <c r="A175" s="237"/>
      <c r="B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7"/>
      <c r="P175" s="237"/>
      <c r="Q175" s="237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</row>
    <row r="176" spans="1:43">
      <c r="B176" s="237"/>
      <c r="D176" s="237"/>
      <c r="E176" s="237"/>
      <c r="F176" s="237"/>
      <c r="G176" s="237"/>
      <c r="H176" s="237"/>
      <c r="I176" s="237"/>
      <c r="J176" s="237"/>
      <c r="K176" s="237"/>
      <c r="L176" s="237"/>
      <c r="M176" s="237"/>
      <c r="N176" s="237"/>
      <c r="O176" s="237"/>
      <c r="P176" s="237"/>
      <c r="Q176" s="237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</row>
    <row r="177" spans="2:43">
      <c r="B177" s="237"/>
      <c r="D177" s="237"/>
      <c r="E177" s="237"/>
      <c r="F177" s="237"/>
      <c r="G177" s="237"/>
      <c r="H177" s="237"/>
      <c r="I177" s="237"/>
      <c r="J177" s="237"/>
      <c r="K177" s="237"/>
      <c r="L177" s="237"/>
      <c r="M177" s="237"/>
      <c r="N177" s="237"/>
      <c r="O177" s="237"/>
      <c r="P177" s="237"/>
      <c r="Q177" s="237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</row>
    <row r="178" spans="2:43">
      <c r="E178" s="53"/>
      <c r="F178" s="53"/>
      <c r="N178" s="237"/>
      <c r="O178" s="237"/>
      <c r="P178" s="237"/>
      <c r="Q178" s="237"/>
      <c r="R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</row>
    <row r="179" spans="2:43">
      <c r="E179" s="53"/>
      <c r="F179" s="53"/>
      <c r="N179" s="237"/>
      <c r="O179" s="237"/>
      <c r="P179" s="237"/>
      <c r="Q179" s="237"/>
      <c r="R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</row>
    <row r="180" spans="2:43">
      <c r="E180" s="53"/>
      <c r="F180" s="53"/>
      <c r="N180" s="237"/>
      <c r="O180" s="237"/>
      <c r="P180" s="237"/>
      <c r="Q180" s="237"/>
      <c r="R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</row>
    <row r="181" spans="2:43">
      <c r="E181" s="53"/>
      <c r="F181" s="53"/>
      <c r="N181" s="237"/>
      <c r="O181" s="237"/>
      <c r="P181" s="237"/>
      <c r="Q181" s="237"/>
      <c r="R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</row>
    <row r="182" spans="2:43">
      <c r="E182" s="53"/>
      <c r="F182" s="53"/>
      <c r="N182" s="237"/>
      <c r="O182" s="237"/>
      <c r="P182" s="237"/>
      <c r="Q182" s="237"/>
      <c r="R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</row>
    <row r="183" spans="2:43">
      <c r="E183" s="53"/>
      <c r="F183" s="53"/>
      <c r="N183" s="237"/>
      <c r="O183" s="237"/>
      <c r="P183" s="237"/>
      <c r="Q183" s="237"/>
      <c r="R183" s="53"/>
      <c r="S183" s="53"/>
      <c r="T183" s="53"/>
      <c r="U183" s="53"/>
      <c r="V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</row>
    <row r="184" spans="2:43">
      <c r="E184" s="53"/>
      <c r="F184" s="53"/>
      <c r="N184" s="237"/>
      <c r="O184" s="237"/>
      <c r="P184" s="237"/>
      <c r="Q184" s="237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</row>
    <row r="185" spans="2:43">
      <c r="E185" s="53"/>
      <c r="F185" s="53"/>
      <c r="N185" s="237"/>
      <c r="O185" s="237"/>
      <c r="P185" s="237"/>
      <c r="Q185" s="237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</row>
    <row r="186" spans="2:43">
      <c r="E186" s="53"/>
      <c r="F186" s="53"/>
      <c r="N186" s="237"/>
      <c r="O186" s="237"/>
      <c r="P186" s="237"/>
      <c r="Q186" s="237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</row>
    <row r="187" spans="2:43">
      <c r="E187" s="53"/>
      <c r="F187" s="53"/>
      <c r="N187" s="237"/>
      <c r="O187" s="237"/>
      <c r="P187" s="237"/>
      <c r="Q187" s="237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</row>
    <row r="188" spans="2:43">
      <c r="E188" s="53"/>
      <c r="F188" s="53"/>
      <c r="N188" s="237"/>
      <c r="O188" s="237"/>
      <c r="P188" s="237"/>
      <c r="Q188" s="237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</row>
    <row r="189" spans="2:43">
      <c r="E189" s="53"/>
      <c r="F189" s="53"/>
      <c r="N189" s="237"/>
      <c r="O189" s="237"/>
      <c r="P189" s="237"/>
      <c r="Q189" s="237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</row>
    <row r="190" spans="2:43">
      <c r="E190" s="53"/>
      <c r="F190" s="53"/>
      <c r="N190" s="237"/>
      <c r="O190" s="237"/>
      <c r="P190" s="237"/>
      <c r="Q190" s="237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</row>
    <row r="191" spans="2:43">
      <c r="E191" s="53"/>
      <c r="F191" s="53"/>
      <c r="N191" s="237"/>
      <c r="O191" s="237"/>
      <c r="P191" s="237"/>
      <c r="Q191" s="237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</row>
    <row r="192" spans="2:43">
      <c r="E192" s="53"/>
      <c r="F192" s="53"/>
      <c r="N192" s="237"/>
      <c r="O192" s="237"/>
      <c r="P192" s="237"/>
      <c r="Q192" s="237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</row>
    <row r="193" spans="3:25" s="53" customFormat="1">
      <c r="C193" s="237"/>
      <c r="N193" s="237"/>
      <c r="O193" s="237"/>
      <c r="P193" s="237"/>
      <c r="Q193" s="237"/>
    </row>
    <row r="194" spans="3:25" s="53" customFormat="1">
      <c r="C194" s="237"/>
      <c r="N194" s="237"/>
      <c r="O194" s="237"/>
      <c r="P194" s="237"/>
      <c r="Q194" s="237"/>
    </row>
    <row r="195" spans="3:25" s="53" customFormat="1">
      <c r="C195" s="237"/>
      <c r="N195" s="237"/>
      <c r="O195" s="237"/>
      <c r="P195" s="237"/>
      <c r="Q195" s="237"/>
    </row>
    <row r="196" spans="3:25" s="53" customFormat="1">
      <c r="C196" s="237"/>
      <c r="N196" s="237"/>
      <c r="O196" s="237"/>
      <c r="P196" s="237"/>
      <c r="Q196" s="237"/>
    </row>
    <row r="197" spans="3:25" s="53" customFormat="1">
      <c r="C197" s="237"/>
      <c r="N197" s="237"/>
      <c r="O197" s="237"/>
      <c r="P197" s="237"/>
      <c r="Q197" s="237"/>
    </row>
    <row r="198" spans="3:25" s="53" customFormat="1">
      <c r="C198" s="237"/>
      <c r="N198" s="237"/>
      <c r="O198" s="237"/>
      <c r="P198" s="237"/>
      <c r="Q198" s="237"/>
    </row>
    <row r="199" spans="3:25" s="53" customFormat="1">
      <c r="C199" s="237"/>
      <c r="N199" s="237"/>
      <c r="O199" s="237"/>
      <c r="P199" s="237"/>
      <c r="Q199" s="237"/>
    </row>
    <row r="200" spans="3:25" s="53" customFormat="1">
      <c r="C200" s="237"/>
      <c r="N200" s="237"/>
      <c r="O200" s="237"/>
      <c r="P200" s="237"/>
      <c r="Q200" s="237"/>
    </row>
    <row r="201" spans="3:25" s="53" customFormat="1">
      <c r="C201" s="237"/>
      <c r="N201" s="237"/>
      <c r="O201" s="237"/>
      <c r="P201" s="237"/>
      <c r="Q201" s="237"/>
    </row>
    <row r="202" spans="3:25">
      <c r="W202" s="53"/>
      <c r="X202" s="53"/>
      <c r="Y202" s="53"/>
    </row>
  </sheetData>
  <mergeCells count="32">
    <mergeCell ref="B21:U21"/>
    <mergeCell ref="D1:G1"/>
    <mergeCell ref="J1:K1"/>
    <mergeCell ref="M1:N1"/>
    <mergeCell ref="P1:U1"/>
    <mergeCell ref="J2:K2"/>
    <mergeCell ref="D79:L79"/>
    <mergeCell ref="A23:A77"/>
    <mergeCell ref="D23:D77"/>
    <mergeCell ref="M23:M73"/>
    <mergeCell ref="W25:X25"/>
    <mergeCell ref="AA25:AA26"/>
    <mergeCell ref="W38:X38"/>
    <mergeCell ref="W45:Y45"/>
    <mergeCell ref="W46:W47"/>
    <mergeCell ref="X46:Y46"/>
    <mergeCell ref="Y25:Y26"/>
    <mergeCell ref="Z25:Z26"/>
    <mergeCell ref="E80:F80"/>
    <mergeCell ref="O80:P80"/>
    <mergeCell ref="D81:D92"/>
    <mergeCell ref="N81:N96"/>
    <mergeCell ref="E93:F93"/>
    <mergeCell ref="D94:D105"/>
    <mergeCell ref="D123:G123"/>
    <mergeCell ref="D109:O110"/>
    <mergeCell ref="D111:D122"/>
    <mergeCell ref="F111:G111"/>
    <mergeCell ref="H111:I111"/>
    <mergeCell ref="J111:J122"/>
    <mergeCell ref="L111:M111"/>
    <mergeCell ref="N111:O111"/>
  </mergeCells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EC30F-AD21-49F1-ACC1-DA7D2E5D4C31}">
  <sheetPr codeName="Sheet7"/>
  <dimension ref="B2:AM216"/>
  <sheetViews>
    <sheetView zoomScale="85" zoomScaleNormal="85" workbookViewId="0">
      <selection activeCell="D12" sqref="D12"/>
    </sheetView>
  </sheetViews>
  <sheetFormatPr defaultRowHeight="16.5"/>
  <cols>
    <col min="1" max="1" width="9" style="23" customWidth="1"/>
    <col min="2" max="2" width="8.25" style="23" bestFit="1" customWidth="1"/>
    <col min="3" max="4" width="9.875" style="22" bestFit="1" customWidth="1"/>
    <col min="5" max="13" width="9" style="22"/>
    <col min="14" max="15" width="13.25" style="22" customWidth="1"/>
    <col min="16" max="16" width="10" style="22" bestFit="1" customWidth="1"/>
    <col min="17" max="18" width="9.875" style="23" bestFit="1" customWidth="1"/>
    <col min="19" max="258" width="9" style="23"/>
    <col min="259" max="259" width="11.5" style="23" bestFit="1" customWidth="1"/>
    <col min="260" max="261" width="9.875" style="23" bestFit="1" customWidth="1"/>
    <col min="262" max="270" width="9" style="23"/>
    <col min="271" max="271" width="13.25" style="23" customWidth="1"/>
    <col min="272" max="272" width="11.625" style="23" bestFit="1" customWidth="1"/>
    <col min="273" max="273" width="9.875" style="23" bestFit="1" customWidth="1"/>
    <col min="274" max="274" width="2.5" style="23" customWidth="1"/>
    <col min="275" max="514" width="9" style="23"/>
    <col min="515" max="515" width="11.5" style="23" bestFit="1" customWidth="1"/>
    <col min="516" max="517" width="9.875" style="23" bestFit="1" customWidth="1"/>
    <col min="518" max="526" width="9" style="23"/>
    <col min="527" max="527" width="13.25" style="23" customWidth="1"/>
    <col min="528" max="528" width="11.625" style="23" bestFit="1" customWidth="1"/>
    <col min="529" max="529" width="9.875" style="23" bestFit="1" customWidth="1"/>
    <col min="530" max="530" width="2.5" style="23" customWidth="1"/>
    <col min="531" max="770" width="9" style="23"/>
    <col min="771" max="771" width="11.5" style="23" bestFit="1" customWidth="1"/>
    <col min="772" max="773" width="9.875" style="23" bestFit="1" customWidth="1"/>
    <col min="774" max="782" width="9" style="23"/>
    <col min="783" max="783" width="13.25" style="23" customWidth="1"/>
    <col min="784" max="784" width="11.625" style="23" bestFit="1" customWidth="1"/>
    <col min="785" max="785" width="9.875" style="23" bestFit="1" customWidth="1"/>
    <col min="786" max="786" width="2.5" style="23" customWidth="1"/>
    <col min="787" max="1026" width="9" style="23"/>
    <col min="1027" max="1027" width="11.5" style="23" bestFit="1" customWidth="1"/>
    <col min="1028" max="1029" width="9.875" style="23" bestFit="1" customWidth="1"/>
    <col min="1030" max="1038" width="9" style="23"/>
    <col min="1039" max="1039" width="13.25" style="23" customWidth="1"/>
    <col min="1040" max="1040" width="11.625" style="23" bestFit="1" customWidth="1"/>
    <col min="1041" max="1041" width="9.875" style="23" bestFit="1" customWidth="1"/>
    <col min="1042" max="1042" width="2.5" style="23" customWidth="1"/>
    <col min="1043" max="1282" width="9" style="23"/>
    <col min="1283" max="1283" width="11.5" style="23" bestFit="1" customWidth="1"/>
    <col min="1284" max="1285" width="9.875" style="23" bestFit="1" customWidth="1"/>
    <col min="1286" max="1294" width="9" style="23"/>
    <col min="1295" max="1295" width="13.25" style="23" customWidth="1"/>
    <col min="1296" max="1296" width="11.625" style="23" bestFit="1" customWidth="1"/>
    <col min="1297" max="1297" width="9.875" style="23" bestFit="1" customWidth="1"/>
    <col min="1298" max="1298" width="2.5" style="23" customWidth="1"/>
    <col min="1299" max="1538" width="9" style="23"/>
    <col min="1539" max="1539" width="11.5" style="23" bestFit="1" customWidth="1"/>
    <col min="1540" max="1541" width="9.875" style="23" bestFit="1" customWidth="1"/>
    <col min="1542" max="1550" width="9" style="23"/>
    <col min="1551" max="1551" width="13.25" style="23" customWidth="1"/>
    <col min="1552" max="1552" width="11.625" style="23" bestFit="1" customWidth="1"/>
    <col min="1553" max="1553" width="9.875" style="23" bestFit="1" customWidth="1"/>
    <col min="1554" max="1554" width="2.5" style="23" customWidth="1"/>
    <col min="1555" max="1794" width="9" style="23"/>
    <col min="1795" max="1795" width="11.5" style="23" bestFit="1" customWidth="1"/>
    <col min="1796" max="1797" width="9.875" style="23" bestFit="1" customWidth="1"/>
    <col min="1798" max="1806" width="9" style="23"/>
    <col min="1807" max="1807" width="13.25" style="23" customWidth="1"/>
    <col min="1808" max="1808" width="11.625" style="23" bestFit="1" customWidth="1"/>
    <col min="1809" max="1809" width="9.875" style="23" bestFit="1" customWidth="1"/>
    <col min="1810" max="1810" width="2.5" style="23" customWidth="1"/>
    <col min="1811" max="2050" width="9" style="23"/>
    <col min="2051" max="2051" width="11.5" style="23" bestFit="1" customWidth="1"/>
    <col min="2052" max="2053" width="9.875" style="23" bestFit="1" customWidth="1"/>
    <col min="2054" max="2062" width="9" style="23"/>
    <col min="2063" max="2063" width="13.25" style="23" customWidth="1"/>
    <col min="2064" max="2064" width="11.625" style="23" bestFit="1" customWidth="1"/>
    <col min="2065" max="2065" width="9.875" style="23" bestFit="1" customWidth="1"/>
    <col min="2066" max="2066" width="2.5" style="23" customWidth="1"/>
    <col min="2067" max="2306" width="9" style="23"/>
    <col min="2307" max="2307" width="11.5" style="23" bestFit="1" customWidth="1"/>
    <col min="2308" max="2309" width="9.875" style="23" bestFit="1" customWidth="1"/>
    <col min="2310" max="2318" width="9" style="23"/>
    <col min="2319" max="2319" width="13.25" style="23" customWidth="1"/>
    <col min="2320" max="2320" width="11.625" style="23" bestFit="1" customWidth="1"/>
    <col min="2321" max="2321" width="9.875" style="23" bestFit="1" customWidth="1"/>
    <col min="2322" max="2322" width="2.5" style="23" customWidth="1"/>
    <col min="2323" max="2562" width="9" style="23"/>
    <col min="2563" max="2563" width="11.5" style="23" bestFit="1" customWidth="1"/>
    <col min="2564" max="2565" width="9.875" style="23" bestFit="1" customWidth="1"/>
    <col min="2566" max="2574" width="9" style="23"/>
    <col min="2575" max="2575" width="13.25" style="23" customWidth="1"/>
    <col min="2576" max="2576" width="11.625" style="23" bestFit="1" customWidth="1"/>
    <col min="2577" max="2577" width="9.875" style="23" bestFit="1" customWidth="1"/>
    <col min="2578" max="2578" width="2.5" style="23" customWidth="1"/>
    <col min="2579" max="2818" width="9" style="23"/>
    <col min="2819" max="2819" width="11.5" style="23" bestFit="1" customWidth="1"/>
    <col min="2820" max="2821" width="9.875" style="23" bestFit="1" customWidth="1"/>
    <col min="2822" max="2830" width="9" style="23"/>
    <col min="2831" max="2831" width="13.25" style="23" customWidth="1"/>
    <col min="2832" max="2832" width="11.625" style="23" bestFit="1" customWidth="1"/>
    <col min="2833" max="2833" width="9.875" style="23" bestFit="1" customWidth="1"/>
    <col min="2834" max="2834" width="2.5" style="23" customWidth="1"/>
    <col min="2835" max="3074" width="9" style="23"/>
    <col min="3075" max="3075" width="11.5" style="23" bestFit="1" customWidth="1"/>
    <col min="3076" max="3077" width="9.875" style="23" bestFit="1" customWidth="1"/>
    <col min="3078" max="3086" width="9" style="23"/>
    <col min="3087" max="3087" width="13.25" style="23" customWidth="1"/>
    <col min="3088" max="3088" width="11.625" style="23" bestFit="1" customWidth="1"/>
    <col min="3089" max="3089" width="9.875" style="23" bestFit="1" customWidth="1"/>
    <col min="3090" max="3090" width="2.5" style="23" customWidth="1"/>
    <col min="3091" max="3330" width="9" style="23"/>
    <col min="3331" max="3331" width="11.5" style="23" bestFit="1" customWidth="1"/>
    <col min="3332" max="3333" width="9.875" style="23" bestFit="1" customWidth="1"/>
    <col min="3334" max="3342" width="9" style="23"/>
    <col min="3343" max="3343" width="13.25" style="23" customWidth="1"/>
    <col min="3344" max="3344" width="11.625" style="23" bestFit="1" customWidth="1"/>
    <col min="3345" max="3345" width="9.875" style="23" bestFit="1" customWidth="1"/>
    <col min="3346" max="3346" width="2.5" style="23" customWidth="1"/>
    <col min="3347" max="3586" width="9" style="23"/>
    <col min="3587" max="3587" width="11.5" style="23" bestFit="1" customWidth="1"/>
    <col min="3588" max="3589" width="9.875" style="23" bestFit="1" customWidth="1"/>
    <col min="3590" max="3598" width="9" style="23"/>
    <col min="3599" max="3599" width="13.25" style="23" customWidth="1"/>
    <col min="3600" max="3600" width="11.625" style="23" bestFit="1" customWidth="1"/>
    <col min="3601" max="3601" width="9.875" style="23" bestFit="1" customWidth="1"/>
    <col min="3602" max="3602" width="2.5" style="23" customWidth="1"/>
    <col min="3603" max="3842" width="9" style="23"/>
    <col min="3843" max="3843" width="11.5" style="23" bestFit="1" customWidth="1"/>
    <col min="3844" max="3845" width="9.875" style="23" bestFit="1" customWidth="1"/>
    <col min="3846" max="3854" width="9" style="23"/>
    <col min="3855" max="3855" width="13.25" style="23" customWidth="1"/>
    <col min="3856" max="3856" width="11.625" style="23" bestFit="1" customWidth="1"/>
    <col min="3857" max="3857" width="9.875" style="23" bestFit="1" customWidth="1"/>
    <col min="3858" max="3858" width="2.5" style="23" customWidth="1"/>
    <col min="3859" max="4098" width="9" style="23"/>
    <col min="4099" max="4099" width="11.5" style="23" bestFit="1" customWidth="1"/>
    <col min="4100" max="4101" width="9.875" style="23" bestFit="1" customWidth="1"/>
    <col min="4102" max="4110" width="9" style="23"/>
    <col min="4111" max="4111" width="13.25" style="23" customWidth="1"/>
    <col min="4112" max="4112" width="11.625" style="23" bestFit="1" customWidth="1"/>
    <col min="4113" max="4113" width="9.875" style="23" bestFit="1" customWidth="1"/>
    <col min="4114" max="4114" width="2.5" style="23" customWidth="1"/>
    <col min="4115" max="4354" width="9" style="23"/>
    <col min="4355" max="4355" width="11.5" style="23" bestFit="1" customWidth="1"/>
    <col min="4356" max="4357" width="9.875" style="23" bestFit="1" customWidth="1"/>
    <col min="4358" max="4366" width="9" style="23"/>
    <col min="4367" max="4367" width="13.25" style="23" customWidth="1"/>
    <col min="4368" max="4368" width="11.625" style="23" bestFit="1" customWidth="1"/>
    <col min="4369" max="4369" width="9.875" style="23" bestFit="1" customWidth="1"/>
    <col min="4370" max="4370" width="2.5" style="23" customWidth="1"/>
    <col min="4371" max="4610" width="9" style="23"/>
    <col min="4611" max="4611" width="11.5" style="23" bestFit="1" customWidth="1"/>
    <col min="4612" max="4613" width="9.875" style="23" bestFit="1" customWidth="1"/>
    <col min="4614" max="4622" width="9" style="23"/>
    <col min="4623" max="4623" width="13.25" style="23" customWidth="1"/>
    <col min="4624" max="4624" width="11.625" style="23" bestFit="1" customWidth="1"/>
    <col min="4625" max="4625" width="9.875" style="23" bestFit="1" customWidth="1"/>
    <col min="4626" max="4626" width="2.5" style="23" customWidth="1"/>
    <col min="4627" max="4866" width="9" style="23"/>
    <col min="4867" max="4867" width="11.5" style="23" bestFit="1" customWidth="1"/>
    <col min="4868" max="4869" width="9.875" style="23" bestFit="1" customWidth="1"/>
    <col min="4870" max="4878" width="9" style="23"/>
    <col min="4879" max="4879" width="13.25" style="23" customWidth="1"/>
    <col min="4880" max="4880" width="11.625" style="23" bestFit="1" customWidth="1"/>
    <col min="4881" max="4881" width="9.875" style="23" bestFit="1" customWidth="1"/>
    <col min="4882" max="4882" width="2.5" style="23" customWidth="1"/>
    <col min="4883" max="5122" width="9" style="23"/>
    <col min="5123" max="5123" width="11.5" style="23" bestFit="1" customWidth="1"/>
    <col min="5124" max="5125" width="9.875" style="23" bestFit="1" customWidth="1"/>
    <col min="5126" max="5134" width="9" style="23"/>
    <col min="5135" max="5135" width="13.25" style="23" customWidth="1"/>
    <col min="5136" max="5136" width="11.625" style="23" bestFit="1" customWidth="1"/>
    <col min="5137" max="5137" width="9.875" style="23" bestFit="1" customWidth="1"/>
    <col min="5138" max="5138" width="2.5" style="23" customWidth="1"/>
    <col min="5139" max="5378" width="9" style="23"/>
    <col min="5379" max="5379" width="11.5" style="23" bestFit="1" customWidth="1"/>
    <col min="5380" max="5381" width="9.875" style="23" bestFit="1" customWidth="1"/>
    <col min="5382" max="5390" width="9" style="23"/>
    <col min="5391" max="5391" width="13.25" style="23" customWidth="1"/>
    <col min="5392" max="5392" width="11.625" style="23" bestFit="1" customWidth="1"/>
    <col min="5393" max="5393" width="9.875" style="23" bestFit="1" customWidth="1"/>
    <col min="5394" max="5394" width="2.5" style="23" customWidth="1"/>
    <col min="5395" max="5634" width="9" style="23"/>
    <col min="5635" max="5635" width="11.5" style="23" bestFit="1" customWidth="1"/>
    <col min="5636" max="5637" width="9.875" style="23" bestFit="1" customWidth="1"/>
    <col min="5638" max="5646" width="9" style="23"/>
    <col min="5647" max="5647" width="13.25" style="23" customWidth="1"/>
    <col min="5648" max="5648" width="11.625" style="23" bestFit="1" customWidth="1"/>
    <col min="5649" max="5649" width="9.875" style="23" bestFit="1" customWidth="1"/>
    <col min="5650" max="5650" width="2.5" style="23" customWidth="1"/>
    <col min="5651" max="5890" width="9" style="23"/>
    <col min="5891" max="5891" width="11.5" style="23" bestFit="1" customWidth="1"/>
    <col min="5892" max="5893" width="9.875" style="23" bestFit="1" customWidth="1"/>
    <col min="5894" max="5902" width="9" style="23"/>
    <col min="5903" max="5903" width="13.25" style="23" customWidth="1"/>
    <col min="5904" max="5904" width="11.625" style="23" bestFit="1" customWidth="1"/>
    <col min="5905" max="5905" width="9.875" style="23" bestFit="1" customWidth="1"/>
    <col min="5906" max="5906" width="2.5" style="23" customWidth="1"/>
    <col min="5907" max="6146" width="9" style="23"/>
    <col min="6147" max="6147" width="11.5" style="23" bestFit="1" customWidth="1"/>
    <col min="6148" max="6149" width="9.875" style="23" bestFit="1" customWidth="1"/>
    <col min="6150" max="6158" width="9" style="23"/>
    <col min="6159" max="6159" width="13.25" style="23" customWidth="1"/>
    <col min="6160" max="6160" width="11.625" style="23" bestFit="1" customWidth="1"/>
    <col min="6161" max="6161" width="9.875" style="23" bestFit="1" customWidth="1"/>
    <col min="6162" max="6162" width="2.5" style="23" customWidth="1"/>
    <col min="6163" max="6402" width="9" style="23"/>
    <col min="6403" max="6403" width="11.5" style="23" bestFit="1" customWidth="1"/>
    <col min="6404" max="6405" width="9.875" style="23" bestFit="1" customWidth="1"/>
    <col min="6406" max="6414" width="9" style="23"/>
    <col min="6415" max="6415" width="13.25" style="23" customWidth="1"/>
    <col min="6416" max="6416" width="11.625" style="23" bestFit="1" customWidth="1"/>
    <col min="6417" max="6417" width="9.875" style="23" bestFit="1" customWidth="1"/>
    <col min="6418" max="6418" width="2.5" style="23" customWidth="1"/>
    <col min="6419" max="6658" width="9" style="23"/>
    <col min="6659" max="6659" width="11.5" style="23" bestFit="1" customWidth="1"/>
    <col min="6660" max="6661" width="9.875" style="23" bestFit="1" customWidth="1"/>
    <col min="6662" max="6670" width="9" style="23"/>
    <col min="6671" max="6671" width="13.25" style="23" customWidth="1"/>
    <col min="6672" max="6672" width="11.625" style="23" bestFit="1" customWidth="1"/>
    <col min="6673" max="6673" width="9.875" style="23" bestFit="1" customWidth="1"/>
    <col min="6674" max="6674" width="2.5" style="23" customWidth="1"/>
    <col min="6675" max="6914" width="9" style="23"/>
    <col min="6915" max="6915" width="11.5" style="23" bestFit="1" customWidth="1"/>
    <col min="6916" max="6917" width="9.875" style="23" bestFit="1" customWidth="1"/>
    <col min="6918" max="6926" width="9" style="23"/>
    <col min="6927" max="6927" width="13.25" style="23" customWidth="1"/>
    <col min="6928" max="6928" width="11.625" style="23" bestFit="1" customWidth="1"/>
    <col min="6929" max="6929" width="9.875" style="23" bestFit="1" customWidth="1"/>
    <col min="6930" max="6930" width="2.5" style="23" customWidth="1"/>
    <col min="6931" max="7170" width="9" style="23"/>
    <col min="7171" max="7171" width="11.5" style="23" bestFit="1" customWidth="1"/>
    <col min="7172" max="7173" width="9.875" style="23" bestFit="1" customWidth="1"/>
    <col min="7174" max="7182" width="9" style="23"/>
    <col min="7183" max="7183" width="13.25" style="23" customWidth="1"/>
    <col min="7184" max="7184" width="11.625" style="23" bestFit="1" customWidth="1"/>
    <col min="7185" max="7185" width="9.875" style="23" bestFit="1" customWidth="1"/>
    <col min="7186" max="7186" width="2.5" style="23" customWidth="1"/>
    <col min="7187" max="7426" width="9" style="23"/>
    <col min="7427" max="7427" width="11.5" style="23" bestFit="1" customWidth="1"/>
    <col min="7428" max="7429" width="9.875" style="23" bestFit="1" customWidth="1"/>
    <col min="7430" max="7438" width="9" style="23"/>
    <col min="7439" max="7439" width="13.25" style="23" customWidth="1"/>
    <col min="7440" max="7440" width="11.625" style="23" bestFit="1" customWidth="1"/>
    <col min="7441" max="7441" width="9.875" style="23" bestFit="1" customWidth="1"/>
    <col min="7442" max="7442" width="2.5" style="23" customWidth="1"/>
    <col min="7443" max="7682" width="9" style="23"/>
    <col min="7683" max="7683" width="11.5" style="23" bestFit="1" customWidth="1"/>
    <col min="7684" max="7685" width="9.875" style="23" bestFit="1" customWidth="1"/>
    <col min="7686" max="7694" width="9" style="23"/>
    <col min="7695" max="7695" width="13.25" style="23" customWidth="1"/>
    <col min="7696" max="7696" width="11.625" style="23" bestFit="1" customWidth="1"/>
    <col min="7697" max="7697" width="9.875" style="23" bestFit="1" customWidth="1"/>
    <col min="7698" max="7698" width="2.5" style="23" customWidth="1"/>
    <col min="7699" max="7938" width="9" style="23"/>
    <col min="7939" max="7939" width="11.5" style="23" bestFit="1" customWidth="1"/>
    <col min="7940" max="7941" width="9.875" style="23" bestFit="1" customWidth="1"/>
    <col min="7942" max="7950" width="9" style="23"/>
    <col min="7951" max="7951" width="13.25" style="23" customWidth="1"/>
    <col min="7952" max="7952" width="11.625" style="23" bestFit="1" customWidth="1"/>
    <col min="7953" max="7953" width="9.875" style="23" bestFit="1" customWidth="1"/>
    <col min="7954" max="7954" width="2.5" style="23" customWidth="1"/>
    <col min="7955" max="8194" width="9" style="23"/>
    <col min="8195" max="8195" width="11.5" style="23" bestFit="1" customWidth="1"/>
    <col min="8196" max="8197" width="9.875" style="23" bestFit="1" customWidth="1"/>
    <col min="8198" max="8206" width="9" style="23"/>
    <col min="8207" max="8207" width="13.25" style="23" customWidth="1"/>
    <col min="8208" max="8208" width="11.625" style="23" bestFit="1" customWidth="1"/>
    <col min="8209" max="8209" width="9.875" style="23" bestFit="1" customWidth="1"/>
    <col min="8210" max="8210" width="2.5" style="23" customWidth="1"/>
    <col min="8211" max="8450" width="9" style="23"/>
    <col min="8451" max="8451" width="11.5" style="23" bestFit="1" customWidth="1"/>
    <col min="8452" max="8453" width="9.875" style="23" bestFit="1" customWidth="1"/>
    <col min="8454" max="8462" width="9" style="23"/>
    <col min="8463" max="8463" width="13.25" style="23" customWidth="1"/>
    <col min="8464" max="8464" width="11.625" style="23" bestFit="1" customWidth="1"/>
    <col min="8465" max="8465" width="9.875" style="23" bestFit="1" customWidth="1"/>
    <col min="8466" max="8466" width="2.5" style="23" customWidth="1"/>
    <col min="8467" max="8706" width="9" style="23"/>
    <col min="8707" max="8707" width="11.5" style="23" bestFit="1" customWidth="1"/>
    <col min="8708" max="8709" width="9.875" style="23" bestFit="1" customWidth="1"/>
    <col min="8710" max="8718" width="9" style="23"/>
    <col min="8719" max="8719" width="13.25" style="23" customWidth="1"/>
    <col min="8720" max="8720" width="11.625" style="23" bestFit="1" customWidth="1"/>
    <col min="8721" max="8721" width="9.875" style="23" bestFit="1" customWidth="1"/>
    <col min="8722" max="8722" width="2.5" style="23" customWidth="1"/>
    <col min="8723" max="8962" width="9" style="23"/>
    <col min="8963" max="8963" width="11.5" style="23" bestFit="1" customWidth="1"/>
    <col min="8964" max="8965" width="9.875" style="23" bestFit="1" customWidth="1"/>
    <col min="8966" max="8974" width="9" style="23"/>
    <col min="8975" max="8975" width="13.25" style="23" customWidth="1"/>
    <col min="8976" max="8976" width="11.625" style="23" bestFit="1" customWidth="1"/>
    <col min="8977" max="8977" width="9.875" style="23" bestFit="1" customWidth="1"/>
    <col min="8978" max="8978" width="2.5" style="23" customWidth="1"/>
    <col min="8979" max="9218" width="9" style="23"/>
    <col min="9219" max="9219" width="11.5" style="23" bestFit="1" customWidth="1"/>
    <col min="9220" max="9221" width="9.875" style="23" bestFit="1" customWidth="1"/>
    <col min="9222" max="9230" width="9" style="23"/>
    <col min="9231" max="9231" width="13.25" style="23" customWidth="1"/>
    <col min="9232" max="9232" width="11.625" style="23" bestFit="1" customWidth="1"/>
    <col min="9233" max="9233" width="9.875" style="23" bestFit="1" customWidth="1"/>
    <col min="9234" max="9234" width="2.5" style="23" customWidth="1"/>
    <col min="9235" max="9474" width="9" style="23"/>
    <col min="9475" max="9475" width="11.5" style="23" bestFit="1" customWidth="1"/>
    <col min="9476" max="9477" width="9.875" style="23" bestFit="1" customWidth="1"/>
    <col min="9478" max="9486" width="9" style="23"/>
    <col min="9487" max="9487" width="13.25" style="23" customWidth="1"/>
    <col min="9488" max="9488" width="11.625" style="23" bestFit="1" customWidth="1"/>
    <col min="9489" max="9489" width="9.875" style="23" bestFit="1" customWidth="1"/>
    <col min="9490" max="9490" width="2.5" style="23" customWidth="1"/>
    <col min="9491" max="9730" width="9" style="23"/>
    <col min="9731" max="9731" width="11.5" style="23" bestFit="1" customWidth="1"/>
    <col min="9732" max="9733" width="9.875" style="23" bestFit="1" customWidth="1"/>
    <col min="9734" max="9742" width="9" style="23"/>
    <col min="9743" max="9743" width="13.25" style="23" customWidth="1"/>
    <col min="9744" max="9744" width="11.625" style="23" bestFit="1" customWidth="1"/>
    <col min="9745" max="9745" width="9.875" style="23" bestFit="1" customWidth="1"/>
    <col min="9746" max="9746" width="2.5" style="23" customWidth="1"/>
    <col min="9747" max="9986" width="9" style="23"/>
    <col min="9987" max="9987" width="11.5" style="23" bestFit="1" customWidth="1"/>
    <col min="9988" max="9989" width="9.875" style="23" bestFit="1" customWidth="1"/>
    <col min="9990" max="9998" width="9" style="23"/>
    <col min="9999" max="9999" width="13.25" style="23" customWidth="1"/>
    <col min="10000" max="10000" width="11.625" style="23" bestFit="1" customWidth="1"/>
    <col min="10001" max="10001" width="9.875" style="23" bestFit="1" customWidth="1"/>
    <col min="10002" max="10002" width="2.5" style="23" customWidth="1"/>
    <col min="10003" max="10242" width="9" style="23"/>
    <col min="10243" max="10243" width="11.5" style="23" bestFit="1" customWidth="1"/>
    <col min="10244" max="10245" width="9.875" style="23" bestFit="1" customWidth="1"/>
    <col min="10246" max="10254" width="9" style="23"/>
    <col min="10255" max="10255" width="13.25" style="23" customWidth="1"/>
    <col min="10256" max="10256" width="11.625" style="23" bestFit="1" customWidth="1"/>
    <col min="10257" max="10257" width="9.875" style="23" bestFit="1" customWidth="1"/>
    <col min="10258" max="10258" width="2.5" style="23" customWidth="1"/>
    <col min="10259" max="10498" width="9" style="23"/>
    <col min="10499" max="10499" width="11.5" style="23" bestFit="1" customWidth="1"/>
    <col min="10500" max="10501" width="9.875" style="23" bestFit="1" customWidth="1"/>
    <col min="10502" max="10510" width="9" style="23"/>
    <col min="10511" max="10511" width="13.25" style="23" customWidth="1"/>
    <col min="10512" max="10512" width="11.625" style="23" bestFit="1" customWidth="1"/>
    <col min="10513" max="10513" width="9.875" style="23" bestFit="1" customWidth="1"/>
    <col min="10514" max="10514" width="2.5" style="23" customWidth="1"/>
    <col min="10515" max="10754" width="9" style="23"/>
    <col min="10755" max="10755" width="11.5" style="23" bestFit="1" customWidth="1"/>
    <col min="10756" max="10757" width="9.875" style="23" bestFit="1" customWidth="1"/>
    <col min="10758" max="10766" width="9" style="23"/>
    <col min="10767" max="10767" width="13.25" style="23" customWidth="1"/>
    <col min="10768" max="10768" width="11.625" style="23" bestFit="1" customWidth="1"/>
    <col min="10769" max="10769" width="9.875" style="23" bestFit="1" customWidth="1"/>
    <col min="10770" max="10770" width="2.5" style="23" customWidth="1"/>
    <col min="10771" max="11010" width="9" style="23"/>
    <col min="11011" max="11011" width="11.5" style="23" bestFit="1" customWidth="1"/>
    <col min="11012" max="11013" width="9.875" style="23" bestFit="1" customWidth="1"/>
    <col min="11014" max="11022" width="9" style="23"/>
    <col min="11023" max="11023" width="13.25" style="23" customWidth="1"/>
    <col min="11024" max="11024" width="11.625" style="23" bestFit="1" customWidth="1"/>
    <col min="11025" max="11025" width="9.875" style="23" bestFit="1" customWidth="1"/>
    <col min="11026" max="11026" width="2.5" style="23" customWidth="1"/>
    <col min="11027" max="11266" width="9" style="23"/>
    <col min="11267" max="11267" width="11.5" style="23" bestFit="1" customWidth="1"/>
    <col min="11268" max="11269" width="9.875" style="23" bestFit="1" customWidth="1"/>
    <col min="11270" max="11278" width="9" style="23"/>
    <col min="11279" max="11279" width="13.25" style="23" customWidth="1"/>
    <col min="11280" max="11280" width="11.625" style="23" bestFit="1" customWidth="1"/>
    <col min="11281" max="11281" width="9.875" style="23" bestFit="1" customWidth="1"/>
    <col min="11282" max="11282" width="2.5" style="23" customWidth="1"/>
    <col min="11283" max="11522" width="9" style="23"/>
    <col min="11523" max="11523" width="11.5" style="23" bestFit="1" customWidth="1"/>
    <col min="11524" max="11525" width="9.875" style="23" bestFit="1" customWidth="1"/>
    <col min="11526" max="11534" width="9" style="23"/>
    <col min="11535" max="11535" width="13.25" style="23" customWidth="1"/>
    <col min="11536" max="11536" width="11.625" style="23" bestFit="1" customWidth="1"/>
    <col min="11537" max="11537" width="9.875" style="23" bestFit="1" customWidth="1"/>
    <col min="11538" max="11538" width="2.5" style="23" customWidth="1"/>
    <col min="11539" max="11778" width="9" style="23"/>
    <col min="11779" max="11779" width="11.5" style="23" bestFit="1" customWidth="1"/>
    <col min="11780" max="11781" width="9.875" style="23" bestFit="1" customWidth="1"/>
    <col min="11782" max="11790" width="9" style="23"/>
    <col min="11791" max="11791" width="13.25" style="23" customWidth="1"/>
    <col min="11792" max="11792" width="11.625" style="23" bestFit="1" customWidth="1"/>
    <col min="11793" max="11793" width="9.875" style="23" bestFit="1" customWidth="1"/>
    <col min="11794" max="11794" width="2.5" style="23" customWidth="1"/>
    <col min="11795" max="12034" width="9" style="23"/>
    <col min="12035" max="12035" width="11.5" style="23" bestFit="1" customWidth="1"/>
    <col min="12036" max="12037" width="9.875" style="23" bestFit="1" customWidth="1"/>
    <col min="12038" max="12046" width="9" style="23"/>
    <col min="12047" max="12047" width="13.25" style="23" customWidth="1"/>
    <col min="12048" max="12048" width="11.625" style="23" bestFit="1" customWidth="1"/>
    <col min="12049" max="12049" width="9.875" style="23" bestFit="1" customWidth="1"/>
    <col min="12050" max="12050" width="2.5" style="23" customWidth="1"/>
    <col min="12051" max="12290" width="9" style="23"/>
    <col min="12291" max="12291" width="11.5" style="23" bestFit="1" customWidth="1"/>
    <col min="12292" max="12293" width="9.875" style="23" bestFit="1" customWidth="1"/>
    <col min="12294" max="12302" width="9" style="23"/>
    <col min="12303" max="12303" width="13.25" style="23" customWidth="1"/>
    <col min="12304" max="12304" width="11.625" style="23" bestFit="1" customWidth="1"/>
    <col min="12305" max="12305" width="9.875" style="23" bestFit="1" customWidth="1"/>
    <col min="12306" max="12306" width="2.5" style="23" customWidth="1"/>
    <col min="12307" max="12546" width="9" style="23"/>
    <col min="12547" max="12547" width="11.5" style="23" bestFit="1" customWidth="1"/>
    <col min="12548" max="12549" width="9.875" style="23" bestFit="1" customWidth="1"/>
    <col min="12550" max="12558" width="9" style="23"/>
    <col min="12559" max="12559" width="13.25" style="23" customWidth="1"/>
    <col min="12560" max="12560" width="11.625" style="23" bestFit="1" customWidth="1"/>
    <col min="12561" max="12561" width="9.875" style="23" bestFit="1" customWidth="1"/>
    <col min="12562" max="12562" width="2.5" style="23" customWidth="1"/>
    <col min="12563" max="12802" width="9" style="23"/>
    <col min="12803" max="12803" width="11.5" style="23" bestFit="1" customWidth="1"/>
    <col min="12804" max="12805" width="9.875" style="23" bestFit="1" customWidth="1"/>
    <col min="12806" max="12814" width="9" style="23"/>
    <col min="12815" max="12815" width="13.25" style="23" customWidth="1"/>
    <col min="12816" max="12816" width="11.625" style="23" bestFit="1" customWidth="1"/>
    <col min="12817" max="12817" width="9.875" style="23" bestFit="1" customWidth="1"/>
    <col min="12818" max="12818" width="2.5" style="23" customWidth="1"/>
    <col min="12819" max="13058" width="9" style="23"/>
    <col min="13059" max="13059" width="11.5" style="23" bestFit="1" customWidth="1"/>
    <col min="13060" max="13061" width="9.875" style="23" bestFit="1" customWidth="1"/>
    <col min="13062" max="13070" width="9" style="23"/>
    <col min="13071" max="13071" width="13.25" style="23" customWidth="1"/>
    <col min="13072" max="13072" width="11.625" style="23" bestFit="1" customWidth="1"/>
    <col min="13073" max="13073" width="9.875" style="23" bestFit="1" customWidth="1"/>
    <col min="13074" max="13074" width="2.5" style="23" customWidth="1"/>
    <col min="13075" max="13314" width="9" style="23"/>
    <col min="13315" max="13315" width="11.5" style="23" bestFit="1" customWidth="1"/>
    <col min="13316" max="13317" width="9.875" style="23" bestFit="1" customWidth="1"/>
    <col min="13318" max="13326" width="9" style="23"/>
    <col min="13327" max="13327" width="13.25" style="23" customWidth="1"/>
    <col min="13328" max="13328" width="11.625" style="23" bestFit="1" customWidth="1"/>
    <col min="13329" max="13329" width="9.875" style="23" bestFit="1" customWidth="1"/>
    <col min="13330" max="13330" width="2.5" style="23" customWidth="1"/>
    <col min="13331" max="13570" width="9" style="23"/>
    <col min="13571" max="13571" width="11.5" style="23" bestFit="1" customWidth="1"/>
    <col min="13572" max="13573" width="9.875" style="23" bestFit="1" customWidth="1"/>
    <col min="13574" max="13582" width="9" style="23"/>
    <col min="13583" max="13583" width="13.25" style="23" customWidth="1"/>
    <col min="13584" max="13584" width="11.625" style="23" bestFit="1" customWidth="1"/>
    <col min="13585" max="13585" width="9.875" style="23" bestFit="1" customWidth="1"/>
    <col min="13586" max="13586" width="2.5" style="23" customWidth="1"/>
    <col min="13587" max="13826" width="9" style="23"/>
    <col min="13827" max="13827" width="11.5" style="23" bestFit="1" customWidth="1"/>
    <col min="13828" max="13829" width="9.875" style="23" bestFit="1" customWidth="1"/>
    <col min="13830" max="13838" width="9" style="23"/>
    <col min="13839" max="13839" width="13.25" style="23" customWidth="1"/>
    <col min="13840" max="13840" width="11.625" style="23" bestFit="1" customWidth="1"/>
    <col min="13841" max="13841" width="9.875" style="23" bestFit="1" customWidth="1"/>
    <col min="13842" max="13842" width="2.5" style="23" customWidth="1"/>
    <col min="13843" max="14082" width="9" style="23"/>
    <col min="14083" max="14083" width="11.5" style="23" bestFit="1" customWidth="1"/>
    <col min="14084" max="14085" width="9.875" style="23" bestFit="1" customWidth="1"/>
    <col min="14086" max="14094" width="9" style="23"/>
    <col min="14095" max="14095" width="13.25" style="23" customWidth="1"/>
    <col min="14096" max="14096" width="11.625" style="23" bestFit="1" customWidth="1"/>
    <col min="14097" max="14097" width="9.875" style="23" bestFit="1" customWidth="1"/>
    <col min="14098" max="14098" width="2.5" style="23" customWidth="1"/>
    <col min="14099" max="14338" width="9" style="23"/>
    <col min="14339" max="14339" width="11.5" style="23" bestFit="1" customWidth="1"/>
    <col min="14340" max="14341" width="9.875" style="23" bestFit="1" customWidth="1"/>
    <col min="14342" max="14350" width="9" style="23"/>
    <col min="14351" max="14351" width="13.25" style="23" customWidth="1"/>
    <col min="14352" max="14352" width="11.625" style="23" bestFit="1" customWidth="1"/>
    <col min="14353" max="14353" width="9.875" style="23" bestFit="1" customWidth="1"/>
    <col min="14354" max="14354" width="2.5" style="23" customWidth="1"/>
    <col min="14355" max="14594" width="9" style="23"/>
    <col min="14595" max="14595" width="11.5" style="23" bestFit="1" customWidth="1"/>
    <col min="14596" max="14597" width="9.875" style="23" bestFit="1" customWidth="1"/>
    <col min="14598" max="14606" width="9" style="23"/>
    <col min="14607" max="14607" width="13.25" style="23" customWidth="1"/>
    <col min="14608" max="14608" width="11.625" style="23" bestFit="1" customWidth="1"/>
    <col min="14609" max="14609" width="9.875" style="23" bestFit="1" customWidth="1"/>
    <col min="14610" max="14610" width="2.5" style="23" customWidth="1"/>
    <col min="14611" max="14850" width="9" style="23"/>
    <col min="14851" max="14851" width="11.5" style="23" bestFit="1" customWidth="1"/>
    <col min="14852" max="14853" width="9.875" style="23" bestFit="1" customWidth="1"/>
    <col min="14854" max="14862" width="9" style="23"/>
    <col min="14863" max="14863" width="13.25" style="23" customWidth="1"/>
    <col min="14864" max="14864" width="11.625" style="23" bestFit="1" customWidth="1"/>
    <col min="14865" max="14865" width="9.875" style="23" bestFit="1" customWidth="1"/>
    <col min="14866" max="14866" width="2.5" style="23" customWidth="1"/>
    <col min="14867" max="15106" width="9" style="23"/>
    <col min="15107" max="15107" width="11.5" style="23" bestFit="1" customWidth="1"/>
    <col min="15108" max="15109" width="9.875" style="23" bestFit="1" customWidth="1"/>
    <col min="15110" max="15118" width="9" style="23"/>
    <col min="15119" max="15119" width="13.25" style="23" customWidth="1"/>
    <col min="15120" max="15120" width="11.625" style="23" bestFit="1" customWidth="1"/>
    <col min="15121" max="15121" width="9.875" style="23" bestFit="1" customWidth="1"/>
    <col min="15122" max="15122" width="2.5" style="23" customWidth="1"/>
    <col min="15123" max="15362" width="9" style="23"/>
    <col min="15363" max="15363" width="11.5" style="23" bestFit="1" customWidth="1"/>
    <col min="15364" max="15365" width="9.875" style="23" bestFit="1" customWidth="1"/>
    <col min="15366" max="15374" width="9" style="23"/>
    <col min="15375" max="15375" width="13.25" style="23" customWidth="1"/>
    <col min="15376" max="15376" width="11.625" style="23" bestFit="1" customWidth="1"/>
    <col min="15377" max="15377" width="9.875" style="23" bestFit="1" customWidth="1"/>
    <col min="15378" max="15378" width="2.5" style="23" customWidth="1"/>
    <col min="15379" max="15618" width="9" style="23"/>
    <col min="15619" max="15619" width="11.5" style="23" bestFit="1" customWidth="1"/>
    <col min="15620" max="15621" width="9.875" style="23" bestFit="1" customWidth="1"/>
    <col min="15622" max="15630" width="9" style="23"/>
    <col min="15631" max="15631" width="13.25" style="23" customWidth="1"/>
    <col min="15632" max="15632" width="11.625" style="23" bestFit="1" customWidth="1"/>
    <col min="15633" max="15633" width="9.875" style="23" bestFit="1" customWidth="1"/>
    <col min="15634" max="15634" width="2.5" style="23" customWidth="1"/>
    <col min="15635" max="15874" width="9" style="23"/>
    <col min="15875" max="15875" width="11.5" style="23" bestFit="1" customWidth="1"/>
    <col min="15876" max="15877" width="9.875" style="23" bestFit="1" customWidth="1"/>
    <col min="15878" max="15886" width="9" style="23"/>
    <col min="15887" max="15887" width="13.25" style="23" customWidth="1"/>
    <col min="15888" max="15888" width="11.625" style="23" bestFit="1" customWidth="1"/>
    <col min="15889" max="15889" width="9.875" style="23" bestFit="1" customWidth="1"/>
    <col min="15890" max="15890" width="2.5" style="23" customWidth="1"/>
    <col min="15891" max="16130" width="9" style="23"/>
    <col min="16131" max="16131" width="11.5" style="23" bestFit="1" customWidth="1"/>
    <col min="16132" max="16133" width="9.875" style="23" bestFit="1" customWidth="1"/>
    <col min="16134" max="16142" width="9" style="23"/>
    <col min="16143" max="16143" width="13.25" style="23" customWidth="1"/>
    <col min="16144" max="16144" width="11.625" style="23" bestFit="1" customWidth="1"/>
    <col min="16145" max="16145" width="9.875" style="23" bestFit="1" customWidth="1"/>
    <col min="16146" max="16146" width="2.5" style="23" customWidth="1"/>
    <col min="16147" max="16384" width="9" style="23"/>
  </cols>
  <sheetData>
    <row r="2" spans="2:39">
      <c r="B2" s="22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</row>
    <row r="3" spans="2:39">
      <c r="B3" s="22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2"/>
      <c r="R3" s="22"/>
      <c r="S3" s="22"/>
      <c r="T3" s="22"/>
      <c r="U3" s="22"/>
      <c r="V3" s="22"/>
      <c r="W3" s="22"/>
      <c r="X3" s="22"/>
      <c r="Y3" s="22"/>
    </row>
    <row r="4" spans="2:39">
      <c r="B4" s="42" t="s">
        <v>97</v>
      </c>
      <c r="C4" s="36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34" t="s">
        <v>38</v>
      </c>
      <c r="Q4" s="35" t="s">
        <v>97</v>
      </c>
      <c r="W4" s="22"/>
      <c r="X4" s="22"/>
      <c r="Y4" s="22"/>
      <c r="AM4" s="22"/>
    </row>
    <row r="5" spans="2:39">
      <c r="B5" s="42" t="s">
        <v>98</v>
      </c>
      <c r="C5" s="36" t="s">
        <v>99</v>
      </c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39" t="s">
        <v>36</v>
      </c>
      <c r="Q5" s="36">
        <v>16</v>
      </c>
      <c r="W5" s="22"/>
      <c r="X5" s="22"/>
      <c r="Y5" s="22"/>
      <c r="AM5" s="22"/>
    </row>
    <row r="6" spans="2:39">
      <c r="B6" s="42" t="s">
        <v>107</v>
      </c>
      <c r="C6" s="36">
        <v>53</v>
      </c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40" t="s">
        <v>37</v>
      </c>
      <c r="Q6" s="44">
        <v>37</v>
      </c>
      <c r="W6" s="22"/>
      <c r="X6" s="22"/>
      <c r="Y6" s="22"/>
      <c r="AM6" s="22"/>
    </row>
    <row r="7" spans="2:39">
      <c r="B7" s="43" t="s">
        <v>21</v>
      </c>
      <c r="C7" s="45">
        <v>53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41" t="s">
        <v>21</v>
      </c>
      <c r="Q7" s="45">
        <v>53</v>
      </c>
      <c r="W7" s="22"/>
      <c r="X7" s="22"/>
      <c r="Y7" s="22"/>
      <c r="AM7" s="22"/>
    </row>
    <row r="8" spans="2:39"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W8" s="22"/>
      <c r="X8" s="22"/>
      <c r="Y8" s="22"/>
      <c r="AM8" s="22"/>
    </row>
    <row r="9" spans="2:39"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W9" s="22"/>
      <c r="X9" s="22"/>
      <c r="Y9" s="22"/>
      <c r="AM9" s="22"/>
    </row>
    <row r="10" spans="2:39"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W10" s="22"/>
      <c r="X10" s="22"/>
      <c r="Y10" s="22"/>
      <c r="AM10" s="22"/>
    </row>
    <row r="11" spans="2:39"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W11" s="22"/>
      <c r="X11" s="22"/>
      <c r="Y11" s="22"/>
      <c r="AM11" s="22"/>
    </row>
    <row r="12" spans="2:39"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W12" s="22"/>
      <c r="X12" s="22"/>
      <c r="Y12" s="22"/>
      <c r="AM12" s="22"/>
    </row>
    <row r="13" spans="2:39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W13" s="22"/>
      <c r="X13" s="22"/>
      <c r="Y13" s="22"/>
      <c r="AM13" s="22"/>
    </row>
    <row r="14" spans="2:39"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W14" s="22"/>
      <c r="X14" s="22"/>
      <c r="Y14" s="22"/>
      <c r="AM14" s="22"/>
    </row>
    <row r="15" spans="2:39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W15" s="22"/>
      <c r="X15" s="22"/>
      <c r="Y15" s="22"/>
      <c r="AM15" s="22"/>
    </row>
    <row r="16" spans="2:39"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W16" s="22"/>
      <c r="X16" s="22"/>
      <c r="Y16" s="22"/>
      <c r="AM16" s="22"/>
    </row>
    <row r="17" spans="3:39"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W17" s="22"/>
      <c r="X17" s="22"/>
      <c r="Y17" s="22"/>
      <c r="AM17" s="22"/>
    </row>
    <row r="18" spans="3:39"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S18" s="22"/>
      <c r="T18" s="22"/>
      <c r="U18" s="22"/>
      <c r="V18" s="22"/>
      <c r="W18" s="22"/>
      <c r="X18" s="22"/>
      <c r="Y18" s="22"/>
      <c r="AM18" s="22"/>
    </row>
    <row r="19" spans="3:39"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S19" s="22"/>
      <c r="T19" s="22"/>
      <c r="U19" s="22"/>
      <c r="V19" s="22"/>
      <c r="W19" s="22"/>
      <c r="X19" s="22"/>
      <c r="Y19" s="22"/>
      <c r="AM19" s="22"/>
    </row>
    <row r="20" spans="3:39">
      <c r="C20" s="23"/>
      <c r="D20" s="23"/>
      <c r="E20" s="23"/>
      <c r="F20" s="23"/>
      <c r="G20" s="23"/>
      <c r="H20" s="23"/>
      <c r="P20" s="23"/>
      <c r="S20" s="22"/>
      <c r="T20" s="22"/>
      <c r="U20" s="22"/>
      <c r="V20" s="22"/>
      <c r="W20" s="22"/>
      <c r="X20" s="22"/>
      <c r="Y20" s="22"/>
      <c r="AM20" s="22"/>
    </row>
    <row r="21" spans="3:39">
      <c r="C21" s="23"/>
      <c r="D21" s="23"/>
      <c r="E21" s="23"/>
      <c r="F21" s="23"/>
      <c r="G21" s="23"/>
      <c r="H21" s="23"/>
      <c r="P21" s="23"/>
      <c r="AM21" s="22"/>
    </row>
    <row r="22" spans="3:39">
      <c r="C22" s="23"/>
    </row>
    <row r="23" spans="3:39">
      <c r="C23" s="23"/>
    </row>
    <row r="24" spans="3:39">
      <c r="C24" s="23"/>
    </row>
    <row r="25" spans="3:39">
      <c r="C25" s="23"/>
    </row>
    <row r="26" spans="3:39">
      <c r="C26" s="23"/>
    </row>
    <row r="27" spans="3:39">
      <c r="C27" s="23"/>
    </row>
    <row r="28" spans="3:39">
      <c r="C28" s="23"/>
    </row>
    <row r="29" spans="3:39">
      <c r="C29" s="23"/>
    </row>
    <row r="30" spans="3:39">
      <c r="C30" s="23"/>
    </row>
    <row r="31" spans="3:39">
      <c r="C31" s="23"/>
    </row>
    <row r="32" spans="3:39">
      <c r="C32" s="23"/>
    </row>
    <row r="33" spans="2:17">
      <c r="C33" s="23"/>
    </row>
    <row r="40" spans="2:17">
      <c r="B40" s="34" t="s">
        <v>100</v>
      </c>
      <c r="C40" s="35" t="s">
        <v>97</v>
      </c>
      <c r="D40" s="23"/>
      <c r="P40" s="34" t="s">
        <v>101</v>
      </c>
      <c r="Q40" s="35" t="s">
        <v>97</v>
      </c>
    </row>
    <row r="41" spans="2:17">
      <c r="B41" s="39" t="s">
        <v>50</v>
      </c>
      <c r="C41" s="36">
        <v>2</v>
      </c>
      <c r="D41" s="23"/>
      <c r="P41" s="39" t="s">
        <v>124</v>
      </c>
      <c r="Q41" s="36">
        <v>6</v>
      </c>
    </row>
    <row r="42" spans="2:17">
      <c r="B42" s="40" t="s">
        <v>49</v>
      </c>
      <c r="C42" s="44">
        <v>15</v>
      </c>
      <c r="D42" s="23"/>
      <c r="P42" s="40" t="s">
        <v>125</v>
      </c>
      <c r="Q42" s="44">
        <v>5</v>
      </c>
    </row>
    <row r="43" spans="2:17">
      <c r="B43" s="40" t="s">
        <v>148</v>
      </c>
      <c r="C43" s="44">
        <v>3</v>
      </c>
      <c r="D43" s="23"/>
      <c r="P43" s="40" t="s">
        <v>126</v>
      </c>
      <c r="Q43" s="44">
        <v>13</v>
      </c>
    </row>
    <row r="44" spans="2:17">
      <c r="B44" s="40" t="s">
        <v>116</v>
      </c>
      <c r="C44" s="44">
        <v>1</v>
      </c>
      <c r="D44" s="23"/>
      <c r="P44" s="40" t="s">
        <v>107</v>
      </c>
      <c r="Q44" s="44">
        <v>29</v>
      </c>
    </row>
    <row r="45" spans="2:17">
      <c r="B45" s="40" t="s">
        <v>103</v>
      </c>
      <c r="C45" s="44">
        <v>5</v>
      </c>
      <c r="D45" s="23"/>
      <c r="P45" s="41" t="s">
        <v>21</v>
      </c>
      <c r="Q45" s="45">
        <v>53</v>
      </c>
    </row>
    <row r="46" spans="2:17">
      <c r="B46" s="40" t="s">
        <v>113</v>
      </c>
      <c r="C46" s="44">
        <v>8</v>
      </c>
      <c r="D46" s="23"/>
      <c r="P46" s="23"/>
    </row>
    <row r="47" spans="2:17" ht="33">
      <c r="B47" s="40" t="s">
        <v>123</v>
      </c>
      <c r="C47" s="44">
        <v>16</v>
      </c>
      <c r="D47" s="23"/>
      <c r="P47" s="23"/>
    </row>
    <row r="48" spans="2:17">
      <c r="B48" s="40" t="s">
        <v>122</v>
      </c>
      <c r="C48" s="44">
        <v>1</v>
      </c>
      <c r="D48" s="23"/>
      <c r="P48" s="23"/>
    </row>
    <row r="49" spans="2:16">
      <c r="B49" s="40" t="s">
        <v>149</v>
      </c>
      <c r="C49" s="44">
        <v>1</v>
      </c>
      <c r="D49" s="23"/>
      <c r="P49" s="23"/>
    </row>
    <row r="50" spans="2:16">
      <c r="B50" s="40" t="s">
        <v>146</v>
      </c>
      <c r="C50" s="44">
        <v>1</v>
      </c>
      <c r="D50" s="23"/>
      <c r="P50" s="23"/>
    </row>
    <row r="51" spans="2:16">
      <c r="B51" s="41" t="s">
        <v>21</v>
      </c>
      <c r="C51" s="45">
        <v>53</v>
      </c>
      <c r="D51" s="23"/>
      <c r="P51" s="23"/>
    </row>
    <row r="52" spans="2:16">
      <c r="C52" s="23"/>
      <c r="D52" s="23"/>
      <c r="P52" s="23"/>
    </row>
    <row r="53" spans="2:16">
      <c r="C53" s="23"/>
      <c r="D53" s="23"/>
      <c r="P53" s="23"/>
    </row>
    <row r="54" spans="2:16">
      <c r="C54" s="23"/>
      <c r="D54" s="23"/>
      <c r="P54" s="23"/>
    </row>
    <row r="55" spans="2:16">
      <c r="C55" s="23"/>
      <c r="D55" s="23"/>
      <c r="P55" s="23"/>
    </row>
    <row r="56" spans="2:16">
      <c r="C56" s="23"/>
      <c r="D56" s="23"/>
      <c r="P56" s="23"/>
    </row>
    <row r="57" spans="2:16">
      <c r="C57" s="23"/>
      <c r="D57" s="23"/>
      <c r="P57" s="23"/>
    </row>
    <row r="58" spans="2:16">
      <c r="C58" s="23"/>
    </row>
    <row r="59" spans="2:16">
      <c r="C59" s="23"/>
    </row>
    <row r="76" spans="2:17">
      <c r="B76" s="33" t="s">
        <v>102</v>
      </c>
      <c r="C76" s="33" t="s">
        <v>97</v>
      </c>
      <c r="D76" s="23"/>
      <c r="P76" s="34" t="s">
        <v>96</v>
      </c>
      <c r="Q76" s="35" t="s">
        <v>97</v>
      </c>
    </row>
    <row r="77" spans="2:17">
      <c r="B77" s="32" t="s">
        <v>56</v>
      </c>
      <c r="C77" s="50">
        <v>6</v>
      </c>
      <c r="D77" s="23"/>
      <c r="P77" s="39" t="s">
        <v>88</v>
      </c>
      <c r="Q77" s="36">
        <v>37</v>
      </c>
    </row>
    <row r="78" spans="2:17" ht="49.5">
      <c r="B78" s="32" t="s">
        <v>112</v>
      </c>
      <c r="C78" s="50">
        <v>3</v>
      </c>
      <c r="D78" s="23"/>
      <c r="P78" s="40" t="s">
        <v>106</v>
      </c>
      <c r="Q78" s="44">
        <v>16</v>
      </c>
    </row>
    <row r="79" spans="2:17" ht="49.5">
      <c r="B79" s="32" t="s">
        <v>114</v>
      </c>
      <c r="C79" s="50">
        <v>11</v>
      </c>
      <c r="D79" s="23"/>
      <c r="P79" s="41" t="s">
        <v>21</v>
      </c>
      <c r="Q79" s="45">
        <v>53</v>
      </c>
    </row>
    <row r="80" spans="2:17" ht="33">
      <c r="B80" s="32" t="s">
        <v>51</v>
      </c>
      <c r="C80" s="50">
        <v>1</v>
      </c>
      <c r="D80" s="23"/>
      <c r="P80" s="23"/>
    </row>
    <row r="81" spans="2:16">
      <c r="B81" s="32" t="s">
        <v>131</v>
      </c>
      <c r="C81" s="50">
        <v>3</v>
      </c>
      <c r="D81" s="23"/>
      <c r="P81" s="23"/>
    </row>
    <row r="82" spans="2:16">
      <c r="B82" s="32" t="s">
        <v>133</v>
      </c>
      <c r="C82" s="50">
        <v>6</v>
      </c>
      <c r="D82" s="23"/>
      <c r="P82" s="23"/>
    </row>
    <row r="83" spans="2:16">
      <c r="B83" s="32" t="s">
        <v>181</v>
      </c>
      <c r="C83" s="50">
        <v>3</v>
      </c>
      <c r="D83" s="23"/>
      <c r="P83" s="23"/>
    </row>
    <row r="84" spans="2:16" ht="49.5">
      <c r="B84" s="32" t="s">
        <v>182</v>
      </c>
      <c r="C84" s="50">
        <v>2</v>
      </c>
      <c r="D84" s="23"/>
      <c r="P84" s="23"/>
    </row>
    <row r="85" spans="2:16">
      <c r="B85" s="32" t="s">
        <v>115</v>
      </c>
      <c r="C85" s="50">
        <v>5</v>
      </c>
      <c r="D85" s="23"/>
      <c r="P85" s="23"/>
    </row>
    <row r="86" spans="2:16">
      <c r="B86" s="32" t="s">
        <v>137</v>
      </c>
      <c r="C86" s="50">
        <v>10</v>
      </c>
      <c r="D86" s="23"/>
      <c r="P86" s="23"/>
    </row>
    <row r="87" spans="2:16" ht="49.5">
      <c r="B87" s="32" t="s">
        <v>136</v>
      </c>
      <c r="C87" s="50">
        <v>1</v>
      </c>
      <c r="D87" s="23"/>
      <c r="P87" s="23"/>
    </row>
    <row r="88" spans="2:16">
      <c r="B88" s="32" t="s">
        <v>155</v>
      </c>
      <c r="C88" s="50">
        <v>2</v>
      </c>
      <c r="D88" s="23"/>
      <c r="P88" s="23"/>
    </row>
    <row r="89" spans="2:16">
      <c r="B89" s="32" t="s">
        <v>21</v>
      </c>
      <c r="C89" s="50">
        <v>53</v>
      </c>
      <c r="D89" s="23"/>
      <c r="P89" s="23"/>
    </row>
    <row r="90" spans="2:16">
      <c r="C90" s="23"/>
      <c r="D90" s="23"/>
      <c r="P90" s="23"/>
    </row>
    <row r="91" spans="2:16">
      <c r="C91" s="23"/>
      <c r="D91" s="23"/>
      <c r="P91" s="23"/>
    </row>
    <row r="92" spans="2:16">
      <c r="C92" s="23"/>
      <c r="D92" s="23"/>
      <c r="P92" s="23"/>
    </row>
    <row r="93" spans="2:16">
      <c r="C93" s="23"/>
      <c r="D93" s="23"/>
      <c r="P93" s="23"/>
    </row>
    <row r="94" spans="2:16">
      <c r="C94" s="23"/>
    </row>
    <row r="95" spans="2:16">
      <c r="C95" s="23"/>
    </row>
    <row r="96" spans="2:16">
      <c r="C96" s="23"/>
    </row>
    <row r="97" spans="3:3">
      <c r="C97" s="23"/>
    </row>
    <row r="98" spans="3:3">
      <c r="C98" s="23"/>
    </row>
    <row r="99" spans="3:3">
      <c r="C99" s="23"/>
    </row>
    <row r="100" spans="3:3">
      <c r="C100" s="23"/>
    </row>
    <row r="101" spans="3:3">
      <c r="C101" s="23"/>
    </row>
    <row r="102" spans="3:3">
      <c r="C102" s="23"/>
    </row>
    <row r="103" spans="3:3">
      <c r="C103" s="23"/>
    </row>
    <row r="104" spans="3:3">
      <c r="C104" s="23"/>
    </row>
    <row r="105" spans="3:3">
      <c r="C105" s="23"/>
    </row>
    <row r="106" spans="3:3">
      <c r="C106" s="23"/>
    </row>
    <row r="107" spans="3:3">
      <c r="C107" s="23"/>
    </row>
    <row r="108" spans="3:3">
      <c r="C108" s="23"/>
    </row>
    <row r="109" spans="3:3">
      <c r="C109" s="23"/>
    </row>
    <row r="110" spans="3:3">
      <c r="C110" s="23"/>
    </row>
    <row r="111" spans="3:3">
      <c r="C111" s="23"/>
    </row>
    <row r="112" spans="3:3">
      <c r="C112" s="23"/>
    </row>
    <row r="113" spans="2:17">
      <c r="C113" s="23"/>
    </row>
    <row r="114" spans="2:17">
      <c r="B114" s="24"/>
      <c r="C114" s="23"/>
    </row>
    <row r="115" spans="2:17">
      <c r="B115" s="24"/>
      <c r="C115" s="23"/>
    </row>
    <row r="116" spans="2:17">
      <c r="B116" s="33" t="s">
        <v>34</v>
      </c>
      <c r="C116" s="33" t="s">
        <v>97</v>
      </c>
      <c r="P116" s="34" t="s">
        <v>41</v>
      </c>
      <c r="Q116" s="35" t="s">
        <v>97</v>
      </c>
    </row>
    <row r="117" spans="2:17" ht="33">
      <c r="B117" s="26">
        <v>1</v>
      </c>
      <c r="C117" s="46">
        <v>16</v>
      </c>
      <c r="P117" s="39" t="s">
        <v>43</v>
      </c>
      <c r="Q117" s="36">
        <v>24</v>
      </c>
    </row>
    <row r="118" spans="2:17">
      <c r="B118" s="29">
        <v>2</v>
      </c>
      <c r="C118" s="47">
        <v>16</v>
      </c>
      <c r="P118" s="40" t="s">
        <v>111</v>
      </c>
      <c r="Q118" s="44">
        <v>29</v>
      </c>
    </row>
    <row r="119" spans="2:17">
      <c r="B119" s="29">
        <v>3</v>
      </c>
      <c r="C119" s="47">
        <v>14</v>
      </c>
      <c r="P119" s="41" t="s">
        <v>21</v>
      </c>
      <c r="Q119" s="45">
        <v>53</v>
      </c>
    </row>
    <row r="120" spans="2:17">
      <c r="B120" s="27">
        <v>4</v>
      </c>
      <c r="C120" s="47">
        <v>7</v>
      </c>
      <c r="P120" s="23"/>
    </row>
    <row r="121" spans="2:17">
      <c r="B121" s="32" t="s">
        <v>21</v>
      </c>
      <c r="C121" s="49">
        <v>53</v>
      </c>
      <c r="P121" s="23"/>
    </row>
    <row r="122" spans="2:17">
      <c r="C122" s="23"/>
      <c r="P122" s="23"/>
    </row>
    <row r="123" spans="2:17">
      <c r="C123" s="23"/>
      <c r="P123" s="23"/>
    </row>
    <row r="124" spans="2:17">
      <c r="C124" s="23"/>
    </row>
    <row r="125" spans="2:17">
      <c r="C125" s="23"/>
    </row>
    <row r="126" spans="2:17">
      <c r="C126" s="23"/>
    </row>
    <row r="127" spans="2:17">
      <c r="C127" s="23"/>
    </row>
    <row r="128" spans="2:17">
      <c r="C128" s="23"/>
      <c r="P128" s="23"/>
    </row>
    <row r="129" spans="3:16">
      <c r="C129" s="23"/>
      <c r="P129" s="23"/>
    </row>
    <row r="130" spans="3:16">
      <c r="P130" s="23"/>
    </row>
    <row r="131" spans="3:16">
      <c r="P131" s="23"/>
    </row>
    <row r="132" spans="3:16">
      <c r="P132" s="23"/>
    </row>
    <row r="133" spans="3:16">
      <c r="C133" s="23"/>
      <c r="D133" s="23"/>
      <c r="P133" s="23"/>
    </row>
    <row r="149" spans="2:27">
      <c r="P149" s="23"/>
      <c r="Q149" s="22"/>
      <c r="R149" s="22"/>
    </row>
    <row r="150" spans="2:27">
      <c r="B150" s="34" t="s">
        <v>34</v>
      </c>
      <c r="C150" s="34" t="s">
        <v>38</v>
      </c>
      <c r="D150" s="35" t="s">
        <v>97</v>
      </c>
      <c r="E150" s="23"/>
      <c r="F150" s="23"/>
      <c r="G150" s="23"/>
      <c r="H150" s="23"/>
      <c r="I150" s="23"/>
      <c r="P150" s="34" t="s">
        <v>39</v>
      </c>
      <c r="Q150" s="35" t="s">
        <v>97</v>
      </c>
    </row>
    <row r="151" spans="2:27">
      <c r="B151" s="39">
        <v>1</v>
      </c>
      <c r="C151" s="39" t="s">
        <v>37</v>
      </c>
      <c r="D151" s="36">
        <v>16</v>
      </c>
      <c r="E151" s="23"/>
      <c r="F151" s="23"/>
      <c r="G151" s="23"/>
      <c r="H151" s="23"/>
      <c r="I151" s="23"/>
      <c r="P151" s="39" t="s">
        <v>35</v>
      </c>
      <c r="Q151" s="36">
        <v>4</v>
      </c>
    </row>
    <row r="152" spans="2:27">
      <c r="B152" s="957" t="s">
        <v>174</v>
      </c>
      <c r="C152" s="958"/>
      <c r="D152" s="36">
        <v>16</v>
      </c>
      <c r="E152" s="23"/>
      <c r="F152" s="23"/>
      <c r="G152" s="23"/>
      <c r="H152" s="23"/>
      <c r="I152" s="23"/>
      <c r="P152" s="40" t="s">
        <v>89</v>
      </c>
      <c r="Q152" s="44">
        <v>49</v>
      </c>
    </row>
    <row r="153" spans="2:27">
      <c r="B153" s="957">
        <v>2</v>
      </c>
      <c r="C153" s="39" t="s">
        <v>36</v>
      </c>
      <c r="D153" s="36">
        <v>9</v>
      </c>
      <c r="E153" s="23"/>
      <c r="F153" s="23"/>
      <c r="G153" s="23"/>
      <c r="H153" s="23"/>
      <c r="I153" s="23"/>
      <c r="P153" s="41" t="s">
        <v>21</v>
      </c>
      <c r="Q153" s="45">
        <v>53</v>
      </c>
    </row>
    <row r="154" spans="2:27">
      <c r="B154" s="961"/>
      <c r="C154" s="40" t="s">
        <v>37</v>
      </c>
      <c r="D154" s="44">
        <v>7</v>
      </c>
      <c r="E154" s="23"/>
      <c r="F154" s="23"/>
      <c r="G154" s="23"/>
      <c r="H154" s="23"/>
      <c r="I154" s="23"/>
      <c r="P154" s="23"/>
    </row>
    <row r="155" spans="2:27">
      <c r="B155" s="957" t="s">
        <v>175</v>
      </c>
      <c r="C155" s="958"/>
      <c r="D155" s="36">
        <v>16</v>
      </c>
      <c r="E155" s="23"/>
      <c r="F155" s="23"/>
      <c r="G155" s="23"/>
      <c r="H155" s="23"/>
      <c r="I155" s="23"/>
      <c r="P155" s="23"/>
    </row>
    <row r="156" spans="2:27">
      <c r="B156" s="957">
        <v>3</v>
      </c>
      <c r="C156" s="39" t="s">
        <v>36</v>
      </c>
      <c r="D156" s="36">
        <v>7</v>
      </c>
      <c r="E156" s="23"/>
      <c r="F156" s="23"/>
      <c r="G156" s="23"/>
      <c r="H156" s="23"/>
      <c r="I156" s="23"/>
      <c r="P156" s="23"/>
    </row>
    <row r="157" spans="2:27">
      <c r="B157" s="961"/>
      <c r="C157" s="40" t="s">
        <v>37</v>
      </c>
      <c r="D157" s="44">
        <v>7</v>
      </c>
      <c r="E157" s="23"/>
      <c r="F157" s="23"/>
      <c r="G157" s="23"/>
      <c r="H157" s="23"/>
      <c r="I157" s="23"/>
      <c r="P157" s="23"/>
      <c r="S157" s="22"/>
      <c r="T157" s="22"/>
      <c r="U157" s="22"/>
      <c r="V157" s="22"/>
      <c r="W157" s="22"/>
      <c r="X157" s="22"/>
      <c r="Y157" s="22"/>
      <c r="Z157" s="22"/>
      <c r="AA157" s="22"/>
    </row>
    <row r="158" spans="2:27">
      <c r="B158" s="957" t="s">
        <v>176</v>
      </c>
      <c r="C158" s="958"/>
      <c r="D158" s="36">
        <v>14</v>
      </c>
      <c r="E158" s="23"/>
      <c r="F158" s="23"/>
      <c r="G158" s="23"/>
      <c r="H158" s="23"/>
      <c r="I158" s="23"/>
      <c r="P158" s="23"/>
      <c r="S158" s="22"/>
      <c r="T158" s="22"/>
      <c r="U158" s="22"/>
      <c r="V158" s="22"/>
      <c r="W158" s="22"/>
      <c r="X158" s="22"/>
      <c r="Y158" s="22"/>
      <c r="Z158" s="22"/>
      <c r="AA158" s="22"/>
    </row>
    <row r="159" spans="2:27">
      <c r="B159" s="39">
        <v>4</v>
      </c>
      <c r="C159" s="39" t="s">
        <v>37</v>
      </c>
      <c r="D159" s="36">
        <v>7</v>
      </c>
      <c r="E159" s="23"/>
      <c r="F159" s="23"/>
      <c r="G159" s="23"/>
      <c r="H159" s="23"/>
      <c r="I159" s="23"/>
      <c r="P159" s="23"/>
      <c r="S159" s="22"/>
      <c r="T159" s="22"/>
      <c r="U159" s="22"/>
      <c r="V159" s="22"/>
      <c r="W159" s="22"/>
      <c r="X159" s="22"/>
      <c r="Y159" s="22"/>
      <c r="Z159" s="22"/>
      <c r="AA159" s="22"/>
    </row>
    <row r="160" spans="2:27">
      <c r="B160" s="957" t="s">
        <v>183</v>
      </c>
      <c r="C160" s="958"/>
      <c r="D160" s="36">
        <v>7</v>
      </c>
      <c r="E160" s="23"/>
      <c r="F160" s="23"/>
      <c r="G160" s="23"/>
      <c r="H160" s="23"/>
      <c r="I160" s="23"/>
      <c r="P160" s="23"/>
      <c r="S160" s="22"/>
      <c r="T160" s="22"/>
      <c r="U160" s="22"/>
      <c r="V160" s="22"/>
      <c r="W160" s="22"/>
      <c r="X160" s="22"/>
      <c r="Y160" s="22"/>
      <c r="Z160" s="22"/>
      <c r="AA160" s="22"/>
    </row>
    <row r="161" spans="2:27">
      <c r="B161" s="959" t="s">
        <v>21</v>
      </c>
      <c r="C161" s="960"/>
      <c r="D161" s="45">
        <v>53</v>
      </c>
      <c r="E161" s="23"/>
      <c r="F161" s="23"/>
      <c r="G161" s="23"/>
      <c r="H161" s="23"/>
      <c r="I161" s="23"/>
      <c r="P161" s="23"/>
      <c r="S161" s="22"/>
      <c r="T161" s="22"/>
      <c r="U161" s="22"/>
      <c r="V161" s="22"/>
      <c r="W161" s="22"/>
      <c r="X161" s="22"/>
      <c r="Y161" s="22"/>
      <c r="Z161" s="22"/>
      <c r="AA161" s="22"/>
    </row>
    <row r="162" spans="2:27">
      <c r="C162" s="23"/>
      <c r="D162" s="23"/>
      <c r="E162" s="23"/>
      <c r="F162" s="23"/>
      <c r="G162" s="23"/>
      <c r="H162" s="23"/>
      <c r="I162" s="23"/>
      <c r="P162" s="23"/>
      <c r="S162" s="22"/>
      <c r="T162" s="22"/>
      <c r="U162" s="22"/>
      <c r="V162" s="22"/>
      <c r="W162" s="22"/>
      <c r="X162" s="22"/>
      <c r="Y162" s="22"/>
      <c r="Z162" s="22"/>
      <c r="AA162" s="22"/>
    </row>
    <row r="163" spans="2:27">
      <c r="C163" s="23"/>
      <c r="D163" s="23"/>
      <c r="E163" s="23"/>
      <c r="F163" s="23"/>
      <c r="G163" s="23"/>
      <c r="H163" s="23"/>
      <c r="I163" s="23"/>
      <c r="P163" s="23"/>
      <c r="S163" s="22"/>
      <c r="T163" s="22"/>
      <c r="U163" s="22"/>
      <c r="V163" s="22"/>
      <c r="W163" s="22"/>
      <c r="X163" s="22"/>
      <c r="Y163" s="22"/>
      <c r="Z163" s="22"/>
      <c r="AA163" s="22"/>
    </row>
    <row r="164" spans="2:27">
      <c r="C164" s="23"/>
      <c r="D164" s="23"/>
      <c r="E164" s="23"/>
      <c r="F164" s="23"/>
      <c r="G164" s="23"/>
      <c r="H164" s="23"/>
      <c r="I164" s="23"/>
      <c r="P164" s="23"/>
      <c r="S164" s="22"/>
      <c r="T164" s="22"/>
      <c r="U164" s="22"/>
      <c r="V164" s="22"/>
      <c r="W164" s="22"/>
      <c r="X164" s="22"/>
      <c r="Y164" s="22"/>
      <c r="Z164" s="22"/>
      <c r="AA164" s="22"/>
    </row>
    <row r="165" spans="2:27">
      <c r="C165" s="23"/>
      <c r="D165" s="23"/>
      <c r="E165" s="23"/>
      <c r="F165" s="23"/>
      <c r="G165" s="23"/>
      <c r="H165" s="23"/>
      <c r="I165" s="23"/>
      <c r="P165" s="23"/>
      <c r="S165" s="22"/>
      <c r="T165" s="22"/>
      <c r="U165" s="22"/>
      <c r="V165" s="22"/>
      <c r="W165" s="22"/>
      <c r="X165" s="22"/>
      <c r="Y165" s="22"/>
      <c r="Z165" s="22"/>
      <c r="AA165" s="22"/>
    </row>
    <row r="166" spans="2:27">
      <c r="C166" s="23"/>
      <c r="D166" s="23"/>
      <c r="E166" s="23"/>
      <c r="F166" s="23"/>
      <c r="G166" s="23"/>
      <c r="H166" s="23"/>
      <c r="I166" s="23"/>
      <c r="P166" s="23"/>
      <c r="S166" s="22"/>
      <c r="T166" s="22"/>
      <c r="U166" s="22"/>
      <c r="V166" s="22"/>
      <c r="W166" s="22"/>
      <c r="X166" s="22"/>
      <c r="Y166" s="22"/>
      <c r="Z166" s="22"/>
      <c r="AA166" s="22"/>
    </row>
    <row r="167" spans="2:27">
      <c r="C167" s="23"/>
      <c r="D167" s="23"/>
      <c r="E167" s="23"/>
      <c r="F167" s="23"/>
      <c r="G167" s="23"/>
      <c r="H167" s="23"/>
      <c r="I167" s="23"/>
      <c r="P167" s="23"/>
      <c r="S167" s="22"/>
      <c r="T167" s="22"/>
      <c r="U167" s="22"/>
      <c r="V167" s="22"/>
      <c r="W167" s="22"/>
      <c r="X167" s="22"/>
      <c r="Y167" s="22"/>
      <c r="Z167" s="22"/>
      <c r="AA167" s="22"/>
    </row>
    <row r="168" spans="2:27">
      <c r="C168" s="23"/>
      <c r="D168" s="23"/>
      <c r="E168" s="23"/>
      <c r="F168" s="23"/>
      <c r="G168" s="23"/>
      <c r="H168" s="23"/>
      <c r="I168" s="23"/>
      <c r="S168" s="22"/>
      <c r="T168" s="22"/>
      <c r="U168" s="22"/>
      <c r="V168" s="22"/>
      <c r="W168" s="22"/>
      <c r="X168" s="22"/>
      <c r="Y168" s="22"/>
      <c r="Z168" s="22"/>
      <c r="AA168" s="22"/>
    </row>
    <row r="169" spans="2:27">
      <c r="C169" s="23"/>
      <c r="D169" s="23"/>
      <c r="E169" s="23"/>
      <c r="F169" s="23"/>
      <c r="G169" s="23"/>
      <c r="H169" s="23"/>
      <c r="I169" s="23"/>
      <c r="S169" s="22"/>
      <c r="T169" s="22"/>
      <c r="U169" s="22"/>
      <c r="V169" s="22"/>
      <c r="W169" s="22"/>
      <c r="X169" s="22"/>
      <c r="Y169" s="22"/>
      <c r="Z169" s="22"/>
      <c r="AA169" s="22"/>
    </row>
    <row r="170" spans="2:27">
      <c r="C170" s="23"/>
      <c r="D170" s="23"/>
      <c r="S170" s="22"/>
      <c r="T170" s="22"/>
      <c r="U170" s="22"/>
      <c r="V170" s="22"/>
      <c r="W170" s="22"/>
      <c r="X170" s="22"/>
      <c r="Y170" s="22"/>
      <c r="Z170" s="22"/>
      <c r="AA170" s="22"/>
    </row>
    <row r="171" spans="2:27">
      <c r="C171" s="23"/>
      <c r="D171" s="23"/>
      <c r="S171" s="22"/>
      <c r="T171" s="22"/>
      <c r="U171" s="22"/>
      <c r="V171" s="22"/>
      <c r="W171" s="22"/>
      <c r="X171" s="22"/>
      <c r="Y171" s="22"/>
      <c r="Z171" s="22"/>
      <c r="AA171" s="22"/>
    </row>
    <row r="172" spans="2:27">
      <c r="C172" s="23"/>
      <c r="D172" s="23"/>
      <c r="S172" s="22"/>
      <c r="T172" s="22"/>
      <c r="U172" s="22"/>
      <c r="V172" s="22"/>
      <c r="W172" s="22"/>
      <c r="X172" s="22"/>
      <c r="Y172" s="22"/>
      <c r="Z172" s="22"/>
      <c r="AA172" s="22"/>
    </row>
    <row r="173" spans="2:27">
      <c r="C173" s="23"/>
      <c r="D173" s="23"/>
      <c r="S173" s="22"/>
      <c r="T173" s="22"/>
      <c r="U173" s="22"/>
      <c r="V173" s="22"/>
      <c r="W173" s="22"/>
      <c r="X173" s="22"/>
      <c r="Y173" s="22"/>
      <c r="Z173" s="22"/>
      <c r="AA173" s="22"/>
    </row>
    <row r="174" spans="2:27">
      <c r="C174" s="23"/>
      <c r="D174" s="23"/>
      <c r="S174" s="22"/>
      <c r="T174" s="22"/>
      <c r="U174" s="22"/>
      <c r="V174" s="22"/>
      <c r="W174" s="22"/>
      <c r="X174" s="22"/>
      <c r="Y174" s="22"/>
      <c r="Z174" s="22"/>
      <c r="AA174" s="22"/>
    </row>
    <row r="175" spans="2:27">
      <c r="C175" s="23"/>
      <c r="D175" s="23"/>
    </row>
    <row r="176" spans="2:27">
      <c r="C176" s="23"/>
      <c r="D176" s="23"/>
    </row>
    <row r="177" spans="2:18">
      <c r="C177" s="23"/>
      <c r="D177" s="23"/>
    </row>
    <row r="178" spans="2:18">
      <c r="C178" s="23"/>
      <c r="D178" s="23"/>
    </row>
    <row r="179" spans="2:18">
      <c r="C179" s="23"/>
      <c r="D179" s="23"/>
    </row>
    <row r="180" spans="2:18">
      <c r="C180" s="23"/>
      <c r="D180" s="23"/>
    </row>
    <row r="181" spans="2:18">
      <c r="C181" s="23"/>
      <c r="D181" s="23"/>
    </row>
    <row r="182" spans="2:18">
      <c r="C182" s="23"/>
      <c r="D182" s="23"/>
    </row>
    <row r="183" spans="2:18">
      <c r="C183" s="23"/>
      <c r="D183" s="23"/>
    </row>
    <row r="184" spans="2:18">
      <c r="C184" s="23"/>
      <c r="D184" s="23"/>
    </row>
    <row r="185" spans="2:18">
      <c r="C185" s="23"/>
      <c r="D185" s="23"/>
    </row>
    <row r="186" spans="2:18">
      <c r="C186" s="23"/>
      <c r="D186" s="23"/>
    </row>
    <row r="187" spans="2:18">
      <c r="C187" s="23"/>
      <c r="D187" s="23"/>
    </row>
    <row r="188" spans="2:18">
      <c r="B188" s="24"/>
      <c r="D188" s="23"/>
    </row>
    <row r="189" spans="2:18">
      <c r="B189" s="24"/>
      <c r="D189" s="23"/>
    </row>
    <row r="190" spans="2:18">
      <c r="B190" s="24"/>
      <c r="D190" s="23"/>
    </row>
    <row r="191" spans="2:18">
      <c r="P191" s="23"/>
      <c r="Q191" s="22"/>
      <c r="R191" s="22"/>
    </row>
    <row r="196" spans="16:27">
      <c r="P196" s="23"/>
    </row>
    <row r="197" spans="16:27">
      <c r="P197" s="23"/>
    </row>
    <row r="198" spans="16:27">
      <c r="P198" s="23"/>
    </row>
    <row r="199" spans="16:27">
      <c r="P199" s="23"/>
      <c r="S199" s="22"/>
      <c r="T199" s="22"/>
      <c r="U199" s="22"/>
      <c r="V199" s="22"/>
      <c r="W199" s="22"/>
      <c r="X199" s="22"/>
      <c r="Y199" s="22"/>
      <c r="Z199" s="22"/>
      <c r="AA199" s="22"/>
    </row>
    <row r="200" spans="16:27">
      <c r="P200" s="23"/>
      <c r="S200" s="22"/>
      <c r="T200" s="22"/>
      <c r="U200" s="22"/>
      <c r="V200" s="22"/>
      <c r="W200" s="22"/>
      <c r="X200" s="22"/>
      <c r="Y200" s="22"/>
      <c r="Z200" s="22"/>
      <c r="AA200" s="22"/>
    </row>
    <row r="201" spans="16:27">
      <c r="P201" s="23"/>
      <c r="S201" s="22"/>
      <c r="T201" s="22"/>
      <c r="U201" s="22"/>
      <c r="V201" s="22"/>
      <c r="W201" s="22"/>
      <c r="X201" s="22"/>
      <c r="Y201" s="22"/>
      <c r="Z201" s="22"/>
      <c r="AA201" s="22"/>
    </row>
    <row r="202" spans="16:27">
      <c r="P202" s="23"/>
      <c r="S202" s="22"/>
      <c r="T202" s="22"/>
      <c r="U202" s="22"/>
      <c r="V202" s="22"/>
      <c r="W202" s="22"/>
      <c r="X202" s="22"/>
      <c r="Y202" s="22"/>
      <c r="Z202" s="22"/>
      <c r="AA202" s="22"/>
    </row>
    <row r="203" spans="16:27">
      <c r="P203" s="23"/>
      <c r="S203" s="22"/>
      <c r="T203" s="22"/>
      <c r="U203" s="22"/>
      <c r="V203" s="22"/>
      <c r="W203" s="22"/>
      <c r="X203" s="22"/>
      <c r="Y203" s="22"/>
      <c r="Z203" s="22"/>
      <c r="AA203" s="22"/>
    </row>
    <row r="204" spans="16:27">
      <c r="P204" s="23"/>
      <c r="S204" s="22"/>
      <c r="T204" s="22"/>
      <c r="U204" s="22"/>
      <c r="V204" s="22"/>
      <c r="W204" s="22"/>
      <c r="X204" s="22"/>
      <c r="Y204" s="22"/>
      <c r="Z204" s="22"/>
      <c r="AA204" s="22"/>
    </row>
    <row r="205" spans="16:27">
      <c r="P205" s="23"/>
      <c r="S205" s="22"/>
      <c r="T205" s="22"/>
      <c r="U205" s="22"/>
      <c r="V205" s="22"/>
      <c r="W205" s="22"/>
      <c r="X205" s="22"/>
      <c r="Y205" s="22"/>
      <c r="Z205" s="22"/>
      <c r="AA205" s="22"/>
    </row>
    <row r="206" spans="16:27">
      <c r="P206" s="23"/>
      <c r="S206" s="22"/>
      <c r="T206" s="22"/>
      <c r="U206" s="22"/>
      <c r="V206" s="22"/>
      <c r="W206" s="22"/>
      <c r="X206" s="22"/>
      <c r="Y206" s="22"/>
      <c r="Z206" s="22"/>
      <c r="AA206" s="22"/>
    </row>
    <row r="207" spans="16:27">
      <c r="P207" s="23"/>
      <c r="S207" s="22"/>
      <c r="T207" s="22"/>
      <c r="U207" s="22"/>
      <c r="V207" s="22"/>
      <c r="W207" s="22"/>
      <c r="X207" s="22"/>
      <c r="Y207" s="22"/>
      <c r="Z207" s="22"/>
      <c r="AA207" s="22"/>
    </row>
    <row r="208" spans="16:27">
      <c r="P208" s="23"/>
      <c r="S208" s="22"/>
      <c r="T208" s="22"/>
      <c r="U208" s="22"/>
      <c r="V208" s="22"/>
      <c r="W208" s="22"/>
      <c r="X208" s="22"/>
      <c r="Y208" s="22"/>
      <c r="Z208" s="22"/>
      <c r="AA208" s="22"/>
    </row>
    <row r="209" spans="19:27">
      <c r="S209" s="22"/>
      <c r="T209" s="22"/>
      <c r="U209" s="22"/>
      <c r="V209" s="22"/>
      <c r="W209" s="22"/>
      <c r="X209" s="22"/>
      <c r="Y209" s="22"/>
      <c r="Z209" s="22"/>
      <c r="AA209" s="22"/>
    </row>
    <row r="210" spans="19:27">
      <c r="S210" s="22"/>
      <c r="T210" s="22"/>
      <c r="U210" s="22"/>
      <c r="V210" s="22"/>
      <c r="W210" s="22"/>
      <c r="X210" s="22"/>
      <c r="Y210" s="22"/>
      <c r="Z210" s="22"/>
      <c r="AA210" s="22"/>
    </row>
    <row r="211" spans="19:27">
      <c r="S211" s="22"/>
      <c r="T211" s="22"/>
      <c r="U211" s="22"/>
      <c r="V211" s="22"/>
      <c r="W211" s="22"/>
      <c r="X211" s="22"/>
      <c r="Y211" s="22"/>
      <c r="Z211" s="22"/>
      <c r="AA211" s="22"/>
    </row>
    <row r="212" spans="19:27">
      <c r="S212" s="22"/>
      <c r="T212" s="22"/>
      <c r="U212" s="22"/>
      <c r="V212" s="22"/>
      <c r="W212" s="22"/>
      <c r="X212" s="22"/>
      <c r="Y212" s="22"/>
      <c r="Z212" s="22"/>
      <c r="AA212" s="22"/>
    </row>
    <row r="213" spans="19:27">
      <c r="S213" s="22"/>
      <c r="T213" s="22"/>
      <c r="U213" s="22"/>
      <c r="V213" s="22"/>
      <c r="W213" s="22"/>
      <c r="X213" s="22"/>
      <c r="Y213" s="22"/>
      <c r="Z213" s="22"/>
      <c r="AA213" s="22"/>
    </row>
    <row r="214" spans="19:27">
      <c r="S214" s="22"/>
      <c r="T214" s="22"/>
      <c r="U214" s="22"/>
      <c r="V214" s="22"/>
      <c r="W214" s="22"/>
      <c r="X214" s="22"/>
      <c r="Y214" s="22"/>
      <c r="Z214" s="22"/>
      <c r="AA214" s="22"/>
    </row>
    <row r="215" spans="19:27">
      <c r="S215" s="22"/>
      <c r="T215" s="22"/>
      <c r="U215" s="22"/>
      <c r="V215" s="22"/>
      <c r="W215" s="22"/>
      <c r="X215" s="22"/>
      <c r="Y215" s="22"/>
      <c r="Z215" s="22"/>
      <c r="AA215" s="22"/>
    </row>
    <row r="216" spans="19:27">
      <c r="S216" s="22"/>
      <c r="T216" s="22"/>
      <c r="U216" s="22"/>
      <c r="V216" s="22"/>
      <c r="W216" s="22"/>
      <c r="X216" s="22"/>
      <c r="Y216" s="22"/>
      <c r="Z216" s="22"/>
      <c r="AA216" s="22"/>
    </row>
  </sheetData>
  <mergeCells count="7">
    <mergeCell ref="B160:C160"/>
    <mergeCell ref="B161:C161"/>
    <mergeCell ref="B152:C152"/>
    <mergeCell ref="B153:B154"/>
    <mergeCell ref="B155:C155"/>
    <mergeCell ref="B156:B157"/>
    <mergeCell ref="B158:C158"/>
  </mergeCells>
  <phoneticPr fontId="18" type="noConversion"/>
  <pageMargins left="0.7" right="0.7" top="0.75" bottom="0.75" header="0.3" footer="0.3"/>
  <pageSetup paperSize="9" orientation="portrait" r:id="rId11"/>
  <drawing r:id="rId1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909508-D87B-47FE-BA61-B0567C16CD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11</vt:i4>
      </vt:variant>
    </vt:vector>
  </HeadingPairs>
  <TitlesOfParts>
    <vt:vector size="28" baseType="lpstr">
      <vt:lpstr>견적</vt:lpstr>
      <vt:lpstr>견적서(국문)</vt:lpstr>
      <vt:lpstr>견적서(영문)</vt:lpstr>
      <vt:lpstr>발주대기</vt:lpstr>
      <vt:lpstr>국내</vt:lpstr>
      <vt:lpstr>해외</vt:lpstr>
      <vt:lpstr>대여</vt:lpstr>
      <vt:lpstr>PI</vt:lpstr>
      <vt:lpstr>출고요청서</vt:lpstr>
      <vt:lpstr>회수내역서</vt:lpstr>
      <vt:lpstr>거래명세서(납품확인서)</vt:lpstr>
      <vt:lpstr>2025매출차트</vt:lpstr>
      <vt:lpstr>제품 정보</vt:lpstr>
      <vt:lpstr>업체 정보</vt:lpstr>
      <vt:lpstr>드롭다운</vt:lpstr>
      <vt:lpstr>Standard Unit price</vt:lpstr>
      <vt:lpstr>판매 분포도 차트</vt:lpstr>
      <vt:lpstr>PI!Print_Area</vt:lpstr>
      <vt:lpstr>'견적서(국문)'!Print_Area</vt:lpstr>
      <vt:lpstr>'견적서(영문)'!Print_Area</vt:lpstr>
      <vt:lpstr>출고요청서!Print_Area</vt:lpstr>
      <vt:lpstr>견적!제품구분</vt:lpstr>
      <vt:lpstr>'견적서(국문)'!제품구분</vt:lpstr>
      <vt:lpstr>'견적서(영문)'!제품구분</vt:lpstr>
      <vt:lpstr>대여!제품구분</vt:lpstr>
      <vt:lpstr>출고요청서!제품구분</vt:lpstr>
      <vt:lpstr>회수내역서!제품구분</vt:lpstr>
      <vt:lpstr>제품구분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Sumin Ha</cp:lastModifiedBy>
  <cp:lastPrinted>2025-11-24T01:56:06Z</cp:lastPrinted>
  <dcterms:created xsi:type="dcterms:W3CDTF">2010-12-14T04:01:23Z</dcterms:created>
  <dcterms:modified xsi:type="dcterms:W3CDTF">2025-11-24T02:05:10Z</dcterms:modified>
</cp:coreProperties>
</file>